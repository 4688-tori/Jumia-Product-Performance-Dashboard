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3.xml" ContentType="application/vnd.openxmlformats-officedocument.spreadsheetml.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mc:AlternateContent xmlns:mc="http://schemas.openxmlformats.org/markup-compatibility/2006">
    <mc:Choice Requires="x15">
      <x15ac:absPath xmlns:x15ac="http://schemas.microsoft.com/office/spreadsheetml/2010/11/ac" url="https://d.docs.live.net/C2DF73B127768837/Documentos/vic/"/>
    </mc:Choice>
  </mc:AlternateContent>
  <xr:revisionPtr revIDLastSave="0" documentId="8_{850F8E39-FAF4-4778-BAF4-F28A31F3094D}" xr6:coauthVersionLast="47" xr6:coauthVersionMax="47" xr10:uidLastSave="{00000000-0000-0000-0000-000000000000}"/>
  <bookViews>
    <workbookView xWindow="-120" yWindow="-120" windowWidth="20730" windowHeight="11760" tabRatio="598" xr2:uid="{2250CCB5-586A-4083-A00F-FB80F54C1D67}"/>
  </bookViews>
  <sheets>
    <sheet name="Raw_Data" sheetId="2" r:id="rId1"/>
    <sheet name="cleaned" sheetId="1" r:id="rId2"/>
    <sheet name="Dashboard" sheetId="25" r:id="rId3"/>
    <sheet name="Data Dictionary" sheetId="27" r:id="rId4"/>
    <sheet name="analysis" sheetId="4" r:id="rId5"/>
    <sheet name="Pivot charts" sheetId="26" r:id="rId6"/>
    <sheet name="Pivot_Tables" sheetId="29" r:id="rId7"/>
  </sheets>
  <definedNames>
    <definedName name="ExternalData_1" localSheetId="0" hidden="1">Raw_Data!$A$1:$F$116</definedName>
    <definedName name="ExternalData_2" localSheetId="1" hidden="1">cleaned!#REF!</definedName>
    <definedName name="ExternalData_3" localSheetId="1" hidden="1">cleaned!$A$1:$U$112</definedName>
    <definedName name="Slicer_Discount_Category">#N/A</definedName>
    <definedName name="Slicer_Price_Category">#N/A</definedName>
    <definedName name="Slicer_Rating_category">#N/A</definedName>
  </definedNames>
  <calcPr calcId="191028"/>
  <pivotCaches>
    <pivotCache cacheId="3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49" i="25" l="1"/>
  <c r="H24" i="4" a="1"/>
  <c r="H24" i="4" s="1"/>
  <c r="H5" i="4"/>
  <c r="H4" i="4"/>
  <c r="H3" i="4"/>
  <c r="E2" i="4"/>
  <c r="D3" i="4"/>
  <c r="D2" i="4"/>
  <c r="F18" i="4" a="1"/>
  <c r="F18" i="4" s="1"/>
  <c r="B9" i="4"/>
  <c r="B8" i="4"/>
  <c r="B7" i="4"/>
  <c r="B6" i="4"/>
  <c r="B5" i="4"/>
  <c r="B3" i="4"/>
  <c r="B4" i="4"/>
  <c r="B2" i="4"/>
  <c r="K18"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040266-7C89-4276-ADDC-78887F1E7706}" keepAlive="1" name="Query - Excel_jumia_dataset (1)" description="Connection to the 'Excel_jumia_dataset (1)' query in the workbook." type="5" refreshedVersion="8" background="1" saveData="1">
    <dbPr connection="Provider=Microsoft.Mashup.OleDb.1;Data Source=$Workbook$;Location=&quot;Excel_jumia_dataset (1)&quot;;Extended Properties=&quot;&quot;" command="SELECT * FROM [Excel_jumia_dataset (1)]"/>
  </connection>
  <connection id="2" xr16:uid="{31951F74-02AF-4FAF-A1B2-9FE2A81965EA}" keepAlive="1" name="Query - Excel_jumia_dataset (2)" description="Connection to the 'Excel_jumia_dataset (2)' query in the workbook." type="5" refreshedVersion="0" background="1">
    <dbPr connection="Provider=Microsoft.Mashup.OleDb.1;Data Source=$Workbook$;Location=&quot;Excel_jumia_dataset (2)&quot;;Extended Properties=&quot;&quot;" command="SELECT * FROM [Excel_jumia_dataset (2)]"/>
  </connection>
  <connection id="3" xr16:uid="{E6FB6262-341C-4A67-8445-C72C4FEC52A7}" keepAlive="1" name="Query - Excel_jumia_dataset (3)" description="Connection to the 'Excel_jumia_dataset (3)' query in the workbook." type="5" refreshedVersion="8" background="1" saveData="1">
    <dbPr connection="Provider=Microsoft.Mashup.OleDb.1;Data Source=$Workbook$;Location=&quot;Excel_jumia_dataset (3)&quot;;Extended Properties=&quot;&quot;" command="SELECT * FROM [Excel_jumia_dataset (3)]"/>
  </connection>
  <connection id="4" xr16:uid="{EB1CD89F-BD71-4A9E-931C-97FBB7AA3245}" keepAlive="1" name="Query - Excel_jumia_dataset (4)" description="Connection to the 'Excel_jumia_dataset (4)' query in the workbook." type="5" refreshedVersion="8" background="1" saveData="1">
    <dbPr connection="Provider=Microsoft.Mashup.OleDb.1;Data Source=$Workbook$;Location=&quot;Excel_jumia_dataset (4)&quot;;Extended Properties=&quot;&quot;" command="SELECT * FROM [Excel_jumia_dataset (4)]"/>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<sst xmlns="http://schemas.openxmlformats.org/spreadsheetml/2006/main" count="18192" uniqueCount="16798">
  <si>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</si>
  <si>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</si>
  <si>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</si>
  <si>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</si>
  <si>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</si>
  <si>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</si>
  <si>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</si>
  <si>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</si>
  <si>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</si>
  <si>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</si>
  <si>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</si>
  <si>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</si>
  <si>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</si>
  <si>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</si>
  <si>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</si>
  <si>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</si>
  <si>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</si>
  <si>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</si>
  <si>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</si>
  <si>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</si>
  <si>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</si>
  <si>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</si>
  <si>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</si>
  <si>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</si>
  <si>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</si>
  <si>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</si>
  <si>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</si>
  <si>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</si>
  <si>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</si>
  <si>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</si>
  <si>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</si>
  <si>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</si>
  <si>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</si>
  <si>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</si>
  <si>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</si>
  <si>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</si>
  <si>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</si>
  <si>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</si>
  <si>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</si>
  <si>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</si>
  <si>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</si>
  <si>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</si>
  <si>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</si>
  <si>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</si>
  <si>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</si>
  <si>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</si>
  <si>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</si>
  <si>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</si>
  <si>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</si>
  <si>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</si>
  <si>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</si>
  <si>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</si>
  <si>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</si>
  <si>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</si>
  <si>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</si>
  <si>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</si>
  <si>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</si>
  <si>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</si>
  <si>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</si>
  <si>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</si>
  <si>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</si>
  <si>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</si>
  <si>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</si>
  <si>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</si>
  <si>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</si>
  <si>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</si>
  <si>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</si>
  <si>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</si>
  <si>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</si>
  <si>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</si>
  <si>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</si>
  <si>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</si>
  <si>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</si>
  <si>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</si>
  <si>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</si>
  <si>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</si>
  <si>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</si>
  <si>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</si>
  <si>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</si>
  <si>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</si>
  <si>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</si>
  <si>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</si>
  <si>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</si>
  <si>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</si>
  <si>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</si>
  <si>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</si>
  <si>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</si>
  <si>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</si>
  <si>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</si>
  <si>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</si>
  <si>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</si>
  <si>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</si>
  <si>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</si>
  <si>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</si>
  <si>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</si>
  <si>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</si>
  <si>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</si>
  <si>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</si>
  <si>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</si>
  <si>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</si>
  <si>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</si>
  <si>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</si>
  <si>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</si>
  <si>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</si>
  <si>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</si>
  <si>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</si>
  <si>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</si>
  <si>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</si>
  <si>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</si>
  <si>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</si>
  <si>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</si>
  <si>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</si>
  <si>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</si>
  <si>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</si>
  <si>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</si>
  <si>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</si>
  <si>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</si>
  <si>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</si>
  <si>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</si>
  <si>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</si>
  <si>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</si>
  <si>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</si>
  <si>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</si>
  <si>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</si>
  <si>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</si>
  <si>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</si>
  <si>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</si>
  <si>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</si>
  <si>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</si>
  <si>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</si>
  <si>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</si>
  <si>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</si>
  <si>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</si>
  <si>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</si>
  <si>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</si>
  <si>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</si>
  <si>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</si>
  <si>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</si>
  <si>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</si>
  <si>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</si>
  <si>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</si>
  <si>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</si>
  <si>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</si>
  <si>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</si>
  <si>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</si>
  <si>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</si>
  <si>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</si>
  <si>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</si>
  <si>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</si>
  <si>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</si>
  <si>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</si>
  <si>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</si>
  <si>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</si>
  <si>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</si>
  <si>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</si>
  <si>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</si>
  <si>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</si>
  <si>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</si>
  <si>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</si>
  <si>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</si>
  <si>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</si>
  <si>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</si>
  <si>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</si>
  <si>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</si>
  <si>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</si>
  <si>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</si>
  <si>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</si>
  <si>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</si>
  <si>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</si>
  <si>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</si>
  <si>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</si>
  <si>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</si>
  <si>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</si>
  <si>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</si>
  <si>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</si>
  <si>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</si>
  <si>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</si>
  <si>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</si>
  <si>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</si>
  <si>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</si>
  <si>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</si>
  <si>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</si>
  <si>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</si>
  <si>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</si>
  <si>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</si>
  <si>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</si>
  <si>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</si>
  <si>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</si>
  <si>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</si>
  <si>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</si>
  <si>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</si>
  <si>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</si>
  <si>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</si>
  <si>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</si>
  <si>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</si>
  <si>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</si>
  <si>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</si>
  <si>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</si>
  <si>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</si>
  <si>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</si>
  <si>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</si>
  <si>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</si>
  <si>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</si>
  <si>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</si>
  <si>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</si>
  <si>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</si>
  <si>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</si>
  <si>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</si>
  <si>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</si>
  <si>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</si>
  <si>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</si>
  <si>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</si>
  <si>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</si>
  <si>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</si>
  <si>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</si>
  <si>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</si>
  <si>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</si>
  <si>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</si>
  <si>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</si>
  <si>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</si>
  <si>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</si>
  <si>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</si>
  <si>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</si>
  <si>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</si>
  <si>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</si>
  <si>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</si>
  <si>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</si>
  <si>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</si>
  <si>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</si>
  <si>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</si>
  <si>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</si>
  <si>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</si>
  <si>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</si>
  <si>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</si>
  <si>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</si>
  <si>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</si>
  <si>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</si>
  <si>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</si>
  <si>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</si>
  <si>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</si>
  <si>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</si>
  <si>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</si>
  <si>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</si>
  <si>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</si>
  <si>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</si>
  <si>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</si>
  <si>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</si>
  <si>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</si>
  <si>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</si>
  <si>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</si>
  <si>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</si>
  <si>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</si>
  <si>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</si>
  <si>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</si>
  <si>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</si>
  <si>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</si>
  <si>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</si>
  <si>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</si>
  <si>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</si>
  <si>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</si>
  <si>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</si>
  <si>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</si>
  <si>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</si>
  <si>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</si>
  <si>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</si>
  <si>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</si>
  <si>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</si>
  <si>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</si>
  <si>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</si>
  <si>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</si>
  <si>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</si>
  <si>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</si>
  <si>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</si>
  <si>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</si>
  <si>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</si>
  <si>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</si>
  <si>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</si>
  <si>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</si>
  <si>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</si>
  <si>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</si>
  <si>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</si>
  <si>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</si>
  <si>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</si>
  <si>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</si>
  <si>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</si>
  <si>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</si>
  <si>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</si>
  <si>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</si>
  <si>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</si>
  <si>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</si>
  <si>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</si>
  <si>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</si>
  <si>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</si>
  <si>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</si>
  <si>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</si>
  <si>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</si>
  <si>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</si>
  <si>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</si>
  <si>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</si>
  <si>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</si>
  <si>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</si>
  <si>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</si>
  <si>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</si>
  <si>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</si>
  <si>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</si>
  <si>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</si>
  <si>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</si>
  <si>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</si>
  <si>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</si>
  <si>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</si>
  <si>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</si>
  <si>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</si>
  <si>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</si>
  <si>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</si>
  <si>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</si>
  <si>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</si>
  <si>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</si>
  <si>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</si>
  <si>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</si>
  <si>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</si>
  <si>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</si>
  <si>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</si>
  <si>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</si>
  <si>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</si>
  <si>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Rating</t>
  </si>
  <si>
    <t>Current price midpoint</t>
  </si>
  <si>
    <t>Old price midpoint</t>
  </si>
  <si>
    <t>Rating Check</t>
  </si>
  <si>
    <t>Price Check</t>
  </si>
  <si>
    <t>Discount Check</t>
  </si>
  <si>
    <t>Discount check 1</t>
  </si>
  <si>
    <t>Dscount amouunt</t>
  </si>
  <si>
    <t>Rating category</t>
  </si>
  <si>
    <t>Discount Category</t>
  </si>
  <si>
    <t>Price Category</t>
  </si>
  <si>
    <t>Strong Engagement</t>
  </si>
  <si>
    <t>High Discount Low Rating</t>
  </si>
  <si>
    <t>High Discount LowEngagement</t>
  </si>
  <si>
    <t>Strong Engagement Excellent Rating</t>
  </si>
  <si>
    <t>Many Reviews Average Rating</t>
  </si>
  <si>
    <t>OK</t>
  </si>
  <si>
    <t>Poor</t>
  </si>
  <si>
    <t>High Discount</t>
  </si>
  <si>
    <t>Low Price</t>
  </si>
  <si>
    <t>Yes</t>
  </si>
  <si>
    <t>No</t>
  </si>
  <si>
    <t>Excellent</t>
  </si>
  <si>
    <t>Medium Discount</t>
  </si>
  <si>
    <t>High Price</t>
  </si>
  <si>
    <t>Medium Price</t>
  </si>
  <si>
    <t>Average</t>
  </si>
  <si>
    <t>Low Discount</t>
  </si>
  <si>
    <t>Low Engagement</t>
  </si>
  <si>
    <t>Missing</t>
  </si>
  <si>
    <t>Audit Check</t>
  </si>
  <si>
    <t>Column1</t>
  </si>
  <si>
    <t xml:space="preserve">Issue </t>
  </si>
  <si>
    <t xml:space="preserve">Row affected </t>
  </si>
  <si>
    <t>Decision</t>
  </si>
  <si>
    <t>Reason</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</si>
  <si>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</si>
  <si>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</si>
  <si>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</si>
  <si>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</si>
  <si>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</si>
  <si>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</si>
  <si>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</si>
  <si>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</si>
  <si>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</si>
  <si>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</si>
  <si>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</si>
  <si>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</si>
  <si>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</si>
  <si>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</si>
  <si>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</si>
  <si>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</si>
  <si>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</si>
  <si>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</si>
  <si>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</si>
  <si>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</si>
  <si>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</si>
  <si>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</si>
  <si>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</si>
  <si>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</si>
  <si>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</si>
  <si>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</si>
  <si>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</si>
  <si>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</si>
  <si>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</si>
  <si>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</si>
  <si>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</si>
  <si>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</si>
  <si>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</si>
  <si>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</si>
  <si>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</si>
  <si>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</si>
  <si>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</si>
  <si>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</si>
  <si>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</si>
  <si>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</si>
  <si>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</si>
  <si>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</si>
  <si>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</si>
  <si>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</si>
  <si>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</si>
  <si>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</si>
  <si>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</si>
  <si>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</si>
  <si>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</si>
  <si>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</si>
  <si>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</si>
  <si>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</si>
  <si>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</si>
  <si>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</si>
  <si>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</si>
  <si>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</si>
  <si>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</si>
  <si>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</si>
  <si>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</si>
  <si>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</si>
  <si>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</si>
  <si>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</si>
  <si>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</si>
  <si>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</si>
  <si>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</si>
  <si>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</si>
  <si>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</si>
  <si>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</si>
  <si>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</si>
  <si>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</si>
  <si>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</si>
  <si>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</si>
  <si>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</si>
  <si>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</si>
  <si>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</si>
  <si>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</si>
  <si>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</si>
  <si>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</si>
  <si>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</si>
  <si>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</si>
  <si>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</si>
  <si>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</si>
  <si>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</si>
  <si>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</si>
  <si>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</si>
  <si>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</si>
  <si>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</si>
  <si>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</si>
  <si>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</si>
  <si>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</si>
  <si>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</si>
  <si>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</si>
  <si>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</si>
  <si>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</si>
  <si>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</si>
  <si>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</si>
  <si>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</si>
  <si>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</si>
  <si>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</si>
  <si>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</si>
  <si>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</si>
  <si>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</si>
  <si>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</si>
  <si>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</si>
  <si>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</si>
  <si>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</si>
  <si>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</si>
  <si>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</si>
  <si>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</si>
  <si>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</si>
  <si>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</si>
  <si>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</si>
  <si>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</si>
  <si>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</si>
  <si>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</si>
  <si>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</si>
  <si>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</si>
  <si>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</si>
  <si>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</si>
  <si>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</si>
  <si>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</si>
  <si>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</si>
  <si>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</si>
  <si>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</si>
  <si>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</si>
  <si>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</si>
  <si>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</si>
  <si>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</si>
  <si>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</si>
  <si>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</si>
  <si>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</si>
  <si>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</si>
  <si>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</si>
  <si>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</si>
  <si>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</si>
  <si>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</si>
  <si>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</si>
  <si>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</si>
  <si>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</si>
  <si>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</si>
  <si>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</si>
  <si>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</si>
  <si>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</si>
  <si>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</si>
  <si>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</si>
  <si>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</si>
  <si>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</si>
  <si>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</si>
  <si>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</si>
  <si>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</si>
  <si>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</si>
  <si>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</si>
  <si>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</si>
  <si>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</si>
  <si>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</si>
  <si>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</si>
  <si>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</si>
  <si>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</si>
  <si>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</si>
  <si>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</si>
  <si>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</si>
  <si>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</si>
  <si>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</si>
  <si>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</si>
  <si>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</si>
  <si>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</si>
  <si>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</si>
  <si>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</si>
  <si>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</si>
  <si>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</si>
  <si>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</si>
  <si>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</si>
  <si>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</si>
  <si>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</si>
  <si>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</si>
  <si>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</si>
  <si>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</si>
  <si>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</si>
  <si>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</si>
  <si>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</si>
  <si>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</si>
  <si>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</si>
  <si>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</si>
  <si>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</si>
  <si>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</si>
  <si>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</si>
  <si>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</si>
  <si>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</si>
  <si>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</si>
  <si>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</si>
  <si>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</si>
  <si>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</si>
  <si>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</si>
  <si>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</si>
  <si>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</si>
  <si>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</si>
  <si>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</si>
  <si>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</si>
  <si>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</si>
  <si>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</si>
  <si>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</si>
  <si>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</si>
  <si>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</si>
  <si>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</si>
  <si>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</si>
  <si>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</si>
  <si>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</si>
  <si>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</si>
  <si>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</si>
  <si>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</si>
  <si>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</si>
  <si>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</si>
  <si>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</si>
  <si>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</si>
  <si>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</si>
  <si>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</si>
  <si>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</si>
  <si>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</si>
  <si>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</si>
  <si>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</si>
  <si>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</si>
  <si>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</si>
  <si>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</si>
  <si>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</si>
  <si>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</si>
  <si>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</si>
  <si>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</si>
  <si>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</si>
  <si>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</si>
  <si>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</si>
  <si>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</si>
  <si>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</si>
  <si>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</si>
  <si>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</si>
  <si>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</si>
  <si>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</si>
  <si>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</si>
  <si>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</si>
  <si>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</si>
  <si>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</si>
  <si>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</si>
  <si>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</si>
  <si>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</si>
  <si>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</si>
  <si>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</si>
  <si>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</si>
  <si>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</si>
  <si>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</si>
  <si>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</si>
  <si>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</si>
  <si>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</si>
  <si>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</si>
  <si>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</si>
  <si>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</si>
  <si>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</si>
  <si>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</si>
  <si>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</si>
  <si>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</si>
  <si>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</si>
  <si>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</si>
  <si>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</si>
  <si>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</si>
  <si>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</si>
  <si>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</si>
  <si>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</si>
  <si>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</si>
  <si>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</si>
  <si>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</si>
  <si>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</si>
  <si>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</si>
  <si>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</si>
  <si>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</si>
  <si>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</si>
  <si>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</si>
  <si>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</si>
  <si>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</si>
  <si>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</si>
  <si>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</si>
  <si>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</si>
  <si>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</si>
  <si>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</si>
  <si>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</si>
  <si>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</si>
  <si>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</si>
  <si>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</si>
  <si>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</si>
  <si>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</si>
  <si>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</si>
  <si>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</si>
  <si>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</si>
  <si>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</si>
  <si>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</si>
  <si>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</si>
  <si>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</si>
  <si>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</si>
  <si>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</si>
  <si>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</si>
  <si>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</si>
  <si>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</si>
  <si>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</si>
  <si>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</si>
  <si>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</si>
  <si>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</si>
  <si>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</si>
  <si>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</si>
  <si>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</si>
  <si>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</si>
  <si>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</si>
  <si>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</si>
  <si>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</si>
  <si>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</si>
  <si>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</si>
  <si>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</si>
  <si>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</si>
  <si>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</si>
  <si>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</si>
  <si>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</si>
  <si>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</si>
  <si>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</si>
  <si>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</si>
  <si>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</si>
  <si>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</si>
  <si>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</si>
  <si>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</si>
  <si>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</si>
  <si>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</si>
  <si>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</si>
  <si>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</si>
  <si>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</si>
  <si>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</si>
  <si>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</si>
  <si>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</si>
  <si>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</si>
  <si>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</si>
  <si>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</si>
  <si>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</si>
  <si>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</si>
  <si>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</si>
  <si>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</si>
  <si>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</si>
  <si>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</si>
  <si>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</si>
  <si>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</si>
  <si>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</si>
  <si>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</si>
  <si>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</si>
  <si>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</si>
  <si>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</si>
  <si>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</si>
  <si>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</si>
  <si>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</si>
  <si>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</si>
  <si>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</si>
  <si>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</si>
  <si>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</si>
  <si>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</si>
  <si>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</si>
  <si>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</si>
  <si>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</si>
  <si>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</si>
  <si>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</si>
  <si>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</si>
  <si>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</si>
  <si>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</si>
  <si>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</si>
  <si>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</si>
  <si>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</si>
  <si>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</si>
  <si>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</si>
  <si>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</si>
  <si>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</si>
  <si>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</si>
  <si>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</si>
  <si>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</si>
  <si>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</si>
  <si>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</si>
  <si>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</si>
  <si>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</si>
  <si>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</si>
  <si>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</si>
  <si>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</si>
  <si>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</si>
  <si>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</si>
  <si>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</si>
  <si>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</si>
  <si>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</si>
  <si>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</si>
  <si>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</si>
  <si>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</si>
  <si>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</si>
  <si>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</si>
  <si>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</si>
  <si>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</si>
  <si>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</si>
  <si>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</si>
  <si>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</si>
  <si>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</si>
  <si>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</si>
  <si>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</si>
  <si>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</si>
  <si>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</si>
  <si>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</si>
  <si>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</si>
  <si>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</si>
  <si>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</si>
  <si>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</si>
  <si>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</si>
  <si>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</si>
  <si>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</si>
  <si>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</si>
  <si>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</si>
  <si>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</si>
  <si>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</si>
  <si>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</si>
  <si>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</si>
  <si>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</si>
  <si>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</si>
  <si>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</si>
  <si>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</si>
  <si>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</si>
  <si>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</si>
  <si>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</si>
  <si>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</si>
  <si>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</si>
  <si>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</si>
  <si>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</si>
  <si>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</si>
  <si>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</si>
  <si>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</si>
  <si>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</si>
  <si>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</si>
  <si>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</si>
  <si>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</si>
  <si>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</si>
  <si>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</si>
  <si>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</si>
  <si>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</si>
  <si>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</si>
  <si>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</si>
  <si>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</si>
  <si>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</si>
  <si>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</si>
  <si>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</si>
  <si>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</si>
  <si>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</si>
  <si>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</si>
  <si>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</si>
  <si>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</si>
  <si>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</si>
  <si>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</si>
  <si>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</si>
  <si>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</si>
  <si>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</si>
  <si>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</si>
  <si>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</si>
  <si>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</si>
  <si>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</si>
  <si>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</si>
  <si>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</si>
  <si>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</si>
  <si>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</si>
  <si>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</si>
  <si>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</si>
  <si>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</si>
  <si>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</si>
  <si>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</si>
  <si>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</si>
  <si>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</si>
  <si>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</si>
  <si>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</si>
  <si>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</si>
  <si>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</si>
  <si>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</si>
  <si>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</si>
  <si>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</si>
  <si>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</si>
  <si>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</si>
  <si>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</si>
  <si>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</si>
  <si>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</si>
  <si>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</si>
  <si>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</si>
  <si>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</si>
  <si>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</si>
  <si>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</si>
  <si>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</si>
  <si>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</si>
  <si>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</si>
  <si>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</si>
  <si>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</si>
  <si>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</si>
  <si>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</si>
  <si>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</si>
  <si>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</si>
  <si>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</si>
  <si>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</si>
  <si>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</si>
  <si>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</si>
  <si>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</si>
  <si>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</si>
  <si>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</si>
  <si>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</si>
  <si>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</si>
  <si>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</si>
  <si>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</si>
  <si>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</si>
  <si>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</si>
  <si>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</si>
  <si>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</si>
  <si>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</si>
  <si>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</si>
  <si>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</si>
  <si>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</si>
  <si>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</si>
  <si>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</si>
  <si>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</si>
  <si>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</si>
  <si>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</si>
  <si>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</si>
  <si>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</si>
  <si>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</si>
  <si>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</si>
  <si>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</si>
  <si>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</si>
  <si>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</si>
  <si>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</si>
  <si>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</si>
  <si>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</si>
  <si>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</si>
  <si>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</si>
  <si>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</si>
  <si>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</si>
  <si>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</si>
  <si>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</si>
  <si>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</si>
  <si>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</si>
  <si>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</si>
  <si>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</si>
  <si>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</si>
  <si>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</si>
  <si>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</si>
  <si>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</si>
  <si>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</si>
  <si>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</si>
  <si>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</si>
  <si>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</si>
  <si>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</si>
  <si>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</si>
  <si>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</si>
  <si>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</si>
  <si>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</si>
  <si>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</si>
  <si>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</si>
  <si>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</si>
  <si>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</si>
  <si>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</si>
  <si>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</si>
  <si>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</si>
  <si>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</si>
  <si>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</si>
  <si>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</si>
  <si>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</si>
  <si>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</si>
  <si>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</si>
  <si>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</si>
  <si>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</si>
  <si>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</si>
  <si>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</si>
  <si>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</si>
  <si>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</si>
  <si>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</si>
  <si>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</si>
  <si>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</si>
  <si>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</si>
  <si>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</si>
  <si>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</si>
  <si>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</si>
  <si>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</si>
  <si>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</si>
  <si>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</si>
  <si>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</si>
  <si>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</si>
  <si>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</si>
  <si>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</si>
  <si>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</si>
  <si>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</si>
  <si>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</si>
  <si>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</si>
  <si>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</si>
  <si>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</si>
  <si>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</si>
  <si>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</si>
  <si>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</si>
  <si>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</si>
  <si>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</si>
  <si>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</si>
  <si>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</si>
  <si>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</si>
  <si>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</si>
  <si>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</si>
  <si>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</si>
  <si>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</si>
  <si>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</si>
  <si>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</si>
  <si>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</si>
  <si>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</si>
  <si>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</si>
  <si>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</si>
  <si>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</si>
  <si>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</si>
  <si>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</si>
  <si>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</si>
  <si>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</si>
  <si>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</si>
  <si>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</si>
  <si>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</si>
  <si>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</si>
  <si>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</si>
  <si>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</si>
  <si>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</si>
  <si>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</si>
  <si>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</si>
  <si>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</si>
  <si>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</si>
  <si>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</si>
  <si>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</si>
  <si>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</si>
  <si>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</si>
  <si>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</si>
  <si>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</si>
  <si>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</si>
  <si>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</si>
  <si>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</si>
  <si>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</si>
  <si>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</si>
  <si>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</si>
  <si>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</si>
  <si>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</si>
  <si>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</si>
  <si>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</si>
  <si>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</si>
  <si>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</si>
  <si>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</si>
  <si>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</si>
  <si>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</si>
  <si>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</si>
  <si>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</si>
  <si>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</si>
  <si>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</si>
  <si>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</si>
  <si>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</si>
  <si>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</si>
  <si>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</si>
  <si>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</si>
  <si>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</si>
  <si>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</si>
  <si>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</si>
  <si>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</si>
  <si>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</si>
  <si>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</si>
  <si>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</si>
  <si>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</si>
  <si>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</si>
  <si>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</si>
  <si>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</si>
  <si>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</si>
  <si>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</si>
  <si>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</si>
  <si>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</si>
  <si>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</si>
  <si>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</si>
  <si>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</si>
  <si>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</si>
  <si>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</si>
  <si>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</si>
  <si>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</si>
  <si>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</si>
  <si>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</si>
  <si>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</si>
  <si>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</si>
  <si>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</si>
  <si>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</si>
  <si>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</si>
  <si>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</si>
  <si>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</si>
  <si>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</si>
  <si>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</si>
  <si>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</si>
  <si>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</si>
  <si>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</si>
  <si>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</si>
  <si>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</si>
  <si>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</si>
  <si>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</si>
  <si>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</si>
  <si>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</si>
  <si>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</si>
  <si>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</si>
  <si>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</si>
  <si>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</si>
  <si>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</si>
  <si>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</si>
  <si>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</si>
  <si>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</si>
  <si>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</si>
  <si>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</si>
  <si>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</si>
  <si>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</si>
  <si>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</si>
  <si>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</si>
  <si>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</si>
  <si>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</si>
  <si>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</si>
  <si>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</si>
  <si>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</si>
  <si>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</si>
  <si>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</si>
  <si>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</si>
  <si>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</si>
  <si>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</si>
  <si>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</si>
  <si>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</si>
  <si>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</si>
  <si>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</si>
  <si>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</si>
  <si>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</si>
  <si>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</si>
  <si>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</si>
  <si>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</si>
  <si>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</si>
  <si>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</si>
  <si>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</si>
  <si>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</si>
  <si>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</si>
  <si>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</si>
  <si>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</si>
  <si>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</si>
  <si>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</si>
  <si>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</si>
  <si>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</si>
  <si>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</si>
  <si>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</si>
  <si>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</si>
  <si>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</si>
  <si>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</si>
  <si>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</si>
  <si>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</si>
  <si>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</si>
  <si>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</si>
  <si>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</si>
  <si>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</si>
  <si>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</si>
  <si>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</si>
  <si>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</si>
  <si>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</si>
  <si>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</si>
  <si>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</si>
  <si>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</si>
  <si>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</si>
  <si>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</si>
  <si>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</si>
  <si>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</si>
  <si>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</si>
  <si>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</si>
  <si>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</si>
  <si>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</si>
  <si>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</si>
  <si>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</si>
  <si>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</si>
  <si>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</si>
  <si>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</si>
  <si>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</si>
  <si>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</si>
  <si>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</si>
  <si>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</si>
  <si>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</si>
  <si>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</si>
  <si>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</si>
  <si>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</si>
  <si>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</si>
  <si>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</si>
  <si>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</si>
  <si>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</si>
  <si>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</si>
  <si>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</si>
  <si>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</si>
  <si>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</si>
  <si>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</si>
  <si>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</si>
  <si>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</si>
  <si>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</si>
  <si>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</si>
  <si>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</si>
  <si>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</si>
  <si>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</si>
  <si>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</si>
  <si>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</si>
  <si>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</si>
  <si>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</si>
  <si>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</si>
  <si>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</si>
  <si>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</si>
  <si>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</si>
  <si>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</si>
  <si>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</si>
  <si>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</si>
  <si>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</si>
  <si>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</si>
  <si>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</si>
  <si>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</si>
  <si>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</si>
  <si>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</si>
  <si>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</si>
  <si>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</si>
  <si>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</si>
  <si>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</si>
  <si>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</si>
  <si>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</si>
  <si>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</si>
  <si>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</si>
  <si>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</si>
  <si>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</si>
  <si>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</si>
  <si>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</si>
  <si>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</si>
  <si>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</si>
  <si>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</si>
  <si>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</si>
  <si>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</si>
  <si>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</si>
  <si>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</si>
  <si>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</si>
  <si>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</si>
  <si>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</si>
  <si>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</si>
  <si>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</si>
  <si>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</si>
  <si>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</si>
  <si>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</si>
  <si>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</si>
  <si>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</si>
  <si>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</si>
  <si>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</si>
  <si>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</si>
  <si>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</si>
  <si>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</si>
  <si>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</si>
  <si>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</si>
  <si>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</si>
  <si>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</si>
  <si>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</si>
  <si>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</si>
  <si>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</si>
  <si>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</si>
  <si>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</si>
  <si>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</si>
  <si>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</si>
  <si>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</si>
  <si>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</si>
  <si>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</si>
  <si>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</si>
  <si>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</si>
  <si>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</si>
  <si>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</si>
  <si>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</si>
  <si>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</si>
  <si>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</si>
  <si>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</si>
  <si>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</si>
  <si>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</si>
  <si>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</si>
  <si>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</si>
  <si>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</si>
  <si>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</si>
  <si>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</si>
  <si>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</si>
  <si>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</si>
  <si>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</si>
  <si>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</si>
  <si>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</si>
  <si>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</si>
  <si>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</si>
  <si>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</si>
  <si>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</si>
  <si>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</si>
  <si>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</si>
  <si>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</si>
  <si>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</si>
  <si>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</si>
  <si>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</si>
  <si>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</si>
  <si>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</si>
  <si>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</si>
  <si>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</si>
  <si>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</si>
  <si>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</si>
  <si>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</si>
  <si>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</si>
  <si>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</si>
  <si>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</si>
  <si>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</si>
  <si>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</si>
  <si>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</si>
  <si>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</si>
  <si>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</si>
  <si>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</si>
  <si>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</si>
  <si>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</si>
  <si>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</si>
  <si>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</si>
  <si>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</si>
  <si>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</si>
  <si>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</si>
  <si>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</si>
  <si>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</si>
  <si>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</si>
  <si>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</si>
  <si>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</si>
  <si>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</si>
  <si>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</si>
  <si>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</si>
  <si>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</si>
  <si>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</si>
  <si>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</si>
  <si>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</si>
  <si>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</si>
  <si>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</si>
  <si>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</si>
  <si>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</si>
  <si>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</si>
  <si>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</si>
  <si>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</si>
  <si>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</si>
  <si>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</si>
  <si>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</si>
  <si>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</si>
  <si>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</si>
  <si>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</si>
  <si>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</si>
  <si>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</si>
  <si>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</si>
  <si>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</si>
  <si>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</si>
  <si>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</si>
  <si>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</si>
  <si>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</si>
  <si>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</si>
  <si>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</si>
  <si>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</si>
  <si>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</si>
  <si>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</si>
  <si>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</si>
  <si>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</si>
  <si>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</si>
  <si>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</si>
  <si>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</si>
  <si>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</si>
  <si>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</si>
  <si>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</si>
  <si>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</si>
  <si>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</si>
  <si>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</si>
  <si>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</si>
  <si>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</si>
  <si>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</si>
  <si>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</si>
  <si>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</si>
  <si>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</si>
  <si>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</si>
  <si>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</si>
  <si>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</si>
  <si>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</si>
  <si>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</si>
  <si>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</si>
  <si>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</si>
  <si>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</si>
  <si>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</si>
  <si>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</si>
  <si>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</si>
  <si>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</si>
  <si>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</si>
  <si>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</si>
  <si>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</si>
  <si>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</si>
  <si>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</si>
  <si>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</si>
  <si>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</si>
  <si>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</si>
  <si>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</si>
  <si>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</si>
  <si>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</si>
  <si>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</si>
  <si>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</si>
  <si>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</si>
  <si>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</si>
  <si>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</si>
  <si>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</si>
  <si>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</si>
  <si>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</si>
  <si>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</si>
  <si>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</si>
  <si>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</si>
  <si>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</si>
  <si>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</si>
  <si>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</si>
  <si>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</si>
  <si>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</si>
  <si>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</si>
  <si>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</si>
  <si>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</si>
  <si>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</si>
  <si>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</si>
  <si>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</si>
  <si>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</si>
  <si>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</si>
  <si>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</si>
  <si>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</si>
  <si>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</si>
  <si>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</si>
  <si>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</si>
  <si>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</si>
  <si>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</si>
  <si>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</si>
  <si>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</si>
  <si>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</si>
  <si>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</si>
  <si>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</si>
  <si>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</si>
  <si>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</si>
  <si>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</si>
  <si>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</si>
  <si>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</si>
  <si>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</si>
  <si>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</si>
  <si>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</si>
  <si>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</si>
  <si>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</si>
  <si>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</si>
  <si>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</si>
  <si>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</si>
  <si>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</si>
  <si>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</si>
  <si>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</si>
  <si>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</si>
  <si>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</si>
  <si>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</si>
  <si>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</si>
  <si>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</si>
  <si>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</si>
  <si>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</si>
  <si>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</si>
  <si>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</si>
  <si>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</si>
  <si>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</si>
  <si>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</si>
  <si>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</si>
  <si>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</si>
  <si>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</si>
  <si>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</si>
  <si>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</si>
  <si>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</si>
  <si>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</si>
  <si>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</si>
  <si>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</si>
  <si>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</si>
  <si>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</si>
  <si>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</si>
  <si>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</si>
  <si>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</si>
  <si>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</si>
  <si>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</si>
  <si>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</si>
  <si>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</si>
  <si>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</si>
  <si>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</si>
  <si>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</si>
  <si>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</si>
  <si>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</si>
  <si>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</si>
  <si>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</si>
  <si>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</si>
  <si>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</si>
  <si>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</si>
  <si>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</si>
  <si>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</si>
  <si>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</si>
  <si>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</si>
  <si>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</si>
  <si>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</si>
  <si>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</si>
  <si>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</si>
  <si>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</si>
  <si>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</si>
  <si>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</si>
  <si>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</si>
  <si>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</si>
  <si>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</si>
  <si>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</si>
  <si>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</si>
  <si>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</si>
  <si>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</si>
  <si>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</si>
  <si>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</si>
  <si>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</si>
  <si>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</si>
  <si>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</si>
  <si>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</si>
  <si>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</si>
  <si>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</si>
  <si>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</si>
  <si>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</si>
  <si>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</si>
  <si>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</si>
  <si>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</si>
  <si>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</si>
  <si>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</si>
  <si>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</si>
  <si>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</si>
  <si>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</si>
  <si>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</si>
  <si>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</si>
  <si>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</si>
  <si>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</si>
  <si>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</si>
  <si>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</si>
  <si>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</si>
  <si>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</si>
  <si>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</si>
  <si>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</si>
  <si>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</si>
  <si>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</si>
  <si>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</si>
  <si>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</si>
  <si>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</si>
  <si>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</si>
  <si>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</si>
  <si>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</si>
  <si>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</si>
  <si>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</si>
  <si>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</si>
  <si>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</si>
  <si>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</si>
  <si>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</si>
  <si>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</si>
  <si>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</si>
  <si>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</si>
  <si>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</si>
  <si>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</si>
  <si>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</si>
  <si>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</si>
  <si>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</si>
  <si>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</si>
  <si>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</si>
  <si>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</si>
  <si>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</si>
  <si>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</si>
  <si>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</si>
  <si>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</si>
  <si>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</si>
  <si>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</si>
  <si>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</si>
  <si>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</si>
  <si>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</si>
  <si>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</si>
  <si>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</si>
  <si>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</si>
  <si>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</si>
  <si>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</si>
  <si>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</si>
  <si>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</si>
  <si>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</si>
  <si>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</si>
  <si>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</si>
  <si>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</si>
  <si>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</si>
  <si>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</si>
  <si>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</si>
  <si>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</si>
  <si>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</si>
  <si>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</si>
  <si>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</si>
  <si>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</si>
  <si>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</si>
  <si>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</si>
  <si>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</si>
  <si>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</si>
  <si>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</si>
  <si>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</si>
  <si>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</si>
  <si>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</si>
  <si>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</si>
  <si>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</si>
  <si>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</si>
  <si>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</si>
  <si>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</si>
  <si>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</si>
  <si>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</si>
  <si>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</si>
  <si>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</si>
  <si>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</si>
  <si>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</si>
  <si>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</si>
  <si>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</si>
  <si>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</si>
  <si>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</si>
  <si>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</si>
  <si>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</si>
  <si>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</si>
  <si>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</si>
  <si>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</si>
  <si>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</si>
  <si>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</si>
  <si>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</si>
  <si>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</si>
  <si>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</si>
  <si>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</si>
  <si>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</si>
  <si>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</si>
  <si>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</si>
  <si>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</si>
  <si>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</si>
  <si>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</si>
  <si>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</si>
  <si>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</si>
  <si>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</si>
  <si>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</si>
  <si>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</si>
  <si>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</si>
  <si>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</si>
  <si>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</si>
  <si>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</si>
  <si>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</si>
  <si>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</si>
  <si>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</si>
  <si>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</si>
  <si>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</si>
  <si>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</si>
  <si>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</si>
  <si>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</si>
  <si>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</si>
  <si>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</si>
  <si>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</si>
  <si>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</si>
  <si>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</si>
  <si>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</si>
  <si>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</si>
  <si>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</si>
  <si>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</si>
  <si>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</si>
  <si>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</si>
  <si>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</si>
  <si>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</si>
  <si>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</si>
  <si>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</si>
  <si>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</si>
  <si>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</si>
  <si>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</si>
  <si>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</si>
  <si>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</si>
  <si>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</si>
  <si>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</si>
  <si>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</si>
  <si>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</si>
  <si>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</si>
  <si>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</si>
  <si>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</si>
  <si>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</si>
  <si>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</si>
  <si>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</si>
  <si>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</si>
  <si>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</si>
  <si>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</si>
  <si>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</si>
  <si>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</si>
  <si>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</si>
  <si>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</si>
  <si>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</si>
  <si>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</si>
  <si>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</si>
  <si>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</si>
  <si>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</si>
  <si>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</si>
  <si>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</si>
  <si>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</si>
  <si>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</si>
  <si>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</si>
  <si>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</si>
  <si>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</si>
  <si>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</si>
  <si>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</si>
  <si>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</si>
  <si>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</si>
  <si>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</si>
  <si>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</si>
  <si>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</si>
  <si>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</si>
  <si>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</si>
  <si>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</si>
  <si>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</si>
  <si>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</si>
  <si>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</si>
  <si>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</si>
  <si>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</si>
  <si>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</si>
  <si>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</si>
  <si>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</si>
  <si>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</si>
  <si>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</si>
  <si>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</si>
  <si>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</si>
  <si>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</si>
  <si>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</si>
  <si>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</si>
  <si>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</si>
  <si>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</si>
  <si>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</si>
  <si>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</si>
  <si>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</si>
  <si>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</si>
  <si>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</si>
  <si>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</si>
  <si>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</si>
  <si>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</si>
  <si>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</si>
  <si>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</si>
  <si>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</si>
  <si>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</si>
  <si>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</si>
  <si>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</si>
  <si>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</si>
  <si>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</si>
  <si>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</si>
  <si>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</si>
  <si>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</si>
  <si>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</si>
  <si>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</si>
  <si>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</si>
  <si>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</si>
  <si>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</si>
  <si>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</si>
  <si>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</si>
  <si>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</si>
  <si>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</si>
  <si>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</si>
  <si>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</si>
  <si>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</si>
  <si>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</si>
  <si>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</si>
  <si>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</si>
  <si>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</si>
  <si>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</si>
  <si>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</si>
  <si>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</si>
  <si>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</si>
  <si>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</si>
  <si>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</si>
  <si>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</si>
  <si>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</si>
  <si>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</si>
  <si>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</si>
  <si>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</si>
  <si>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</si>
  <si>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</si>
  <si>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</si>
  <si>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</si>
  <si>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</si>
  <si>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</si>
  <si>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</si>
  <si>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</si>
  <si>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</si>
  <si>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</si>
  <si>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</si>
  <si>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</si>
  <si>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</si>
  <si>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</si>
  <si>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</si>
  <si>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</si>
  <si>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</si>
  <si>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</si>
  <si>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</si>
  <si>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</si>
  <si>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</si>
  <si>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</si>
  <si>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</si>
  <si>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</si>
  <si>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</si>
  <si>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</si>
  <si>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</si>
  <si>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</si>
  <si>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</si>
  <si>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</si>
  <si>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</si>
  <si>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</si>
  <si>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</si>
  <si>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</si>
  <si>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</si>
  <si>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</si>
  <si>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</si>
  <si>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</si>
  <si>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</si>
  <si>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</si>
  <si>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</si>
  <si>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</si>
  <si>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</si>
  <si>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</si>
  <si>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</si>
  <si>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</si>
  <si>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</si>
  <si>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</si>
  <si>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</si>
  <si>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</si>
  <si>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</si>
  <si>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</si>
  <si>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</si>
  <si>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</si>
  <si>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</si>
  <si>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</si>
  <si>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</si>
  <si>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</si>
  <si>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</si>
  <si>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</si>
  <si>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</si>
  <si>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</si>
  <si>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</si>
  <si>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</si>
  <si>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</si>
  <si>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</si>
  <si>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</si>
  <si>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</si>
  <si>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</si>
  <si>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</si>
  <si>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</si>
  <si>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</si>
  <si>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</si>
  <si>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</si>
  <si>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</si>
  <si>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</si>
  <si>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</si>
  <si>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</si>
  <si>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</si>
  <si>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</si>
  <si>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</si>
  <si>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</si>
  <si>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</si>
  <si>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</si>
  <si>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</si>
  <si>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</si>
  <si>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</si>
  <si>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</si>
  <si>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</si>
  <si>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</si>
  <si>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</si>
  <si>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</si>
  <si>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</si>
  <si>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</si>
  <si>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</si>
  <si>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</si>
  <si>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</si>
  <si>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</si>
  <si>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</si>
  <si>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</si>
  <si>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</si>
  <si>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</si>
  <si>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</si>
  <si>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</si>
  <si>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</si>
  <si>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</si>
  <si>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</si>
  <si>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</si>
  <si>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</si>
  <si>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</si>
  <si>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</si>
  <si>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</si>
  <si>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</si>
  <si>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</si>
  <si>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</si>
  <si>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</si>
  <si>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</si>
  <si>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</si>
  <si>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</si>
  <si>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</si>
  <si>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</si>
  <si>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</si>
  <si>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</si>
  <si>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</si>
  <si>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</si>
  <si>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</si>
  <si>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</si>
  <si>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</si>
  <si>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</si>
  <si>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</si>
  <si>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</si>
  <si>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</si>
  <si>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</si>
  <si>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</si>
  <si>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</si>
  <si>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</si>
  <si>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</si>
  <si>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</si>
  <si>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</si>
  <si>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</si>
  <si>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</si>
  <si>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</si>
  <si>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</si>
  <si>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</si>
  <si>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</si>
  <si>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</si>
  <si>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</si>
  <si>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</si>
  <si>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</si>
  <si>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</si>
  <si>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</si>
  <si>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</si>
  <si>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</si>
  <si>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</si>
  <si>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</si>
  <si>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</si>
  <si>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</si>
  <si>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</si>
  <si>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</si>
  <si>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</si>
  <si>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</si>
  <si>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</si>
  <si>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</si>
  <si>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</si>
  <si>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</si>
  <si>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</si>
  <si>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</si>
  <si>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</si>
  <si>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</si>
  <si>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</si>
  <si>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</si>
  <si>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</si>
  <si>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</si>
  <si>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</si>
  <si>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</si>
  <si>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</si>
  <si>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</si>
  <si>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</si>
  <si>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</si>
  <si>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</si>
  <si>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</si>
  <si>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</si>
  <si>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</si>
  <si>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</si>
  <si>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</si>
  <si>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</si>
  <si>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</si>
  <si>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</si>
  <si>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</si>
  <si>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</si>
  <si>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</si>
  <si>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</si>
  <si>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</si>
  <si>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</si>
  <si>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</si>
  <si>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</si>
  <si>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</si>
  <si>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</si>
  <si>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</si>
  <si>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</si>
  <si>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</si>
  <si>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</si>
  <si>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</si>
  <si>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</si>
  <si>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</si>
  <si>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</si>
  <si>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</si>
  <si>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</si>
  <si>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</si>
  <si>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</si>
  <si>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</si>
  <si>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</si>
  <si>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</si>
  <si>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</si>
  <si>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</si>
  <si>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</si>
  <si>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</si>
  <si>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</si>
  <si>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</si>
  <si>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</si>
  <si>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</si>
  <si>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</si>
  <si>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</si>
  <si>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</si>
  <si>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</si>
  <si>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</si>
  <si>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</si>
  <si>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</si>
  <si>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</si>
  <si>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</si>
  <si>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</si>
  <si>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</si>
  <si>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</si>
  <si>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</si>
  <si>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</si>
  <si>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</si>
  <si>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</si>
  <si>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</si>
  <si>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</si>
  <si>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</si>
  <si>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</si>
  <si>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</si>
  <si>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</si>
  <si>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</si>
  <si>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</si>
  <si>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</si>
  <si>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</si>
  <si>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</si>
  <si>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</si>
  <si>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</si>
  <si>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</si>
  <si>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</si>
  <si>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</si>
  <si>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</si>
  <si>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</si>
  <si>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</si>
  <si>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</si>
  <si>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</si>
  <si>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</si>
  <si>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</si>
  <si>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</si>
  <si>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</si>
  <si>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</si>
  <si>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</si>
  <si>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</si>
  <si>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</si>
  <si>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</si>
  <si>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</si>
  <si>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</si>
  <si>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</si>
  <si>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</si>
  <si>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</si>
  <si>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</si>
  <si>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</si>
  <si>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</si>
  <si>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</si>
  <si>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</si>
  <si>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</si>
  <si>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</si>
  <si>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</si>
  <si>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</si>
  <si>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</si>
  <si>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</si>
  <si>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</si>
  <si>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</si>
  <si>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</si>
  <si>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</si>
  <si>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</si>
  <si>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</si>
  <si>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</si>
  <si>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</si>
  <si>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</si>
  <si>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</si>
  <si>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</si>
  <si>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</si>
  <si>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</si>
  <si>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</si>
  <si>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</si>
  <si>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</si>
  <si>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</si>
  <si>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</si>
  <si>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</si>
  <si>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</si>
  <si>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</si>
  <si>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</si>
  <si>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</si>
  <si>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</si>
  <si>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</si>
  <si>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</si>
  <si>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</si>
  <si>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</si>
  <si>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</si>
  <si>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</si>
  <si>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</si>
  <si>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</si>
  <si>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</si>
  <si>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</si>
  <si>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</si>
  <si>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</si>
  <si>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</si>
  <si>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</si>
  <si>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</si>
  <si>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</si>
  <si>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</si>
  <si>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</si>
  <si>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</si>
  <si>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</si>
  <si>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</si>
  <si>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</si>
  <si>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</si>
  <si>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</si>
  <si>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</si>
  <si>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</si>
  <si>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</si>
  <si>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</si>
  <si>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</si>
  <si>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</si>
  <si>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</si>
  <si>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</si>
  <si>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</si>
  <si>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</si>
  <si>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</si>
  <si>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</si>
  <si>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</si>
  <si>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</si>
  <si>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</si>
  <si>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</si>
  <si>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</si>
  <si>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</si>
  <si>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</si>
  <si>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</si>
  <si>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</si>
  <si>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</si>
  <si>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</si>
  <si>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</si>
  <si>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</si>
  <si>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</si>
  <si>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</si>
  <si>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</si>
  <si>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</si>
  <si>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</si>
  <si>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</si>
  <si>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</si>
  <si>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</si>
  <si>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</si>
  <si>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</si>
  <si>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</si>
  <si>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</si>
  <si>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</si>
  <si>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</si>
  <si>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</si>
  <si>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</si>
  <si>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</si>
  <si>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</si>
  <si>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</si>
  <si>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</si>
  <si>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</si>
  <si>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</si>
  <si>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</si>
  <si>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</si>
  <si>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</si>
  <si>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</si>
  <si>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</si>
  <si>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</si>
  <si>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</si>
  <si>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</si>
  <si>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</si>
  <si>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</si>
  <si>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</si>
  <si>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</si>
  <si>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</si>
  <si>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</si>
  <si>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</si>
  <si>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</si>
  <si>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</si>
  <si>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</si>
  <si>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</si>
  <si>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</si>
  <si>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</si>
  <si>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</si>
  <si>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</si>
  <si>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</si>
  <si>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</si>
  <si>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</si>
  <si>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</si>
  <si>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</si>
  <si>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</si>
  <si>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</si>
  <si>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</si>
  <si>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</si>
  <si>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</si>
  <si>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</si>
  <si>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</si>
  <si>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</si>
  <si>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</si>
  <si>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</si>
  <si>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</si>
  <si>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</si>
  <si>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</si>
  <si>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</si>
  <si>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</si>
  <si>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</si>
  <si>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</si>
  <si>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</si>
  <si>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</si>
  <si>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</si>
  <si>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</si>
  <si>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</si>
  <si>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</si>
  <si>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</si>
  <si>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</si>
  <si>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</si>
  <si>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</si>
  <si>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</si>
  <si>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</si>
  <si>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</si>
  <si>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</si>
  <si>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</si>
  <si>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</si>
  <si>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</si>
  <si>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</si>
  <si>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</si>
  <si>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</si>
  <si>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</si>
  <si>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</si>
  <si>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</si>
  <si>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</si>
  <si>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</si>
  <si>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</si>
  <si>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</si>
  <si>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</si>
  <si>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</si>
  <si>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</si>
  <si>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</si>
  <si>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</si>
  <si>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</si>
  <si>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</si>
  <si>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</si>
  <si>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</si>
  <si>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</si>
  <si>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</si>
  <si>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</si>
  <si>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</si>
  <si>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</si>
  <si>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</si>
  <si>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</si>
  <si>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</si>
  <si>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</si>
  <si>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</si>
  <si>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</si>
  <si>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</si>
  <si>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</si>
  <si>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</si>
  <si>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</si>
  <si>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</si>
  <si>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</si>
  <si>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</si>
  <si>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</si>
  <si>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</si>
  <si>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</si>
  <si>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</si>
  <si>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</si>
  <si>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</si>
  <si>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</si>
  <si>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</si>
  <si>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</si>
  <si>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</si>
  <si>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</si>
  <si>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</si>
  <si>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</si>
  <si>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</si>
  <si>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</si>
  <si>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</si>
  <si>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</si>
  <si>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</si>
  <si>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</si>
  <si>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</si>
  <si>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</si>
  <si>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</si>
  <si>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</si>
  <si>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</si>
  <si>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</si>
  <si>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</si>
  <si>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</si>
  <si>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</si>
  <si>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</si>
  <si>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</si>
  <si>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</si>
  <si>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</si>
  <si>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</si>
  <si>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</si>
  <si>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</si>
  <si>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</si>
  <si>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</si>
  <si>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</si>
  <si>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</si>
  <si>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</si>
  <si>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</si>
  <si>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</si>
  <si>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</si>
  <si>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</si>
  <si>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</si>
  <si>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</si>
  <si>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</si>
  <si>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</si>
  <si>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</si>
  <si>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</si>
  <si>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</si>
  <si>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</si>
  <si>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</si>
  <si>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</si>
  <si>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</si>
  <si>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</si>
  <si>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</si>
  <si>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</si>
  <si>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</si>
  <si>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</si>
  <si>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</si>
  <si>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</si>
  <si>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</si>
  <si>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</si>
  <si>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</si>
  <si>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</si>
  <si>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</si>
  <si>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</si>
  <si>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</si>
  <si>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</si>
  <si>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</si>
  <si>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</si>
  <si>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</si>
  <si>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</si>
  <si>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</si>
  <si>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</si>
  <si>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</si>
  <si>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</si>
  <si>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</si>
  <si>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</si>
  <si>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</si>
  <si>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</si>
  <si>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</si>
  <si>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</si>
  <si>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</si>
  <si>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</si>
  <si>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</si>
  <si>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</si>
  <si>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</si>
  <si>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</si>
  <si>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</si>
  <si>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</si>
  <si>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</si>
  <si>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</si>
  <si>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</si>
  <si>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</si>
  <si>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</si>
  <si>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</si>
  <si>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</si>
  <si>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</si>
  <si>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</si>
  <si>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</si>
  <si>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</si>
  <si>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</si>
  <si>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</si>
  <si>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</si>
  <si>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</si>
  <si>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</si>
  <si>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</si>
  <si>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</si>
  <si>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</si>
  <si>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</si>
  <si>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</si>
  <si>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</si>
  <si>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</si>
  <si>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</si>
  <si>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</si>
  <si>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</si>
  <si>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</si>
  <si>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</si>
  <si>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</si>
  <si>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</si>
  <si>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</si>
  <si>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</si>
  <si>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</si>
  <si>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</si>
  <si>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</si>
  <si>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</si>
  <si>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</si>
  <si>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</si>
  <si>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</si>
  <si>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</si>
  <si>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</si>
  <si>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</si>
  <si>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</si>
  <si>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</si>
  <si>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</si>
  <si>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</si>
  <si>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</si>
  <si>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</si>
  <si>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</si>
  <si>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</si>
  <si>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</si>
  <si>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</si>
  <si>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</si>
  <si>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</si>
  <si>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</si>
  <si>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</si>
  <si>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</si>
  <si>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</si>
  <si>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</si>
  <si>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</si>
  <si>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</si>
  <si>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</si>
  <si>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</si>
  <si>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</si>
  <si>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</si>
  <si>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</si>
  <si>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</si>
  <si>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</si>
  <si>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</si>
  <si>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</si>
  <si>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</si>
  <si>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</si>
  <si>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</si>
  <si>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</si>
  <si>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</si>
  <si>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</si>
  <si>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</si>
  <si>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</si>
  <si>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</si>
  <si>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</si>
  <si>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</si>
  <si>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</si>
  <si>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</si>
  <si>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</si>
  <si>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</si>
  <si>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</si>
  <si>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</si>
  <si>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</si>
  <si>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</si>
  <si>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</si>
  <si>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</si>
  <si>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</si>
  <si>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</si>
  <si>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</si>
  <si>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</si>
  <si>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</si>
  <si>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</si>
  <si>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</si>
  <si>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</si>
  <si>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</si>
  <si>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</si>
  <si>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</si>
  <si>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</si>
  <si>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</si>
  <si>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</si>
  <si>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</si>
  <si>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</si>
  <si>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</si>
  <si>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</si>
  <si>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</si>
  <si>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</si>
  <si>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</si>
  <si>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</si>
  <si>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</si>
  <si>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</si>
  <si>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</si>
  <si>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</si>
  <si>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</si>
  <si>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</si>
  <si>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</si>
  <si>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</si>
  <si>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</si>
  <si>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</si>
  <si>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</si>
  <si>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</si>
  <si>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</si>
  <si>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</si>
  <si>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</si>
  <si>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</si>
  <si>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</si>
  <si>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</si>
  <si>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</si>
  <si>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</si>
  <si>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</si>
  <si>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</si>
  <si>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</si>
  <si>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</si>
  <si>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</si>
  <si>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</si>
  <si>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</si>
  <si>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</si>
  <si>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</si>
  <si>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</si>
  <si>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</si>
  <si>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</si>
  <si>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</si>
  <si>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</si>
  <si>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</si>
  <si>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</si>
  <si>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</si>
  <si>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</si>
  <si>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</si>
  <si>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</si>
  <si>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</si>
  <si>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</si>
  <si>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</si>
  <si>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</si>
  <si>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</si>
  <si>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</si>
  <si>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</si>
  <si>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</si>
  <si>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</si>
  <si>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</si>
  <si>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</si>
  <si>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</si>
  <si>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</si>
  <si>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</si>
  <si>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</si>
  <si>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</si>
  <si>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</si>
  <si>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</si>
  <si>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</si>
  <si>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</si>
  <si>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</si>
  <si>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</si>
  <si>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</si>
  <si>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</si>
  <si>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</si>
  <si>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</si>
  <si>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</si>
  <si>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</si>
  <si>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</si>
  <si>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</si>
  <si>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</si>
  <si>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</si>
  <si>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</si>
  <si>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</si>
  <si>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</si>
  <si>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</si>
  <si>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</si>
  <si>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</si>
  <si>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</si>
  <si>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</si>
  <si>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</si>
  <si>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</si>
  <si>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</si>
  <si>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</si>
  <si>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</si>
  <si>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</si>
  <si>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</si>
  <si>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</si>
  <si>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</si>
  <si>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</si>
  <si>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</si>
  <si>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</si>
  <si>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</si>
  <si>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</si>
  <si>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</si>
  <si>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</si>
  <si>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</si>
  <si>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</si>
  <si>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</si>
  <si>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</si>
  <si>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</si>
  <si>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</si>
  <si>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</si>
  <si>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</si>
  <si>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</si>
  <si>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</si>
  <si>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</si>
  <si>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</si>
  <si>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</si>
  <si>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</si>
  <si>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</si>
  <si>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</si>
  <si>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</si>
  <si>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</si>
  <si>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</si>
  <si>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</si>
  <si>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</si>
  <si>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</si>
  <si>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</si>
  <si>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</si>
  <si>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</si>
  <si>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</si>
  <si>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</si>
  <si>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</si>
  <si>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</si>
  <si>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</si>
  <si>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</si>
  <si>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</si>
  <si>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</si>
  <si>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</si>
  <si>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</si>
  <si>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</si>
  <si>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</si>
  <si>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</si>
  <si>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</si>
  <si>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</si>
  <si>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</si>
  <si>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</si>
  <si>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</si>
  <si>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</si>
  <si>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</si>
  <si>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</si>
  <si>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</si>
  <si>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</si>
  <si>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</si>
  <si>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</si>
  <si>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</si>
  <si>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</si>
  <si>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</si>
  <si>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</si>
  <si>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</si>
  <si>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</si>
  <si>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</si>
  <si>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</si>
  <si>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</si>
  <si>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</si>
  <si>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</si>
  <si>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</si>
  <si>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</si>
  <si>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</si>
  <si>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</si>
  <si>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</si>
  <si>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</si>
  <si>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</si>
  <si>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</si>
  <si>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</si>
  <si>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</si>
  <si>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</si>
  <si>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</si>
  <si>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</si>
  <si>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</si>
  <si>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</si>
  <si>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</si>
  <si>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</si>
  <si>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</si>
  <si>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</si>
  <si>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</si>
  <si>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</si>
  <si>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</si>
  <si>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</si>
  <si>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</si>
  <si>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</si>
  <si>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</si>
  <si>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</si>
  <si>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</si>
  <si>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</si>
  <si>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</si>
  <si>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</si>
  <si>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</si>
  <si>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</si>
  <si>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</si>
  <si>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</si>
  <si>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</si>
  <si>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</si>
  <si>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</si>
  <si>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</si>
  <si>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</si>
  <si>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</si>
  <si>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</si>
  <si>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</si>
  <si>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</si>
  <si>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</si>
  <si>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</si>
  <si>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</si>
  <si>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</si>
  <si>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</si>
  <si>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</si>
  <si>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</si>
  <si>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</si>
  <si>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</si>
  <si>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</si>
  <si>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</si>
  <si>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</si>
  <si>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</si>
  <si>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</si>
  <si>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</si>
  <si>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</si>
  <si>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</si>
  <si>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</si>
  <si>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</si>
  <si>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</si>
  <si>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</si>
  <si>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</si>
  <si>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</si>
  <si>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</si>
  <si>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</si>
  <si>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</si>
  <si>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</si>
  <si>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</si>
  <si>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</si>
  <si>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</si>
  <si>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</si>
  <si>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</si>
  <si>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</si>
  <si>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</si>
  <si>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</si>
  <si>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</si>
  <si>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</si>
  <si>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</si>
  <si>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</si>
  <si>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</si>
  <si>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</si>
  <si>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</si>
  <si>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</si>
  <si>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</si>
  <si>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</si>
  <si>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</si>
  <si>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</si>
  <si>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</si>
  <si>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</si>
  <si>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</si>
  <si>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</si>
  <si>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</si>
  <si>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</si>
  <si>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</si>
  <si>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</si>
  <si>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</si>
  <si>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</si>
  <si>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</si>
  <si>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</si>
  <si>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</si>
  <si>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</si>
  <si>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</si>
  <si>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</si>
  <si>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</si>
  <si>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</si>
  <si>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</si>
  <si>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</si>
  <si>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</si>
  <si>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</si>
  <si>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</si>
  <si>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</si>
  <si>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</si>
  <si>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</si>
  <si>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</si>
  <si>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</si>
  <si>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</si>
  <si>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</si>
  <si>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</si>
  <si>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</si>
  <si>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</si>
  <si>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</si>
  <si>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</si>
  <si>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</si>
  <si>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</si>
  <si>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</si>
  <si>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</si>
  <si>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</si>
  <si>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</si>
  <si>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</si>
  <si>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</si>
  <si>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</si>
  <si>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</si>
  <si>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</si>
  <si>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</si>
  <si>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</si>
  <si>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</si>
  <si>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</si>
  <si>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</si>
  <si>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</si>
  <si>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</si>
  <si>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</si>
  <si>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</si>
  <si>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</si>
  <si>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</si>
  <si>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</si>
  <si>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</si>
  <si>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</si>
  <si>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</si>
  <si>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</si>
  <si>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</si>
  <si>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</si>
  <si>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</si>
  <si>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</si>
  <si>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</si>
  <si>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</si>
  <si>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</si>
  <si>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</si>
  <si>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</si>
  <si>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</si>
  <si>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</si>
  <si>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</si>
  <si>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</si>
  <si>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</si>
  <si>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</si>
  <si>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</si>
  <si>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</si>
  <si>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</si>
  <si>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</si>
  <si>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</si>
  <si>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</si>
  <si>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</si>
  <si>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</si>
  <si>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</si>
  <si>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</si>
  <si>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</si>
  <si>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</si>
  <si>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</si>
  <si>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</si>
  <si>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</si>
  <si>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</si>
  <si>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</si>
  <si>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</si>
  <si>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</si>
  <si>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</si>
  <si>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</si>
  <si>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</si>
  <si>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</si>
  <si>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</si>
  <si>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</si>
  <si>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</si>
  <si>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</si>
  <si>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</si>
  <si>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</si>
  <si>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</si>
  <si>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</si>
  <si>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</si>
  <si>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</si>
  <si>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</si>
  <si>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</si>
  <si>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</si>
  <si>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</si>
  <si>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</si>
  <si>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</si>
  <si>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</si>
  <si>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</si>
  <si>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</si>
  <si>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</si>
  <si>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</si>
  <si>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</si>
  <si>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</si>
  <si>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</si>
  <si>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</si>
  <si>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</si>
  <si>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</si>
  <si>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</si>
  <si>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</si>
  <si>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</si>
  <si>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</si>
  <si>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</si>
  <si>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</si>
  <si>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</si>
  <si>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</si>
  <si>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</si>
  <si>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</si>
  <si>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</si>
  <si>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</si>
  <si>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</si>
  <si>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</si>
  <si>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</si>
  <si>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</si>
  <si>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</si>
  <si>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</si>
  <si>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</si>
  <si>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</si>
  <si>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</si>
  <si>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</si>
  <si>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</si>
  <si>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</si>
  <si>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</si>
  <si>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</si>
  <si>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</si>
  <si>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</si>
  <si>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</si>
  <si>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</si>
  <si>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</si>
  <si>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</si>
  <si>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</si>
  <si>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</si>
  <si>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</si>
  <si>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</si>
  <si>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</si>
  <si>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</si>
  <si>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</si>
  <si>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</si>
  <si>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</si>
  <si>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</si>
  <si>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</si>
  <si>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</si>
  <si>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</si>
  <si>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</si>
  <si>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</si>
  <si>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</si>
  <si>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</si>
  <si>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</si>
  <si>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</si>
  <si>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</si>
  <si>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</si>
  <si>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</si>
  <si>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</si>
  <si>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</si>
  <si>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</si>
  <si>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</si>
  <si>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</si>
  <si>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</si>
  <si>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</si>
  <si>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</si>
  <si>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</si>
  <si>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</si>
  <si>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</si>
  <si>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</si>
  <si>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</si>
  <si>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</si>
  <si>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</si>
  <si>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</si>
  <si>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</si>
  <si>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</si>
  <si>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</si>
  <si>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</si>
  <si>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</si>
  <si>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</si>
  <si>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</si>
  <si>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</si>
  <si>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</si>
  <si>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</si>
  <si>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</si>
  <si>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</si>
  <si>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</si>
  <si>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</si>
  <si>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</si>
  <si>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</si>
  <si>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</si>
  <si>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</si>
  <si>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</si>
  <si>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</si>
  <si>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</si>
  <si>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</si>
  <si>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</si>
  <si>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</si>
  <si>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</si>
  <si>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</si>
  <si>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</si>
  <si>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</si>
  <si>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</si>
  <si>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</si>
  <si>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</si>
  <si>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</si>
  <si>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</si>
  <si>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</si>
  <si>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</si>
  <si>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</si>
  <si>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</si>
  <si>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</si>
  <si>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</si>
  <si>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</si>
  <si>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</si>
  <si>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</si>
  <si>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</si>
  <si>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</si>
  <si>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</si>
  <si>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</si>
  <si>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</si>
  <si>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</si>
  <si>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</si>
  <si>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</si>
  <si>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</si>
  <si>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</si>
  <si>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</si>
  <si>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</si>
  <si>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</si>
  <si>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</si>
  <si>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</si>
  <si>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</si>
  <si>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</si>
  <si>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</si>
  <si>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</si>
  <si>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</si>
  <si>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</si>
  <si>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</si>
  <si>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</si>
  <si>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</si>
  <si>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</si>
  <si>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</si>
  <si>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</si>
  <si>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</si>
  <si>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</si>
  <si>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</si>
  <si>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</si>
  <si>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</si>
  <si>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</si>
  <si>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</si>
  <si>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</si>
  <si>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</si>
  <si>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</si>
  <si>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</si>
  <si>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</si>
  <si>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</si>
  <si>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</si>
  <si>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</si>
  <si>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</si>
  <si>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</si>
  <si>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</si>
  <si>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</si>
  <si>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</si>
  <si>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</si>
  <si>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</si>
  <si>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</si>
  <si>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</si>
  <si>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</si>
  <si>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</si>
  <si>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</si>
  <si>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</si>
  <si>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</si>
  <si>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</si>
  <si>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</si>
  <si>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</si>
  <si>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</si>
  <si>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</si>
  <si>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</si>
  <si>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</si>
  <si>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</si>
  <si>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</si>
  <si>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</si>
  <si>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</si>
  <si>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</si>
  <si>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</si>
  <si>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</si>
  <si>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</si>
  <si>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</si>
  <si>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</si>
  <si>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</si>
  <si>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</si>
  <si>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</si>
  <si>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</si>
  <si>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</si>
  <si>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</si>
  <si>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</si>
  <si>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</si>
  <si>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</si>
  <si>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</si>
  <si>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</si>
  <si>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</si>
  <si>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</si>
  <si>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</si>
  <si>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</si>
  <si>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</si>
  <si>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</si>
  <si>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</si>
  <si>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</si>
  <si>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</si>
  <si>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</si>
  <si>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</si>
  <si>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</si>
  <si>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</si>
  <si>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</si>
  <si>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</si>
  <si>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</si>
  <si>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</si>
  <si>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</si>
  <si>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</si>
  <si>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</si>
  <si>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</si>
  <si>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</si>
  <si>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</si>
  <si>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</si>
  <si>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</si>
  <si>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</si>
  <si>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</si>
  <si>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</si>
  <si>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</si>
  <si>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</si>
  <si>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</si>
  <si>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</si>
  <si>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</si>
  <si>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</si>
  <si>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</si>
  <si>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</si>
  <si>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</si>
  <si>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</si>
  <si>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</si>
  <si>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</si>
  <si>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</si>
  <si>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</si>
  <si>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</si>
  <si>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</si>
  <si>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</si>
  <si>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</si>
  <si>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</si>
  <si>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</si>
  <si>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</si>
  <si>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</si>
  <si>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</si>
  <si>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</si>
  <si>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</si>
  <si>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</si>
  <si>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</si>
  <si>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</si>
  <si>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</si>
  <si>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</si>
  <si>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</si>
  <si>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</si>
  <si>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</si>
  <si>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</si>
  <si>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</si>
  <si>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</si>
  <si>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</si>
  <si>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</si>
  <si>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</si>
  <si>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</si>
  <si>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</si>
  <si>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</si>
  <si>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</si>
  <si>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</si>
  <si>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</si>
  <si>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</si>
  <si>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</si>
  <si>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</si>
  <si>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</si>
  <si>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</si>
  <si>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</si>
  <si>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</si>
  <si>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</si>
  <si>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</si>
  <si>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</si>
  <si>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</si>
  <si>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</si>
  <si>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</si>
  <si>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</si>
  <si>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</si>
  <si>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</si>
  <si>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</si>
  <si>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</si>
  <si>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</si>
  <si>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</si>
  <si>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</si>
  <si>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</si>
  <si>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</si>
  <si>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</si>
  <si>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</si>
  <si>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</si>
  <si>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</si>
  <si>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</si>
  <si>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</si>
  <si>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</si>
  <si>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</si>
  <si>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</si>
  <si>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</si>
  <si>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</si>
  <si>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</si>
  <si>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</si>
  <si>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</si>
  <si>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</si>
  <si>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</si>
  <si>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</si>
  <si>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</si>
  <si>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</si>
  <si>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</si>
  <si>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</si>
  <si>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</si>
  <si>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</si>
  <si>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</si>
  <si>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</si>
  <si>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</si>
  <si>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</si>
  <si>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</si>
  <si>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</si>
  <si>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</si>
  <si>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</si>
  <si>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</si>
  <si>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</si>
  <si>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</si>
  <si>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</si>
  <si>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</si>
  <si>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</si>
  <si>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</si>
  <si>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</si>
  <si>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</si>
  <si>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</si>
  <si>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</si>
  <si>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</si>
  <si>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</si>
  <si>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</si>
  <si>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</si>
  <si>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</si>
  <si>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</si>
  <si>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</si>
  <si>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</si>
  <si>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</si>
  <si>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</si>
  <si>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</si>
  <si>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</si>
  <si>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</si>
  <si>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</si>
  <si>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</si>
  <si>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</si>
  <si>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</si>
  <si>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</si>
  <si>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</si>
  <si>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</si>
  <si>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</si>
  <si>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</si>
  <si>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</si>
  <si>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</si>
  <si>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</si>
  <si>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</si>
  <si>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</si>
  <si>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</si>
  <si>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</si>
  <si>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</si>
  <si>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</si>
  <si>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</si>
  <si>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</si>
  <si>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</si>
  <si>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</si>
  <si>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</si>
  <si>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</si>
  <si>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</si>
  <si>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</si>
  <si>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</si>
  <si>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</si>
  <si>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</si>
  <si>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</si>
  <si>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</si>
  <si>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</si>
  <si>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</si>
  <si>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</si>
  <si>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</si>
  <si>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</si>
  <si>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</si>
  <si>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</si>
  <si>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</si>
  <si>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</si>
  <si>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</si>
  <si>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</si>
  <si>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</si>
  <si>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</si>
  <si>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</si>
  <si>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</si>
  <si>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</si>
  <si>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</si>
  <si>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</si>
  <si>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</si>
  <si>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</si>
  <si>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</si>
  <si>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</si>
  <si>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</si>
  <si>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</si>
  <si>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</si>
  <si>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</si>
  <si>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</si>
  <si>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</si>
  <si>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</si>
  <si>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</si>
  <si>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</si>
  <si>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</si>
  <si>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</si>
  <si>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</si>
  <si>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</si>
  <si>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</si>
  <si>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</si>
  <si>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</si>
  <si>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</si>
  <si>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</si>
  <si>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</si>
  <si>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</si>
  <si>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</si>
  <si>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</si>
  <si>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</si>
  <si>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</si>
  <si>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</si>
  <si>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</si>
  <si>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</si>
  <si>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</si>
  <si>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</si>
  <si>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</si>
  <si>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</si>
  <si>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</si>
  <si>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</si>
  <si>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</si>
  <si>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</si>
  <si>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</si>
  <si>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</si>
  <si>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</si>
  <si>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</si>
  <si>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</si>
  <si>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</si>
  <si>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</si>
  <si>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</si>
  <si>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</si>
  <si>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</si>
  <si>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</si>
  <si>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</si>
  <si>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</si>
  <si>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</si>
  <si>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</si>
  <si>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</si>
  <si>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</si>
  <si>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</si>
  <si>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</si>
  <si>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</si>
  <si>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</si>
  <si>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</si>
  <si>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</si>
  <si>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</si>
  <si>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</si>
  <si>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</si>
  <si>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</si>
  <si>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</si>
  <si>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</si>
  <si>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</si>
  <si>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</si>
  <si>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</si>
  <si>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</si>
  <si>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</si>
  <si>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</si>
  <si>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</si>
  <si>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</si>
  <si>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</si>
  <si>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</si>
  <si>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</si>
  <si>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</si>
  <si>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</si>
  <si>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</si>
  <si>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</si>
  <si>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</si>
  <si>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</si>
  <si>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</si>
  <si>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</si>
  <si>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</si>
  <si>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</si>
  <si>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</si>
  <si>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</si>
  <si>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</si>
  <si>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</si>
  <si>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</si>
  <si>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</si>
  <si>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</si>
  <si>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</si>
  <si>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</si>
  <si>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</si>
  <si>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</si>
  <si>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</si>
  <si>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</si>
  <si>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</si>
  <si>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</si>
  <si>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</si>
  <si>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</si>
  <si>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</si>
  <si>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</si>
  <si>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</si>
  <si>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</si>
  <si>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</si>
  <si>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</si>
  <si>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</si>
  <si>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</si>
  <si>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</si>
  <si>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</si>
  <si>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</si>
  <si>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</si>
  <si>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</si>
  <si>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</si>
  <si>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</si>
  <si>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</si>
  <si>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</si>
  <si>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</si>
  <si>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</si>
  <si>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</si>
  <si>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</si>
  <si>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</si>
  <si>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</si>
  <si>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</si>
  <si>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</si>
  <si>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</si>
  <si>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</si>
  <si>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</si>
  <si>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</si>
  <si>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</si>
  <si>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</si>
  <si>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</si>
  <si>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</si>
  <si>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</si>
  <si>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</si>
  <si>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</si>
  <si>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</si>
  <si>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</si>
  <si>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</si>
  <si>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</si>
  <si>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</si>
  <si>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</si>
  <si>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</si>
  <si>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</si>
  <si>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</si>
  <si>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</si>
  <si>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</si>
  <si>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</si>
  <si>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</si>
  <si>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</si>
  <si>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</si>
  <si>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</si>
  <si>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</si>
  <si>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</si>
  <si>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</si>
  <si>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</si>
  <si>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</si>
  <si>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</si>
  <si>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</si>
  <si>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</si>
  <si>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</si>
  <si>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</si>
  <si>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</si>
  <si>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</si>
  <si>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</si>
  <si>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</si>
  <si>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</si>
  <si>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</si>
  <si>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</si>
  <si>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</si>
  <si>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</si>
  <si>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</si>
  <si>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</si>
  <si>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</si>
  <si>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</si>
  <si>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</si>
  <si>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</si>
  <si>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</si>
  <si>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</si>
  <si>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</si>
  <si>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</si>
  <si>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</si>
  <si>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</si>
  <si>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</si>
  <si>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</si>
  <si>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</si>
  <si>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</si>
  <si>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</si>
  <si>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</si>
  <si>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</si>
  <si>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</si>
  <si>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</si>
  <si>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</si>
  <si>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</si>
  <si>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</si>
  <si>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</si>
  <si>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</si>
  <si>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</si>
  <si>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</si>
  <si>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</si>
  <si>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</si>
  <si>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</si>
  <si>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</si>
  <si>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</si>
  <si>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</si>
  <si>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</si>
  <si>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</si>
  <si>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</si>
  <si>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</si>
  <si>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</si>
  <si>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</si>
  <si>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</si>
  <si>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</si>
  <si>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</si>
  <si>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</si>
  <si>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</si>
  <si>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</si>
  <si>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</si>
  <si>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</si>
  <si>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</si>
  <si>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</si>
  <si>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</si>
  <si>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</si>
  <si>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</si>
  <si>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</si>
  <si>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</si>
  <si>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</si>
  <si>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</si>
  <si>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</si>
  <si>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</si>
  <si>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</si>
  <si>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</si>
  <si>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</si>
  <si>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</si>
  <si>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</si>
  <si>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</si>
  <si>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</si>
  <si>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</si>
  <si>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</si>
  <si>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</si>
  <si>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</si>
  <si>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</si>
  <si>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</si>
  <si>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</si>
  <si>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</si>
  <si>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</si>
  <si>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</si>
  <si>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</si>
  <si>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</si>
  <si>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</si>
  <si>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</si>
  <si>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</si>
  <si>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</si>
  <si>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</si>
  <si>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</si>
  <si>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</si>
  <si>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</si>
  <si>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</si>
  <si>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</si>
  <si>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</si>
  <si>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</si>
  <si>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</si>
  <si>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</si>
  <si>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</si>
  <si>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</si>
  <si>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</si>
  <si>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</si>
  <si>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</si>
  <si>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</si>
  <si>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</si>
  <si>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</si>
  <si>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</si>
  <si>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</si>
  <si>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</si>
  <si>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</si>
  <si>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</si>
  <si>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</si>
  <si>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</si>
  <si>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</si>
  <si>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</si>
  <si>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</si>
  <si>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</si>
  <si>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</si>
  <si>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</si>
  <si>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</si>
  <si>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</si>
  <si>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</si>
  <si>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</si>
  <si>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</si>
  <si>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</si>
  <si>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</si>
  <si>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</si>
  <si>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</si>
  <si>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</si>
  <si>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</si>
  <si>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</si>
  <si>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</si>
  <si>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</si>
  <si>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</si>
  <si>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</si>
  <si>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</si>
  <si>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</si>
  <si>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</si>
  <si>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</si>
  <si>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</si>
  <si>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</si>
  <si>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</si>
  <si>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</si>
  <si>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</si>
  <si>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</si>
  <si>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</si>
  <si>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</si>
  <si>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</si>
  <si>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</si>
  <si>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</si>
  <si>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</si>
  <si>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</si>
  <si>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</si>
  <si>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</si>
  <si>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</si>
  <si>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</si>
  <si>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</si>
  <si>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</si>
  <si>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</si>
  <si>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</si>
  <si>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</si>
  <si>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</si>
  <si>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</si>
  <si>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</si>
  <si>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</si>
  <si>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</si>
  <si>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</si>
  <si>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</si>
  <si>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</si>
  <si>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</si>
  <si>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</si>
  <si>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</si>
  <si>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</si>
  <si>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</si>
  <si>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</si>
  <si>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</si>
  <si>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</si>
  <si>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</si>
  <si>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</si>
  <si>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</si>
  <si>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</si>
  <si>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</si>
  <si>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</si>
  <si>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</si>
  <si>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</si>
  <si>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</si>
  <si>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</si>
  <si>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</si>
  <si>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</si>
  <si>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</si>
  <si>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</si>
  <si>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</si>
  <si>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</si>
  <si>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</si>
  <si>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</si>
  <si>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</si>
  <si>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</si>
  <si>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</si>
  <si>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</si>
  <si>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</si>
  <si>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</si>
  <si>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</si>
  <si>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</si>
  <si>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</si>
  <si>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</si>
  <si>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</si>
  <si>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</si>
  <si>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</si>
  <si>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</si>
  <si>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</si>
  <si>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</si>
  <si>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</si>
  <si>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</si>
  <si>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</si>
  <si>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</si>
  <si>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</si>
  <si>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</si>
  <si>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</si>
  <si>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</si>
  <si>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</si>
  <si>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</si>
  <si>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</si>
  <si>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</si>
  <si>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</si>
  <si>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</si>
  <si>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</si>
  <si>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</si>
  <si>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</si>
  <si>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</si>
  <si>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</si>
  <si>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</si>
  <si>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</si>
  <si>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</si>
  <si>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</si>
  <si>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</si>
  <si>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</si>
  <si>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</si>
  <si>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</si>
  <si>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</si>
  <si>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</si>
  <si>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</si>
  <si>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</si>
  <si>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</si>
  <si>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</si>
  <si>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</si>
  <si>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</si>
  <si>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</si>
  <si>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</si>
  <si>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</si>
  <si>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</si>
  <si>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</si>
  <si>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</si>
  <si>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</si>
  <si>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</si>
  <si>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</si>
  <si>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</si>
  <si>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</si>
  <si>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</si>
  <si>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</si>
  <si>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</si>
  <si>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</si>
  <si>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</si>
  <si>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</si>
  <si>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</si>
  <si>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</si>
  <si>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</si>
  <si>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</si>
  <si>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</si>
  <si>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</si>
  <si>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</si>
  <si>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</si>
  <si>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</si>
  <si>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</si>
  <si>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</si>
  <si>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</si>
  <si>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</si>
  <si>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</si>
  <si>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</si>
  <si>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</si>
  <si>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</si>
  <si>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</si>
  <si>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</si>
  <si>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</si>
  <si>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</si>
  <si>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</si>
  <si>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</si>
  <si>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</si>
  <si>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</si>
  <si>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</si>
  <si>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</si>
  <si>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</si>
  <si>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</si>
  <si>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</si>
  <si>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</si>
  <si>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</si>
  <si>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</si>
  <si>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</si>
  <si>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</si>
  <si>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</si>
  <si>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</si>
  <si>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</si>
  <si>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</si>
  <si>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</si>
  <si>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</si>
  <si>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</si>
  <si>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</si>
  <si>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</si>
  <si>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</si>
  <si>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</si>
  <si>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</si>
  <si>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</si>
  <si>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</si>
  <si>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</si>
  <si>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</si>
  <si>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</si>
  <si>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</si>
  <si>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</si>
  <si>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</si>
  <si>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</si>
  <si>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</si>
  <si>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</si>
  <si>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</si>
  <si>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</si>
  <si>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</si>
  <si>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</si>
  <si>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</si>
  <si>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</si>
  <si>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</si>
  <si>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</si>
  <si>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</si>
  <si>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</si>
  <si>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</si>
  <si>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</si>
  <si>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</si>
  <si>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</si>
  <si>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</si>
  <si>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</si>
  <si>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</si>
  <si>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</si>
  <si>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</si>
  <si>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</si>
  <si>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</si>
  <si>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</si>
  <si>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</si>
  <si>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</si>
  <si>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</si>
  <si>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</si>
  <si>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</si>
  <si>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</si>
  <si>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</si>
  <si>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</si>
  <si>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</si>
  <si>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</si>
  <si>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</si>
  <si>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</si>
  <si>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</si>
  <si>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</si>
  <si>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</si>
  <si>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</si>
  <si>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</si>
  <si>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</si>
  <si>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</si>
  <si>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</si>
  <si>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</si>
  <si>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</si>
  <si>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</si>
  <si>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</si>
  <si>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</si>
  <si>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</si>
  <si>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</si>
  <si>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</si>
  <si>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</si>
  <si>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</si>
  <si>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</si>
  <si>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</si>
  <si>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</si>
  <si>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</si>
  <si>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</si>
  <si>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</si>
  <si>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</si>
  <si>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</si>
  <si>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</si>
  <si>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</si>
  <si>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</si>
  <si>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</si>
  <si>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</si>
  <si>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</si>
  <si>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</si>
  <si>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</si>
  <si>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</si>
  <si>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</si>
  <si>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</si>
  <si>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</si>
  <si>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</si>
  <si>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</si>
  <si>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</si>
  <si>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</si>
  <si>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</si>
  <si>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</si>
  <si>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</si>
  <si>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</si>
  <si>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</si>
  <si>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</si>
  <si>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</si>
  <si>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</si>
  <si>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</si>
  <si>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</si>
  <si>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</si>
  <si>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</si>
  <si>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</si>
  <si>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</si>
  <si>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</si>
  <si>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</si>
  <si>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</si>
  <si>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</si>
  <si>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</si>
  <si>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</si>
  <si>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</si>
  <si>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</si>
  <si>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</si>
  <si>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</si>
  <si>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</si>
  <si>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</si>
  <si>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</si>
  <si>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</si>
  <si>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</si>
  <si>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</si>
  <si>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</si>
  <si>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</si>
  <si>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</si>
  <si>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</si>
  <si>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</si>
  <si>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</si>
  <si>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</si>
  <si>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</si>
  <si>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</si>
  <si>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</si>
  <si>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</si>
  <si>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</si>
  <si>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</si>
  <si>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</si>
  <si>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</si>
  <si>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</si>
  <si>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</si>
  <si>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</si>
  <si>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</si>
  <si>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</si>
  <si>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</si>
  <si>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</si>
  <si>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</si>
  <si>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</si>
  <si>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</si>
  <si>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</si>
  <si>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</si>
  <si>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</si>
  <si>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</si>
  <si>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</si>
  <si>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</si>
  <si>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</si>
  <si>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</si>
  <si>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</si>
  <si>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</si>
  <si>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</si>
  <si>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</si>
  <si>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</si>
  <si>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</si>
  <si>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</si>
  <si>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</si>
  <si>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</si>
  <si>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</si>
  <si>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</si>
  <si>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</si>
  <si>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</si>
  <si>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</si>
  <si>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</si>
  <si>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</si>
  <si>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</si>
  <si>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</si>
  <si>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</si>
  <si>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</si>
  <si>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</si>
  <si>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</si>
  <si>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</si>
  <si>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</si>
  <si>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</si>
  <si>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</si>
  <si>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</si>
  <si>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</si>
  <si>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</si>
  <si>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</si>
  <si>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</si>
  <si>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</si>
  <si>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</si>
  <si>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</si>
  <si>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</si>
  <si>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</si>
  <si>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</si>
  <si>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</si>
  <si>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</si>
  <si>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</si>
  <si>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</si>
  <si>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</si>
  <si>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</si>
  <si>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</si>
  <si>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</si>
  <si>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</si>
  <si>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</si>
  <si>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</si>
  <si>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</si>
  <si>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</si>
  <si>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</si>
  <si>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</si>
  <si>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</si>
  <si>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</si>
  <si>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</si>
  <si>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</si>
  <si>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</si>
  <si>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</si>
  <si>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</si>
  <si>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</si>
  <si>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</si>
  <si>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</si>
  <si>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</si>
  <si>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</si>
  <si>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</si>
  <si>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</si>
  <si>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</si>
  <si>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</si>
  <si>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</si>
  <si>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</si>
  <si>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</si>
  <si>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</si>
  <si>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</si>
  <si>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</si>
  <si>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</si>
  <si>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</si>
  <si>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</si>
  <si>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</si>
  <si>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</si>
  <si>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</si>
  <si>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</si>
  <si>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</si>
  <si>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</si>
  <si>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</si>
  <si>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</si>
  <si>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</si>
  <si>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</si>
  <si>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</si>
  <si>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</si>
  <si>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</si>
  <si>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</si>
  <si>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</si>
  <si>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</si>
  <si>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</si>
  <si>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</si>
  <si>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</si>
  <si>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</si>
  <si>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</si>
  <si>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</si>
  <si>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</si>
  <si>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</si>
  <si>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</si>
  <si>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</si>
  <si>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</si>
  <si>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</si>
  <si>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</si>
  <si>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</si>
  <si>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</si>
  <si>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</si>
  <si>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</si>
  <si>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</si>
  <si>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</si>
  <si>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</si>
  <si>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</si>
  <si>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</si>
  <si>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</si>
  <si>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</si>
  <si>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</si>
  <si>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</si>
  <si>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</si>
  <si>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</si>
  <si>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</si>
  <si>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</si>
  <si>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</si>
  <si>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</si>
  <si>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</si>
  <si>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</si>
  <si>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</si>
  <si>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</si>
  <si>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</si>
  <si>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</si>
  <si>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</si>
  <si>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</si>
  <si>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</si>
  <si>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</si>
  <si>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</si>
  <si>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</si>
  <si>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</si>
  <si>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</si>
  <si>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</si>
  <si>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</si>
  <si>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</si>
  <si>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</si>
  <si>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</si>
  <si>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</si>
  <si>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</si>
  <si>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</si>
  <si>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</si>
  <si>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</si>
  <si>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</si>
  <si>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</si>
  <si>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</si>
  <si>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</si>
  <si>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</si>
  <si>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</si>
  <si>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</si>
  <si>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</si>
  <si>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</si>
  <si>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</si>
  <si>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</si>
  <si>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</si>
  <si>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</si>
  <si>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</si>
  <si>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</si>
  <si>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</si>
  <si>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</si>
  <si>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</si>
  <si>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</si>
  <si>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</si>
  <si>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</si>
  <si>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</si>
  <si>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</si>
  <si>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</si>
  <si>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</si>
  <si>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</si>
  <si>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</si>
  <si>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</si>
  <si>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</si>
  <si>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</si>
  <si>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</si>
  <si>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</si>
  <si>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</si>
  <si>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</si>
  <si>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</si>
  <si>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</si>
  <si>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</si>
  <si>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</si>
  <si>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</si>
  <si>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</si>
  <si>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</si>
  <si>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</si>
  <si>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</si>
  <si>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</si>
  <si>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</si>
  <si>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</si>
  <si>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</si>
  <si>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</si>
  <si>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</si>
  <si>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</si>
  <si>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</si>
  <si>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</si>
  <si>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</si>
  <si>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</si>
  <si>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</si>
  <si>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</si>
  <si>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</si>
  <si>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</si>
  <si>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</si>
  <si>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</si>
  <si>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</si>
  <si>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</si>
  <si>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</si>
  <si>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</si>
  <si>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</si>
  <si>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</si>
  <si>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</si>
  <si>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</si>
  <si>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</si>
  <si>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</si>
  <si>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</si>
  <si>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</si>
  <si>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</si>
  <si>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</si>
  <si>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</si>
  <si>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</si>
  <si>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</si>
  <si>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</si>
  <si>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</si>
  <si>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</si>
  <si>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</si>
  <si>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</si>
  <si>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</si>
  <si>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</si>
  <si>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</si>
  <si>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</si>
  <si>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</si>
  <si>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</si>
  <si>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</si>
  <si>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</si>
  <si>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</si>
  <si>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</si>
  <si>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</si>
  <si>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</si>
  <si>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</si>
  <si>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</si>
  <si>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</si>
  <si>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</si>
  <si>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</si>
  <si>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</si>
  <si>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</si>
  <si>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</si>
  <si>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</si>
  <si>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</si>
  <si>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</si>
  <si>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</si>
  <si>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</si>
  <si>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</si>
  <si>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</si>
  <si>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</si>
  <si>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</si>
  <si>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</si>
  <si>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</si>
  <si>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</si>
  <si>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</si>
  <si>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</si>
  <si>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</si>
  <si>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</si>
  <si>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</si>
  <si>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</si>
  <si>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</si>
  <si>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</si>
  <si>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</si>
  <si>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</si>
  <si>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</si>
  <si>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</si>
  <si>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</si>
  <si>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</si>
  <si>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</si>
  <si>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</si>
  <si>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</si>
  <si>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</si>
  <si>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</si>
  <si>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</si>
  <si>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</si>
  <si>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</si>
  <si>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</si>
  <si>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</si>
  <si>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</si>
  <si>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</si>
  <si>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</si>
  <si>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</si>
  <si>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</si>
  <si>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</si>
  <si>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</si>
  <si>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</si>
  <si>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</si>
  <si>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</si>
  <si>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</si>
  <si>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</si>
  <si>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</si>
  <si>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</si>
  <si>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</si>
  <si>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</si>
  <si>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</si>
  <si>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</si>
  <si>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</si>
  <si>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</si>
  <si>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</si>
  <si>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</si>
  <si>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</si>
  <si>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</si>
  <si>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</si>
  <si>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</si>
  <si>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</si>
  <si>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</si>
  <si>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</si>
  <si>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</si>
  <si>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</si>
  <si>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</si>
  <si>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</si>
  <si>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</si>
  <si>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</si>
  <si>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</si>
  <si>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</si>
  <si>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</si>
  <si>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</si>
  <si>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</si>
  <si>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</si>
  <si>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</si>
  <si>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</si>
  <si>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</si>
  <si>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</si>
  <si>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</si>
  <si>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</si>
  <si>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</si>
  <si>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</si>
  <si>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</si>
  <si>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</si>
  <si>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</si>
  <si>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</si>
  <si>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</si>
  <si>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</si>
  <si>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</si>
  <si>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</si>
  <si>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</si>
  <si>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</si>
  <si>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</si>
  <si>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</si>
  <si>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</si>
  <si>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</si>
  <si>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</si>
  <si>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</si>
  <si>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</si>
  <si>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</si>
  <si>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</si>
  <si>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</si>
  <si>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</si>
  <si>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</si>
  <si>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</si>
  <si>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</si>
  <si>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</si>
  <si>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</si>
  <si>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</si>
  <si>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</si>
  <si>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</si>
  <si>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</si>
  <si>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</si>
  <si>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</si>
  <si>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</si>
  <si>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</si>
  <si>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</si>
  <si>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</si>
  <si>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</si>
  <si>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</si>
  <si>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</si>
  <si>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</si>
  <si>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</si>
  <si>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</si>
  <si>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</si>
  <si>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</si>
  <si>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</si>
  <si>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</si>
  <si>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</si>
  <si>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</si>
  <si>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</si>
  <si>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</si>
  <si>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</si>
  <si>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</si>
  <si>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</si>
  <si>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</si>
  <si>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</si>
  <si>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</si>
  <si>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</si>
  <si>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</si>
  <si>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</si>
  <si>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</si>
  <si>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</si>
  <si>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</si>
  <si>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</si>
  <si>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</si>
  <si>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</si>
  <si>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</si>
  <si>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</si>
  <si>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</si>
  <si>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</si>
  <si>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</si>
  <si>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</si>
  <si>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</si>
  <si>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</si>
  <si>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</si>
  <si>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</si>
  <si>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</si>
  <si>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</si>
  <si>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</si>
  <si>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</si>
  <si>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</si>
  <si>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</si>
  <si>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</si>
  <si>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</si>
  <si>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</si>
  <si>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</si>
  <si>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</si>
  <si>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</si>
  <si>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</si>
  <si>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</si>
  <si>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</si>
  <si>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</si>
  <si>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</si>
  <si>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</si>
  <si>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</si>
  <si>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</si>
  <si>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</si>
  <si>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</si>
  <si>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</si>
  <si>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</si>
  <si>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</si>
  <si>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</si>
  <si>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</si>
  <si>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</si>
  <si>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</si>
  <si>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</si>
  <si>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</si>
  <si>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</si>
  <si>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</si>
  <si>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</si>
  <si>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</si>
  <si>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</si>
  <si>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</si>
  <si>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</si>
  <si>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</si>
  <si>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</si>
  <si>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</si>
  <si>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</si>
  <si>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</si>
  <si>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</si>
  <si>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</si>
  <si>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</si>
  <si>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</si>
  <si>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</si>
  <si>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</si>
  <si>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</si>
  <si>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</si>
  <si>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</si>
  <si>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</si>
  <si>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</si>
  <si>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</si>
  <si>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</si>
  <si>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</si>
  <si>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</si>
  <si>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</si>
  <si>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</si>
  <si>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</si>
  <si>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</si>
  <si>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</si>
  <si>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</si>
  <si>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</si>
  <si>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</si>
  <si>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</si>
  <si>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</si>
  <si>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</si>
  <si>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</si>
  <si>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</si>
  <si>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</si>
  <si>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</si>
  <si>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</si>
  <si>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</si>
  <si>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</si>
  <si>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</si>
  <si>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</si>
  <si>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</si>
  <si>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</si>
  <si>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</si>
  <si>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</si>
  <si>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</si>
  <si>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</si>
  <si>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</si>
  <si>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</si>
  <si>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</si>
  <si>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</si>
  <si>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</si>
  <si>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</si>
  <si>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</si>
  <si>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</si>
  <si>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</si>
  <si>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</si>
  <si>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</si>
  <si>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</si>
  <si>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</si>
  <si>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</si>
  <si>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</si>
  <si>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</si>
  <si>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</si>
  <si>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</si>
  <si>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</si>
  <si>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</si>
  <si>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</si>
  <si>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</si>
  <si>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</si>
  <si>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</si>
  <si>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</si>
  <si>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</si>
  <si>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</si>
  <si>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</si>
  <si>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</si>
  <si>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</si>
  <si>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</si>
  <si>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</si>
  <si>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</si>
  <si>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</si>
  <si>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</si>
  <si>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</si>
  <si>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</si>
  <si>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</si>
  <si>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</si>
  <si>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</si>
  <si>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</si>
  <si>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</si>
  <si>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</si>
  <si>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</si>
  <si>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</si>
  <si>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</si>
  <si>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</si>
  <si>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</si>
  <si>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</si>
  <si>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</si>
  <si>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</si>
  <si>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</si>
  <si>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</si>
  <si>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</si>
  <si>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</si>
  <si>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</si>
  <si>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</si>
  <si>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</si>
  <si>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</si>
  <si>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</si>
  <si>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</si>
  <si>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</si>
  <si>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</si>
  <si>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</si>
  <si>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</si>
  <si>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</si>
  <si>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</si>
  <si>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</si>
  <si>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</si>
  <si>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</si>
  <si>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</si>
  <si>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</si>
  <si>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</si>
  <si>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</si>
  <si>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</si>
  <si>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</si>
  <si>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</si>
  <si>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</si>
  <si>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</si>
  <si>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</si>
  <si>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</si>
  <si>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</si>
  <si>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</si>
  <si>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</si>
  <si>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</si>
  <si>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</si>
  <si>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</si>
  <si>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</si>
  <si>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</si>
  <si>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</si>
  <si>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</si>
  <si>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</si>
  <si>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</si>
  <si>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</si>
  <si>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</si>
  <si>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</si>
  <si>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</si>
  <si>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</si>
  <si>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</si>
  <si>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</si>
  <si>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</si>
  <si>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</si>
  <si>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</si>
  <si>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</si>
  <si>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</si>
  <si>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</si>
  <si>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</si>
  <si>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</si>
  <si>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</si>
  <si>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</si>
  <si>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</si>
  <si>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</si>
  <si>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</si>
  <si>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</si>
  <si>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</si>
  <si>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</si>
  <si>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</si>
  <si>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</si>
  <si>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</si>
  <si>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</si>
  <si>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</si>
  <si>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</si>
  <si>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</si>
  <si>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</si>
  <si>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</si>
  <si>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</si>
  <si>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</si>
  <si>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</si>
  <si>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</si>
  <si>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</si>
  <si>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</si>
  <si>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</si>
  <si>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</si>
  <si>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</si>
  <si>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</si>
  <si>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</si>
  <si>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</si>
  <si>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</si>
  <si>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</si>
  <si>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</si>
  <si>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</si>
  <si>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</si>
  <si>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</si>
  <si>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</si>
  <si>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</si>
  <si>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</si>
  <si>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</si>
  <si>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</si>
  <si>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</si>
  <si>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</si>
  <si>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</si>
  <si>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</si>
  <si>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</si>
  <si>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</si>
  <si>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</si>
  <si>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</si>
  <si>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</si>
  <si>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</si>
  <si>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</si>
  <si>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</si>
  <si>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</si>
  <si>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</si>
  <si>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</si>
  <si>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</si>
  <si>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</si>
  <si>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</si>
  <si>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</si>
  <si>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</si>
  <si>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</si>
  <si>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</si>
  <si>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</si>
  <si>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</si>
  <si>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</si>
  <si>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</si>
  <si>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</si>
  <si>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</si>
  <si>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</si>
  <si>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</si>
  <si>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</si>
  <si>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</si>
  <si>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</si>
  <si>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</si>
  <si>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</si>
  <si>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</si>
  <si>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</si>
  <si>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</si>
  <si>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</si>
  <si>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</si>
  <si>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</si>
  <si>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</si>
  <si>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</si>
  <si>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</si>
  <si>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</si>
  <si>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</si>
  <si>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</si>
  <si>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</si>
  <si>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</si>
  <si>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</si>
  <si>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</si>
  <si>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</si>
  <si>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</si>
  <si>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</si>
  <si>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</si>
  <si>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</si>
  <si>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</si>
  <si>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</si>
  <si>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</si>
  <si>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</si>
  <si>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</si>
  <si>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</si>
  <si>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</si>
  <si>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</si>
  <si>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</si>
  <si>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</si>
  <si>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</si>
  <si>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</si>
  <si>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</si>
  <si>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</si>
  <si>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</si>
  <si>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</si>
  <si>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</si>
  <si>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</si>
  <si>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</si>
  <si>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</si>
  <si>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</si>
  <si>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</si>
  <si>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</si>
  <si>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</si>
  <si>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</si>
  <si>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</si>
  <si>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</si>
  <si>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</si>
  <si>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</si>
  <si>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</si>
  <si>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</si>
  <si>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</si>
  <si>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</si>
  <si>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</si>
  <si>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</si>
  <si>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</si>
  <si>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</si>
  <si>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</si>
  <si>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</si>
  <si>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</si>
  <si>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</si>
  <si>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</si>
  <si>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</si>
  <si>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</si>
  <si>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</si>
  <si>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</si>
  <si>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</si>
  <si>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</si>
  <si>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</si>
  <si>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</si>
  <si>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</si>
  <si>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</si>
  <si>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</si>
  <si>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</si>
  <si>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</si>
  <si>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</si>
  <si>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</si>
  <si>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</si>
  <si>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</si>
  <si>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</si>
  <si>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</si>
  <si>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</si>
  <si>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</si>
  <si>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</si>
  <si>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</si>
  <si>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</si>
  <si>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</si>
  <si>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</si>
  <si>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</si>
  <si>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</si>
  <si>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</si>
  <si>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</si>
  <si>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</si>
  <si>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</si>
  <si>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</si>
  <si>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</si>
  <si>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</si>
  <si>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</si>
  <si>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</si>
  <si>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</si>
  <si>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</si>
  <si>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</si>
  <si>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</si>
  <si>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</si>
  <si>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</si>
  <si>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</si>
  <si>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</si>
  <si>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</si>
  <si>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</si>
  <si>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</si>
  <si>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</si>
  <si>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</si>
  <si>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</si>
  <si>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</si>
  <si>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</si>
  <si>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</si>
  <si>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</si>
  <si>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</si>
  <si>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</si>
  <si>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</si>
  <si>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</si>
  <si>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</si>
  <si>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</si>
  <si>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</si>
  <si>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</si>
  <si>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</si>
  <si>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</si>
  <si>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</si>
  <si>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</si>
  <si>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</si>
  <si>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</si>
  <si>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</si>
  <si>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</si>
  <si>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</si>
  <si>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</si>
  <si>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</si>
  <si>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</si>
  <si>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</si>
  <si>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</si>
  <si>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</si>
  <si>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</si>
  <si>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</si>
  <si>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</si>
  <si>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</si>
  <si>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</si>
  <si>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</si>
  <si>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</si>
  <si>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</si>
  <si>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</si>
  <si>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</si>
  <si>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</si>
  <si>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</si>
  <si>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</si>
  <si>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</si>
  <si>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</si>
  <si>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</si>
  <si>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</si>
  <si>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</si>
  <si>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</si>
  <si>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</si>
  <si>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</si>
  <si>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</si>
  <si>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</si>
  <si>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</si>
  <si>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</si>
  <si>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</si>
  <si>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</si>
  <si>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</si>
  <si>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</si>
  <si>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</si>
  <si>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</si>
  <si>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</si>
  <si>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</si>
  <si>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</si>
  <si>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</si>
  <si>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</si>
  <si>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</si>
  <si>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</si>
  <si>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</si>
  <si>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</si>
  <si>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</si>
  <si>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</si>
  <si>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</si>
  <si>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</si>
  <si>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</si>
  <si>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</si>
  <si>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</si>
  <si>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</si>
  <si>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</si>
  <si>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</si>
  <si>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</si>
  <si>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</si>
  <si>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</si>
  <si>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</si>
  <si>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</si>
  <si>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</si>
  <si>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</si>
  <si>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</si>
  <si>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</si>
  <si>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</si>
  <si>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</si>
  <si>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</si>
  <si>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</si>
  <si>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</si>
  <si>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</si>
  <si>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</si>
  <si>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</si>
  <si>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</si>
  <si>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</si>
  <si>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</si>
  <si>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</si>
  <si>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</si>
  <si>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</si>
  <si>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</si>
  <si>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</si>
  <si>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</si>
  <si>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</si>
  <si>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</si>
  <si>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</si>
  <si>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</si>
  <si>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</si>
  <si>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</si>
  <si>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</si>
  <si>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</si>
  <si>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</si>
  <si>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</si>
  <si>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</si>
  <si>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</si>
  <si>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</si>
  <si>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</si>
  <si>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</si>
  <si>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</si>
  <si>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</si>
  <si>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</si>
  <si>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</si>
  <si>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</si>
  <si>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</si>
  <si>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</si>
  <si>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</si>
  <si>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</si>
  <si>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</si>
  <si>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</si>
  <si>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</si>
  <si>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</si>
  <si>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</si>
  <si>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</si>
  <si>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</si>
  <si>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</si>
  <si>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</si>
  <si>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</si>
  <si>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</si>
  <si>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</si>
  <si>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</si>
  <si>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</si>
  <si>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</si>
  <si>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</si>
  <si>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</si>
  <si>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</si>
  <si>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</si>
  <si>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</si>
  <si>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</si>
  <si>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</si>
  <si>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</si>
  <si>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</si>
  <si>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</si>
  <si>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</si>
  <si>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</si>
  <si>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</si>
  <si>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</si>
  <si>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</si>
  <si>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</si>
  <si>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</si>
  <si>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</si>
  <si>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</si>
  <si>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</si>
  <si>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</si>
  <si>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</si>
  <si>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</si>
  <si>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</si>
  <si>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</si>
  <si>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</si>
  <si>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</si>
  <si>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</si>
  <si>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</si>
  <si>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</si>
  <si>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</si>
  <si>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</si>
  <si>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</si>
  <si>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</si>
  <si>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</si>
  <si>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</si>
  <si>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</si>
  <si>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</si>
  <si>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</si>
  <si>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</si>
  <si>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</si>
  <si>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</si>
  <si>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</si>
  <si>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</si>
  <si>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</si>
  <si>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</si>
  <si>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</si>
  <si>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</si>
  <si>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</si>
  <si>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</si>
  <si>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</si>
  <si>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</si>
  <si>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</si>
  <si>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</si>
  <si>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</si>
  <si>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</si>
  <si>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</si>
  <si>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</si>
  <si>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</si>
  <si>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</si>
  <si>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</si>
  <si>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</si>
  <si>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</si>
  <si>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</si>
  <si>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</si>
  <si>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</si>
  <si>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</si>
  <si>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</si>
  <si>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</si>
  <si>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</si>
  <si>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</si>
  <si>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</si>
  <si>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</si>
  <si>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</si>
  <si>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</si>
  <si>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</si>
  <si>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</si>
  <si>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</si>
  <si>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</si>
  <si>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</si>
  <si>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</si>
  <si>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</si>
  <si>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</si>
  <si>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</si>
  <si>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</si>
  <si>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</si>
  <si>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</si>
  <si>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</si>
  <si>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</si>
  <si>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</si>
  <si>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</si>
  <si>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</si>
  <si>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</si>
  <si>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</si>
  <si>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</si>
  <si>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</si>
  <si>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</si>
  <si>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</si>
  <si>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</si>
  <si>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</si>
  <si>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</si>
  <si>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</si>
  <si>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</si>
  <si>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</si>
  <si>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</si>
  <si>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</si>
  <si>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</si>
  <si>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</si>
  <si>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</si>
  <si>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</si>
  <si>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</si>
  <si>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</si>
  <si>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</si>
  <si>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</si>
  <si>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</si>
  <si>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</si>
  <si>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</si>
  <si>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</si>
  <si>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</si>
  <si>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</si>
  <si>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</si>
  <si>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</si>
  <si>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</si>
  <si>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</si>
  <si>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</si>
  <si>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</si>
  <si>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</si>
  <si>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</si>
  <si>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</si>
  <si>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</si>
  <si>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</si>
  <si>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</si>
  <si>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</si>
  <si>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</si>
  <si>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</si>
  <si>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</si>
  <si>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</si>
  <si>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</si>
  <si>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</si>
  <si>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</si>
  <si>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</si>
  <si>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</si>
  <si>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</si>
  <si>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</si>
  <si>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</si>
  <si>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</si>
  <si>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</si>
  <si>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</si>
  <si>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</si>
  <si>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</si>
  <si>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</si>
  <si>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</si>
  <si>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</si>
  <si>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</si>
  <si>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</si>
  <si>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</si>
  <si>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</si>
  <si>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</si>
  <si>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</si>
  <si>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</si>
  <si>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</si>
  <si>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</si>
  <si>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</si>
  <si>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</si>
  <si>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</si>
  <si>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</si>
  <si>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</si>
  <si>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</si>
  <si>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</si>
  <si>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</si>
  <si>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</si>
  <si>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</si>
  <si>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</si>
  <si>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</si>
  <si>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</si>
  <si>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</si>
  <si>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</si>
  <si>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</si>
  <si>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</si>
  <si>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</si>
  <si>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</si>
  <si>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</si>
  <si>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</si>
  <si>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</si>
  <si>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</si>
  <si>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</si>
  <si>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</si>
  <si>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</si>
  <si>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</si>
  <si>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</si>
  <si>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</si>
  <si>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</si>
  <si>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</si>
  <si>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</si>
  <si>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</si>
  <si>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</si>
  <si>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</si>
  <si>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</si>
  <si>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</si>
  <si>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</si>
  <si>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</si>
  <si>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</si>
  <si>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</si>
  <si>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</si>
  <si>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</si>
  <si>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</si>
  <si>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</si>
  <si>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</si>
  <si>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</si>
  <si>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</si>
  <si>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</si>
  <si>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</si>
  <si>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</si>
  <si>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</si>
  <si>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</si>
  <si>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</si>
  <si>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</si>
  <si>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</si>
  <si>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</si>
  <si>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</si>
  <si>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</si>
  <si>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</si>
  <si>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</si>
  <si>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</si>
  <si>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</si>
  <si>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</si>
  <si>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</si>
  <si>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</si>
  <si>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</si>
  <si>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</si>
  <si>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</si>
  <si>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</si>
  <si>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</si>
  <si>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</si>
  <si>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</si>
  <si>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</si>
  <si>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</si>
  <si>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</si>
  <si>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</si>
  <si>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</si>
  <si>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</si>
  <si>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</si>
  <si>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</si>
  <si>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</si>
  <si>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</si>
  <si>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</si>
  <si>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</si>
  <si>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</si>
  <si>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</si>
  <si>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</si>
  <si>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</si>
  <si>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</si>
  <si>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</si>
  <si>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</si>
  <si>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</si>
  <si>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</si>
  <si>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</si>
  <si>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</si>
  <si>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</si>
  <si>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</si>
  <si>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</si>
  <si>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</si>
  <si>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</si>
  <si>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</si>
  <si>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</si>
  <si>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</si>
  <si>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</si>
  <si>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</si>
  <si>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</si>
  <si>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</si>
  <si>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</si>
  <si>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</si>
  <si>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</si>
  <si>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</si>
  <si>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</si>
  <si>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</si>
  <si>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</si>
  <si>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</si>
  <si>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</si>
  <si>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</si>
  <si>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</si>
  <si>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</si>
  <si>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</si>
  <si>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</si>
  <si>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</si>
  <si>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</si>
  <si>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</si>
  <si>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</si>
  <si>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</si>
  <si>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</si>
  <si>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</si>
  <si>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</si>
  <si>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</si>
  <si>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</si>
  <si>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</si>
  <si>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</si>
  <si>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</si>
  <si>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</si>
  <si>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</si>
  <si>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</si>
  <si>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</si>
  <si>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</si>
  <si>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</si>
  <si>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</si>
  <si>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</si>
  <si>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</si>
  <si>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</si>
  <si>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</si>
  <si>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</si>
  <si>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</si>
  <si>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</si>
  <si>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</si>
  <si>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</si>
  <si>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</si>
  <si>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</si>
  <si>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</si>
  <si>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</si>
  <si>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</si>
  <si>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</si>
  <si>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</si>
  <si>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</si>
  <si>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</si>
  <si>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</si>
  <si>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</si>
  <si>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</si>
  <si>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</si>
  <si>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</si>
  <si>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</si>
  <si>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</si>
  <si>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</si>
  <si>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</si>
  <si>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</si>
  <si>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</si>
  <si>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</si>
  <si>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</si>
  <si>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</si>
  <si>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</si>
  <si>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</si>
  <si>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</si>
  <si>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</si>
  <si>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</si>
  <si>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</si>
  <si>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</si>
  <si>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</si>
  <si>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</si>
  <si>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</si>
  <si>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</si>
  <si>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</si>
  <si>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</si>
  <si>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</si>
  <si>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</si>
  <si>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</si>
  <si>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</si>
  <si>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</si>
  <si>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</si>
  <si>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</si>
  <si>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</si>
  <si>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</si>
  <si>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</si>
  <si>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</si>
  <si>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</si>
  <si>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</si>
  <si>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</si>
  <si>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</si>
  <si>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</si>
  <si>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</si>
  <si>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</si>
  <si>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</si>
  <si>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</si>
  <si>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</si>
  <si>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</si>
  <si>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</si>
  <si>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</si>
  <si>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</si>
  <si>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</si>
  <si>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</si>
  <si>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</si>
  <si>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</si>
  <si>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</si>
  <si>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</si>
  <si>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</si>
  <si>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</si>
  <si>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</si>
  <si>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</si>
  <si>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</si>
  <si>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</si>
  <si>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</si>
  <si>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</si>
  <si>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</si>
  <si>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</si>
  <si>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</si>
  <si>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</si>
  <si>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</si>
  <si>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</si>
  <si>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</si>
  <si>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</si>
  <si>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</si>
  <si>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</si>
  <si>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</si>
  <si>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</si>
  <si>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</si>
  <si>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</si>
  <si>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</si>
  <si>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</si>
  <si>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</si>
  <si>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</si>
  <si>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</si>
  <si>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</si>
  <si>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</si>
  <si>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</si>
  <si>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</si>
  <si>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</si>
  <si>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</si>
  <si>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</si>
  <si>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</si>
  <si>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</si>
  <si>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</si>
  <si>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</si>
  <si>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</si>
  <si>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</si>
  <si>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</si>
  <si>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</si>
  <si>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</si>
  <si>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</si>
  <si>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</si>
  <si>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</si>
  <si>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</si>
  <si>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</si>
  <si>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</si>
  <si>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</si>
  <si>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</si>
  <si>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</si>
  <si>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</si>
  <si>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</si>
  <si>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</si>
  <si>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</si>
  <si>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</si>
  <si>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</si>
  <si>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</si>
  <si>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</si>
  <si>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</si>
  <si>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</si>
  <si>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</si>
  <si>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</si>
  <si>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</si>
  <si>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</si>
  <si>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</si>
  <si>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</si>
  <si>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</si>
  <si>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</si>
  <si>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</si>
  <si>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</si>
  <si>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</si>
  <si>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</si>
  <si>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</si>
  <si>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</si>
  <si>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</si>
  <si>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</si>
  <si>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</si>
  <si>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</si>
  <si>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</si>
  <si>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</si>
  <si>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</si>
  <si>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</si>
  <si>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</si>
  <si>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</si>
  <si>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</si>
  <si>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</si>
  <si>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</si>
  <si>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</si>
  <si>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</si>
  <si>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</si>
  <si>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</si>
  <si>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</si>
  <si>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</si>
  <si>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</si>
  <si>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</si>
  <si>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</si>
  <si>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</si>
  <si>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</si>
  <si>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</si>
  <si>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</si>
  <si>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</si>
  <si>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</si>
  <si>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</si>
  <si>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</si>
  <si>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</si>
  <si>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</si>
  <si>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</si>
  <si>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</si>
  <si>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</si>
  <si>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</si>
  <si>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</si>
  <si>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</si>
  <si>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</si>
  <si>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</si>
  <si>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</si>
  <si>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</si>
  <si>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</si>
  <si>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</si>
  <si>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</si>
  <si>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</si>
  <si>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</si>
  <si>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</si>
  <si>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</si>
  <si>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</si>
  <si>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</si>
  <si>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</si>
  <si>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</si>
  <si>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</si>
  <si>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</si>
  <si>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</si>
  <si>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</si>
  <si>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</si>
  <si>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</si>
  <si>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</si>
  <si>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</si>
  <si>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</si>
  <si>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</si>
  <si>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</si>
  <si>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</si>
  <si>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</si>
  <si>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</si>
  <si>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</si>
  <si>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</si>
  <si>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</si>
  <si>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</si>
  <si>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</si>
  <si>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</si>
  <si>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</si>
  <si>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</si>
  <si>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</si>
  <si>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</si>
  <si>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</si>
  <si>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</si>
  <si>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</si>
  <si>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</si>
  <si>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</si>
  <si>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</si>
  <si>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</si>
  <si>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</si>
  <si>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</si>
  <si>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</si>
  <si>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</si>
  <si>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</si>
  <si>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</si>
  <si>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</si>
  <si>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</si>
  <si>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</si>
  <si>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</si>
  <si>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</si>
  <si>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</si>
  <si>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</si>
  <si>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</si>
  <si>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</si>
  <si>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</si>
  <si>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</si>
  <si>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</si>
  <si>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</si>
  <si>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</si>
  <si>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</si>
  <si>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</si>
  <si>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</si>
  <si>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</si>
  <si>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</si>
  <si>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</si>
  <si>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</si>
  <si>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</si>
  <si>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</si>
  <si>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</si>
  <si>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</si>
  <si>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</si>
  <si>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</si>
  <si>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</si>
  <si>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</si>
  <si>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</si>
  <si>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</si>
  <si>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</si>
  <si>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</si>
  <si>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</si>
  <si>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</si>
  <si>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</si>
  <si>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</si>
  <si>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</si>
  <si>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</si>
  <si>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</si>
  <si>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</si>
  <si>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</si>
  <si>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</si>
  <si>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</si>
  <si>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</si>
  <si>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</si>
  <si>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</si>
  <si>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</si>
  <si>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</si>
  <si>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</si>
  <si>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</si>
  <si>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</si>
  <si>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</si>
  <si>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</si>
  <si>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</si>
  <si>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</si>
  <si>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</si>
  <si>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</si>
  <si>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</si>
  <si>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</si>
  <si>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</si>
  <si>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</si>
  <si>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</si>
  <si>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</si>
  <si>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</si>
  <si>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</si>
  <si>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</si>
  <si>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</si>
  <si>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</si>
  <si>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</si>
  <si>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</si>
  <si>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</si>
  <si>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</si>
  <si>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</si>
  <si>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</si>
  <si>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</si>
  <si>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</si>
  <si>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</si>
  <si>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</si>
  <si>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</si>
  <si>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</si>
  <si>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</si>
  <si>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</si>
  <si>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</si>
  <si>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</si>
  <si>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</si>
  <si>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</si>
  <si>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</si>
  <si>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</si>
  <si>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</si>
  <si>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</si>
  <si>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</si>
  <si>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</si>
  <si>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</si>
  <si>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</si>
  <si>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</si>
  <si>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</si>
  <si>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</si>
  <si>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</si>
  <si>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</si>
  <si>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</si>
  <si>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</si>
  <si>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</si>
  <si>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</si>
  <si>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</si>
  <si>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</si>
  <si>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</si>
  <si>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</si>
  <si>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</si>
  <si>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</si>
  <si>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</si>
  <si>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</si>
  <si>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</si>
  <si>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</si>
  <si>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</si>
  <si>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</si>
  <si>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</si>
  <si>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</si>
  <si>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</si>
  <si>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</si>
  <si>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</si>
  <si>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</si>
  <si>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</si>
  <si>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</si>
  <si>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</si>
  <si>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</si>
  <si>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</si>
  <si>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</si>
  <si>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</si>
  <si>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</si>
  <si>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</si>
  <si>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</si>
  <si>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</si>
  <si>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</si>
  <si>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</si>
  <si>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</si>
  <si>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</si>
  <si>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</si>
  <si>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</si>
  <si>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</si>
  <si>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</si>
  <si>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</si>
  <si>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</si>
  <si>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</si>
  <si>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</si>
  <si>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</si>
  <si>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</si>
  <si>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</si>
  <si>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</si>
  <si>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</si>
  <si>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</si>
  <si>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</si>
  <si>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</si>
  <si>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</si>
  <si>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</si>
  <si>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</si>
  <si>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</si>
  <si>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</si>
  <si>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</si>
  <si>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</si>
  <si>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</si>
  <si>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</si>
  <si>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</si>
  <si>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</si>
  <si>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</si>
  <si>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</si>
  <si>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</si>
  <si>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</si>
  <si>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</si>
  <si>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</si>
  <si>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</si>
  <si>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</si>
  <si>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</si>
  <si>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</si>
  <si>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</si>
  <si>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</si>
  <si>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</si>
  <si>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</si>
  <si>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</si>
  <si>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</si>
  <si>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</si>
  <si>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</si>
  <si>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</si>
  <si>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</si>
  <si>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</si>
  <si>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</si>
  <si>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</si>
  <si>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</si>
  <si>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</si>
  <si>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</si>
  <si>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</si>
  <si>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</si>
  <si>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</si>
  <si>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</si>
  <si>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</si>
  <si>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</si>
  <si>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</si>
  <si>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</si>
  <si>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</si>
  <si>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</si>
  <si>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</si>
  <si>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</si>
  <si>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</si>
  <si>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</si>
  <si>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</si>
  <si>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</si>
  <si>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</si>
  <si>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</si>
  <si>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</si>
  <si>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</si>
  <si>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</si>
  <si>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</si>
  <si>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</si>
  <si>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</si>
  <si>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</si>
  <si>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</si>
  <si>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</si>
  <si>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</si>
  <si>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</si>
  <si>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</si>
  <si>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</si>
  <si>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</si>
  <si>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</si>
  <si>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</si>
  <si>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</si>
  <si>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</si>
  <si>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</si>
  <si>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</si>
  <si>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</si>
  <si>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</si>
  <si>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</si>
  <si>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</si>
  <si>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</si>
  <si>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</si>
  <si>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</si>
  <si>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</si>
  <si>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</si>
  <si>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</si>
  <si>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</si>
  <si>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</si>
  <si>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</si>
  <si>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</si>
  <si>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</si>
  <si>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</si>
  <si>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</si>
  <si>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</si>
  <si>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</si>
  <si>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</si>
  <si>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</si>
  <si>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</si>
  <si>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</si>
  <si>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</si>
  <si>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</si>
  <si>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</si>
  <si>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</si>
  <si>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</si>
  <si>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</si>
  <si>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</si>
  <si>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</si>
  <si>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</si>
  <si>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</si>
  <si>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</si>
  <si>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</si>
  <si>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</si>
  <si>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</si>
  <si>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</si>
  <si>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</si>
  <si>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</si>
  <si>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</si>
  <si>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</si>
  <si>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</si>
  <si>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</si>
  <si>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</si>
  <si>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</si>
  <si>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</si>
  <si>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</si>
  <si>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</si>
  <si>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</si>
  <si>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</si>
  <si>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</si>
  <si>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</si>
  <si>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</si>
  <si>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</si>
  <si>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</si>
  <si>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</si>
  <si>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</si>
  <si>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</si>
  <si>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</si>
  <si>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</si>
  <si>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</si>
  <si>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</si>
  <si>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</si>
  <si>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</si>
  <si>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</si>
  <si>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</si>
  <si>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</si>
  <si>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</si>
  <si>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</si>
  <si>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</si>
  <si>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</si>
  <si>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</si>
  <si>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</si>
  <si>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</si>
  <si>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</si>
  <si>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</si>
  <si>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</si>
  <si>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</si>
  <si>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</si>
  <si>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</si>
  <si>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</si>
  <si>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</si>
  <si>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</si>
  <si>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</si>
  <si>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</si>
  <si>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</si>
  <si>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</si>
  <si>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</si>
  <si>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</si>
  <si>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</si>
  <si>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</si>
  <si>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</si>
  <si>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</si>
  <si>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</si>
  <si>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</si>
  <si>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</si>
  <si>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</si>
  <si>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</si>
  <si>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</si>
  <si>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</si>
  <si>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</si>
  <si>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</si>
  <si>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</si>
  <si>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</si>
  <si>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</si>
  <si>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</si>
  <si>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</si>
  <si>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</si>
  <si>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</si>
  <si>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</si>
  <si>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</si>
  <si>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</si>
  <si>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</si>
  <si>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</si>
  <si>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</si>
  <si>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</si>
  <si>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</si>
  <si>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</si>
  <si>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</si>
  <si>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</si>
  <si>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</si>
  <si>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</si>
  <si>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</si>
  <si>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</si>
  <si>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</si>
  <si>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</si>
  <si>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</si>
  <si>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</si>
  <si>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</si>
  <si>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</si>
  <si>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</si>
  <si>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</si>
  <si>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</si>
  <si>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</si>
  <si>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</si>
  <si>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</si>
  <si>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</si>
  <si>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</si>
  <si>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</si>
  <si>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</si>
  <si>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</si>
  <si>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</si>
  <si>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</si>
  <si>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</si>
  <si>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</si>
  <si>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</si>
  <si>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</si>
  <si>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</si>
  <si>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</si>
  <si>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</si>
  <si>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</si>
  <si>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</si>
  <si>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</si>
  <si>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</si>
  <si>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</si>
  <si>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</si>
  <si>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</si>
  <si>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</si>
  <si>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</si>
  <si>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</si>
  <si>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</si>
  <si>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</si>
  <si>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</si>
  <si>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</si>
  <si>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</si>
  <si>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</si>
  <si>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</si>
  <si>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</si>
  <si>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</si>
  <si>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</si>
  <si>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</si>
  <si>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</si>
  <si>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</si>
  <si>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</si>
  <si>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</si>
  <si>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</si>
  <si>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</si>
  <si>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</si>
  <si>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</si>
  <si>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</si>
  <si>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</si>
  <si>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</si>
  <si>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</si>
  <si>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</si>
  <si>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</si>
  <si>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</si>
  <si>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</si>
  <si>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</si>
  <si>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</si>
  <si>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</si>
  <si>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</si>
  <si>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</si>
  <si>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</si>
  <si>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</si>
  <si>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</si>
  <si>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</si>
  <si>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</si>
  <si>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</si>
  <si>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</si>
  <si>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</si>
  <si>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</si>
  <si>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</si>
  <si>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</si>
  <si>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</si>
  <si>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</si>
  <si>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</si>
  <si>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</si>
  <si>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</si>
  <si>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</si>
  <si>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</si>
  <si>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</si>
  <si>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</si>
  <si>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</si>
  <si>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</si>
  <si>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</si>
  <si>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</si>
  <si>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</si>
  <si>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</si>
  <si>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</si>
  <si>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</si>
  <si>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</si>
  <si>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</si>
  <si>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</si>
  <si>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</si>
  <si>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</si>
  <si>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</si>
  <si>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</si>
  <si>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</si>
  <si>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</si>
  <si>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</si>
  <si>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</si>
  <si>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</si>
  <si>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</si>
  <si>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</si>
  <si>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</si>
  <si>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</si>
  <si>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</si>
  <si>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</si>
  <si>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</si>
  <si>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</si>
  <si>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</si>
  <si>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</si>
  <si>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</si>
  <si>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</si>
  <si>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</si>
  <si>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</si>
  <si>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</si>
  <si>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</si>
  <si>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</si>
  <si>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</si>
  <si>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</si>
  <si>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</si>
  <si>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</si>
  <si>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</si>
  <si>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</si>
  <si>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</si>
  <si>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</si>
  <si>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</si>
  <si>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</si>
  <si>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</si>
  <si>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</si>
  <si>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</si>
  <si>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</si>
  <si>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</si>
  <si>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</si>
  <si>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</si>
  <si>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</si>
  <si>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</si>
  <si>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</si>
  <si>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</si>
  <si>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</si>
  <si>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</si>
  <si>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</si>
  <si>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</si>
  <si>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</si>
  <si>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</si>
  <si>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</si>
  <si>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</si>
  <si>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</si>
  <si>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</si>
  <si>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</si>
  <si>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</si>
  <si>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</si>
  <si>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</si>
  <si>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</si>
  <si>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</si>
  <si>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</si>
  <si>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</si>
  <si>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</si>
  <si>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</si>
  <si>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</si>
  <si>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</si>
  <si>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</si>
  <si>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</si>
  <si>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</si>
  <si>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</si>
  <si>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</si>
  <si>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</si>
  <si>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</si>
  <si>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</si>
  <si>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</si>
  <si>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</si>
  <si>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</si>
  <si>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</si>
  <si>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</si>
  <si>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</si>
  <si>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</si>
  <si>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</si>
  <si>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</si>
  <si>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</si>
  <si>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</si>
  <si>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</si>
  <si>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</si>
  <si>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</si>
  <si>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</si>
  <si>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</si>
  <si>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</si>
  <si>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</si>
  <si>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</si>
  <si>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</si>
  <si>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</si>
  <si>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</si>
  <si>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</si>
  <si>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</si>
  <si>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</si>
  <si>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</si>
  <si>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</si>
  <si>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</si>
  <si>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</si>
  <si>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</si>
  <si>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</si>
  <si>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</si>
  <si>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</si>
  <si>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</si>
  <si>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</si>
  <si>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</si>
  <si>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</si>
  <si>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</si>
  <si>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</si>
  <si>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</si>
  <si>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</si>
  <si>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</si>
  <si>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</si>
  <si>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</si>
  <si>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</si>
  <si>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</si>
  <si>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</si>
  <si>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</si>
  <si>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</si>
  <si>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</si>
  <si>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</si>
  <si>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</si>
  <si>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</si>
  <si>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</si>
  <si>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</si>
  <si>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</si>
  <si>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</si>
  <si>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</si>
  <si>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</si>
  <si>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</si>
  <si>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</si>
  <si>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</si>
  <si>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</si>
  <si>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</si>
  <si>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</si>
  <si>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</si>
  <si>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</si>
  <si>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</si>
  <si>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</si>
  <si>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</si>
  <si>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</si>
  <si>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</si>
  <si>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</si>
  <si>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</si>
  <si>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</si>
  <si>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</si>
  <si>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</si>
  <si>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</si>
  <si>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</si>
  <si>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</si>
  <si>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</si>
  <si>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</si>
  <si>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</si>
  <si>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</si>
  <si>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</si>
  <si>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</si>
  <si>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</si>
  <si>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</si>
  <si>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</si>
  <si>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</si>
  <si>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</si>
  <si>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</si>
  <si>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</si>
  <si>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</si>
  <si>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</si>
  <si>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</si>
  <si>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</si>
  <si>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</si>
  <si>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</si>
  <si>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</si>
  <si>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</si>
  <si>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</si>
  <si>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</si>
  <si>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</si>
  <si>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</si>
  <si>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</si>
  <si>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</si>
  <si>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</si>
  <si>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</si>
  <si>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</si>
  <si>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</si>
  <si>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</si>
  <si>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</si>
  <si>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</si>
  <si>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</si>
  <si>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</si>
  <si>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</si>
  <si>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</si>
  <si>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</si>
  <si>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</si>
  <si>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</si>
  <si>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</si>
  <si>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</si>
  <si>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</si>
  <si>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</si>
  <si>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</si>
  <si>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</si>
  <si>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</si>
  <si>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</si>
  <si>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</si>
  <si>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</si>
  <si>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</si>
  <si>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</si>
  <si>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</si>
  <si>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</si>
  <si>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</si>
  <si>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</si>
  <si>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</si>
  <si>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</si>
  <si>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</si>
  <si>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</si>
  <si>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</si>
  <si>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</si>
  <si>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</si>
  <si>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</si>
  <si>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</si>
  <si>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</si>
  <si>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</si>
  <si>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</si>
  <si>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</si>
  <si>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</si>
  <si>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</si>
  <si>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</si>
  <si>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</si>
  <si>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</si>
  <si>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</si>
  <si>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</si>
  <si>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</si>
  <si>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</si>
  <si>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</si>
  <si>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</si>
  <si>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</si>
  <si>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</si>
  <si>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</si>
  <si>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</si>
  <si>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</si>
  <si>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</si>
  <si>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</si>
  <si>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</si>
  <si>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</si>
  <si>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</si>
  <si>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</si>
  <si>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</si>
  <si>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</si>
  <si>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</si>
  <si>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</si>
  <si>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</si>
  <si>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</si>
  <si>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</si>
  <si>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</si>
  <si>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</si>
  <si>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</si>
  <si>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</si>
  <si>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</si>
  <si>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</si>
  <si>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</si>
  <si>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</si>
  <si>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</si>
  <si>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</si>
  <si>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</si>
  <si>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</si>
  <si>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</si>
  <si>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</si>
  <si>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</si>
  <si>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</si>
  <si>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</si>
  <si>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</si>
  <si>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</si>
  <si>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</si>
  <si>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</si>
  <si>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</si>
  <si>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</si>
  <si>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</si>
  <si>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</si>
  <si>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</si>
  <si>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</si>
  <si>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</si>
  <si>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</si>
  <si>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</si>
  <si>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</si>
  <si>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</si>
  <si>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</si>
  <si>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</si>
  <si>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</si>
  <si>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</si>
  <si>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</si>
  <si>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</si>
  <si>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</si>
  <si>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</si>
  <si>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</si>
  <si>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</si>
  <si>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</si>
  <si>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</si>
  <si>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</si>
  <si>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</si>
  <si>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</si>
  <si>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</si>
  <si>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</si>
  <si>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</si>
  <si>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</si>
  <si>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</si>
  <si>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</si>
  <si>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</si>
  <si>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</si>
  <si>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</si>
  <si>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</si>
  <si>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</si>
  <si>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</si>
  <si>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</si>
  <si>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</si>
  <si>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</si>
  <si>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</si>
  <si>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</si>
  <si>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</si>
  <si>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</si>
  <si>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</si>
  <si>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</si>
  <si>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</si>
  <si>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</si>
  <si>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</si>
  <si>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</si>
  <si>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</si>
  <si>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</si>
  <si>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</si>
  <si>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</si>
  <si>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</si>
  <si>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</si>
  <si>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</si>
  <si>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</si>
  <si>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</si>
  <si>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</si>
  <si>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</si>
  <si>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</si>
  <si>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</si>
  <si>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</si>
  <si>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</si>
  <si>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</si>
  <si>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</si>
  <si>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</si>
  <si>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</si>
  <si>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</si>
  <si>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</si>
  <si>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</si>
  <si>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</si>
  <si>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</si>
  <si>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</si>
  <si>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</si>
  <si>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</si>
  <si>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</si>
  <si>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</si>
  <si>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</si>
  <si>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</si>
  <si>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</si>
  <si>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</si>
  <si>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</si>
  <si>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</si>
  <si>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</si>
  <si>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</si>
  <si>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</si>
  <si>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</si>
  <si>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</si>
  <si>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</si>
  <si>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</si>
  <si>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</si>
  <si>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</si>
  <si>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</si>
  <si>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</si>
  <si>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</si>
  <si>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</si>
  <si>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</si>
  <si>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</si>
  <si>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</si>
  <si>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</si>
  <si>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</si>
  <si>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</si>
  <si>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</si>
  <si>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</si>
  <si>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</si>
  <si>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</si>
  <si>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</si>
  <si>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</si>
  <si>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</si>
  <si>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</si>
  <si>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</si>
  <si>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</si>
  <si>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</si>
  <si>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</si>
  <si>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</si>
  <si>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</si>
  <si>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</si>
  <si>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</si>
  <si>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</si>
  <si>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</si>
  <si>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</si>
  <si>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</si>
  <si>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</si>
  <si>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</si>
  <si>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</si>
  <si>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</si>
  <si>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</si>
  <si>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</si>
  <si>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</si>
  <si>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</si>
  <si>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</si>
  <si>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</si>
  <si>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</si>
  <si>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</si>
  <si>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</si>
  <si>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</si>
  <si>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</si>
  <si>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</si>
  <si>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</si>
  <si>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</si>
  <si>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</si>
  <si>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</si>
  <si>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</si>
  <si>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</si>
  <si>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</si>
  <si>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</si>
  <si>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</si>
  <si>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</si>
  <si>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</si>
  <si>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</si>
  <si>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</si>
  <si>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</si>
  <si>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</si>
  <si>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</si>
  <si>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</si>
  <si>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</si>
  <si>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</si>
  <si>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</si>
  <si>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</si>
  <si>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</si>
  <si>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</si>
  <si>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</si>
  <si>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</si>
  <si>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</si>
  <si>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</si>
  <si>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</si>
  <si>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</si>
  <si>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</si>
  <si>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</si>
  <si>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</si>
  <si>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</si>
  <si>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</si>
  <si>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</si>
  <si>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</si>
  <si>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</si>
  <si>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</si>
  <si>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</si>
  <si>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</si>
  <si>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</si>
  <si>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</si>
  <si>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</si>
  <si>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</si>
  <si>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</si>
  <si>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</si>
  <si>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</si>
  <si>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</si>
  <si>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</si>
  <si>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</si>
  <si>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</si>
  <si>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</si>
  <si>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</si>
  <si>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</si>
  <si>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</si>
  <si>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</si>
  <si>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</si>
  <si>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</si>
  <si>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</si>
  <si>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</si>
  <si>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</si>
  <si>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</si>
  <si>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</si>
  <si>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</si>
  <si>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</si>
  <si>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</si>
  <si>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</si>
  <si>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</si>
  <si>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</si>
  <si>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</si>
  <si>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</si>
  <si>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</si>
  <si>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</si>
  <si>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</si>
  <si>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</si>
  <si>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</si>
  <si>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</si>
  <si>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</si>
  <si>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</si>
  <si>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</si>
  <si>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</si>
  <si>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</si>
  <si>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</si>
  <si>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</si>
  <si>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</si>
  <si>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</si>
  <si>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</si>
  <si>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</si>
  <si>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</si>
  <si>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</si>
  <si>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</si>
  <si>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</si>
  <si>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</si>
  <si>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</si>
  <si>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</si>
  <si>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</si>
  <si>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</si>
  <si>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</si>
  <si>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</si>
  <si>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</si>
  <si>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</si>
  <si>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</si>
  <si>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</si>
  <si>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</si>
  <si>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</si>
  <si>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</si>
  <si>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</si>
  <si>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</si>
  <si>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</si>
  <si>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</si>
  <si>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</si>
  <si>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</si>
  <si>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</si>
  <si>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</si>
  <si>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</si>
  <si>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</si>
  <si>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</si>
  <si>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</si>
  <si>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</si>
  <si>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</si>
  <si>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</si>
  <si>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</si>
  <si>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</si>
  <si>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</si>
  <si>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</si>
  <si>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</si>
  <si>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</si>
  <si>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</si>
  <si>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</si>
  <si>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</si>
  <si>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</si>
  <si>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</si>
  <si>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</si>
  <si>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</si>
  <si>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</si>
  <si>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</si>
  <si>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</si>
  <si>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</si>
  <si>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</si>
  <si>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</si>
  <si>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</si>
  <si>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</si>
  <si>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</si>
  <si>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</si>
  <si>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</si>
  <si>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</si>
  <si>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</si>
  <si>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</si>
  <si>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</si>
  <si>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</si>
  <si>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</si>
  <si>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</si>
  <si>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</si>
  <si>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</si>
  <si>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</si>
  <si>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</si>
  <si>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</si>
  <si>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</si>
  <si>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</si>
  <si>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</si>
  <si>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</si>
  <si>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</si>
  <si>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</si>
  <si>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</si>
  <si>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</si>
  <si>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</si>
  <si>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</si>
  <si>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</si>
  <si>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</si>
  <si>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</si>
  <si>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</si>
  <si>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</si>
  <si>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</si>
  <si>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</si>
  <si>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</si>
  <si>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</si>
  <si>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</si>
  <si>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</si>
  <si>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</si>
  <si>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</si>
  <si>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</si>
  <si>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</si>
  <si>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</si>
  <si>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</si>
  <si>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</si>
  <si>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</si>
  <si>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</si>
  <si>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</si>
  <si>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</si>
  <si>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</si>
  <si>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</si>
  <si>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</si>
  <si>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</si>
  <si>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</si>
  <si>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</si>
  <si>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</si>
  <si>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</si>
  <si>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</si>
  <si>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</si>
  <si>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</si>
  <si>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</si>
  <si>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</si>
  <si>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</si>
  <si>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</si>
  <si>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</si>
  <si>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</si>
  <si>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</si>
  <si>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</si>
  <si>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</si>
  <si>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</si>
  <si>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</si>
  <si>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</si>
  <si>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</si>
  <si>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</si>
  <si>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</si>
  <si>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</si>
  <si>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</si>
  <si>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</si>
  <si>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</si>
  <si>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</si>
  <si>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</si>
  <si>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</si>
  <si>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</si>
  <si>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</si>
  <si>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</si>
  <si>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</si>
  <si>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</si>
  <si>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</si>
  <si>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</si>
  <si>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</si>
  <si>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</si>
  <si>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</si>
  <si>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</si>
  <si>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</si>
  <si>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</si>
  <si>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</si>
  <si>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</si>
  <si>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</si>
  <si>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</si>
  <si>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</si>
  <si>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</si>
  <si>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</si>
  <si>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</si>
  <si>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</si>
  <si>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</si>
  <si>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</si>
  <si>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</si>
  <si>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</si>
  <si>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</si>
  <si>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</si>
  <si>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</si>
  <si>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</si>
  <si>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</si>
  <si>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</si>
  <si>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</si>
  <si>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</si>
  <si>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</si>
  <si>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</si>
  <si>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</si>
  <si>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</si>
  <si>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</si>
  <si>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</si>
  <si>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</si>
  <si>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</si>
  <si>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</si>
  <si>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</si>
  <si>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</si>
  <si>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</si>
  <si>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</si>
  <si>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</si>
  <si>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</si>
  <si>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</si>
  <si>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</si>
  <si>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</si>
  <si>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</si>
  <si>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</si>
  <si>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</si>
  <si>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</si>
  <si>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</si>
  <si>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</si>
  <si>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</si>
  <si>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</si>
  <si>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</si>
  <si>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</si>
  <si>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</si>
  <si>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</si>
  <si>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</si>
  <si>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</si>
  <si>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</si>
  <si>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</si>
  <si>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</si>
  <si>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</si>
  <si>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</si>
  <si>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</si>
  <si>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</si>
  <si>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</si>
  <si>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</si>
  <si>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</si>
  <si>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</si>
  <si>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</si>
  <si>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</si>
  <si>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</si>
  <si>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</si>
  <si>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</si>
  <si>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</si>
  <si>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</si>
  <si>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</si>
  <si>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</si>
  <si>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</si>
  <si>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</si>
  <si>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</si>
  <si>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</si>
  <si>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</si>
  <si>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</si>
  <si>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</si>
  <si>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</si>
  <si>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</si>
  <si>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</si>
  <si>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</si>
  <si>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</si>
  <si>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</si>
  <si>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</si>
  <si>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</si>
  <si>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</si>
  <si>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</si>
  <si>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</si>
  <si>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</si>
  <si>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</si>
  <si>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</si>
  <si>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</si>
  <si>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</si>
  <si>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</si>
  <si>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</si>
  <si>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</si>
  <si>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</si>
  <si>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</si>
  <si>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</si>
  <si>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</si>
  <si>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</si>
  <si>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</si>
  <si>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</si>
  <si>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</si>
  <si>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</si>
  <si>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</si>
  <si>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</si>
  <si>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</si>
  <si>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</si>
  <si>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</si>
  <si>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</si>
  <si>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</si>
  <si>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</si>
  <si>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</si>
  <si>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</si>
  <si>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</si>
  <si>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</si>
  <si>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</si>
  <si>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</si>
  <si>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</si>
  <si>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</si>
  <si>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</si>
  <si>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</si>
  <si>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</si>
  <si>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</si>
  <si>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</si>
  <si>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</si>
  <si>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</si>
  <si>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</si>
  <si>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</si>
  <si>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</si>
  <si>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</si>
  <si>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</si>
  <si>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</si>
  <si>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</si>
  <si>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</si>
  <si>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</si>
  <si>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</si>
  <si>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</si>
  <si>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</si>
  <si>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</si>
  <si>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</si>
  <si>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</si>
  <si>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</si>
  <si>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</si>
  <si>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</si>
  <si>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</si>
  <si>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</si>
  <si>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</si>
  <si>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</si>
  <si>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</si>
  <si>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</si>
  <si>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</si>
  <si>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</si>
  <si>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</si>
  <si>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</si>
  <si>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</si>
  <si>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</si>
  <si>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</si>
  <si>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</si>
  <si>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</si>
  <si>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</si>
  <si>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</si>
  <si>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</si>
  <si>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</si>
  <si>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</si>
  <si>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</si>
  <si>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</si>
  <si>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</si>
  <si>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</si>
  <si>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</si>
  <si>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</si>
  <si>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</si>
  <si>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</si>
  <si>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</si>
  <si>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</si>
  <si>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</si>
  <si>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</si>
  <si>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</si>
  <si>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</si>
  <si>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</si>
  <si>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</si>
  <si>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</si>
  <si>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</si>
  <si>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</si>
  <si>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</si>
  <si>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</si>
  <si>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</si>
  <si>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</si>
  <si>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</si>
  <si>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</si>
  <si>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</si>
  <si>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</si>
  <si>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</si>
  <si>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</si>
  <si>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</si>
  <si>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</si>
  <si>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</si>
  <si>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</si>
  <si>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</si>
  <si>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</si>
  <si>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</si>
  <si>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</si>
  <si>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</si>
  <si>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</si>
  <si>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</si>
  <si>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</si>
  <si>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</si>
  <si>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</si>
  <si>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</si>
  <si>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</si>
  <si>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</si>
  <si>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</si>
  <si>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</si>
  <si>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</si>
  <si>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</si>
  <si>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</si>
  <si>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</si>
  <si>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</si>
  <si>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</si>
  <si>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</si>
  <si>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</si>
  <si>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</si>
  <si>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</si>
  <si>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</si>
  <si>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</si>
  <si>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</si>
  <si>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</si>
  <si>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</si>
  <si>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</si>
  <si>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</si>
  <si>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</si>
  <si>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</si>
  <si>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</si>
  <si>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</si>
  <si>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</si>
  <si>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</si>
  <si>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</si>
  <si>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</si>
  <si>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</si>
  <si>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</si>
  <si>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</si>
  <si>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</si>
  <si>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</si>
  <si>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</si>
  <si>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</si>
  <si>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</si>
  <si>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</si>
  <si>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</si>
  <si>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</si>
  <si>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</si>
  <si>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</si>
  <si>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</si>
  <si>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</si>
  <si>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</si>
  <si>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</si>
  <si>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</si>
  <si>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</si>
  <si>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</si>
  <si>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</si>
  <si>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</si>
  <si>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</si>
  <si>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</si>
  <si>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</si>
  <si>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</si>
  <si>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</si>
  <si>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</si>
  <si>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</si>
  <si>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</si>
  <si>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</si>
  <si>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</si>
  <si>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</si>
  <si>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</si>
  <si>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</si>
  <si>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</si>
  <si>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</si>
  <si>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</si>
  <si>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</si>
  <si>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</si>
  <si>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</si>
  <si>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</si>
  <si>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</si>
  <si>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</si>
  <si>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</si>
  <si>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</si>
  <si>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</si>
  <si>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</si>
  <si>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</si>
  <si>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</si>
  <si>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</si>
  <si>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</si>
  <si>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</si>
  <si>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</si>
  <si>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</si>
  <si>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</si>
  <si>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</si>
  <si>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</si>
  <si>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</si>
  <si>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</si>
  <si>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</si>
  <si>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</si>
  <si>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</si>
  <si>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</si>
  <si>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</si>
  <si>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</si>
  <si>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</si>
  <si>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</si>
  <si>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</si>
  <si>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</si>
  <si>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</si>
  <si>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</si>
  <si>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</si>
  <si>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</si>
  <si>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</si>
  <si>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</si>
  <si>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</si>
  <si>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</si>
  <si>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</si>
  <si>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</si>
  <si>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</si>
  <si>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</si>
  <si>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</si>
  <si>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</si>
  <si>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</si>
  <si>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</si>
  <si>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</si>
  <si>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</si>
  <si>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</si>
  <si>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</si>
  <si>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</si>
  <si>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</si>
  <si>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</si>
  <si>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</si>
  <si>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</si>
  <si>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</si>
  <si>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</si>
  <si>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</si>
  <si>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</si>
  <si>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</si>
  <si>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</si>
  <si>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</si>
  <si>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</si>
  <si>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</si>
  <si>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</si>
  <si>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</si>
  <si>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</si>
  <si>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</si>
  <si>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</si>
  <si>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</si>
  <si>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</si>
  <si>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</si>
  <si>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</si>
  <si>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</si>
  <si>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</si>
  <si>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</si>
  <si>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</si>
  <si>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</si>
  <si>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</si>
  <si>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</si>
  <si>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</si>
  <si>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</si>
  <si>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</si>
  <si>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</si>
  <si>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</si>
  <si>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</si>
  <si>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</si>
  <si>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</si>
  <si>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</si>
  <si>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</si>
  <si>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</si>
  <si>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</si>
  <si>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</si>
  <si>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</si>
  <si>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</si>
  <si>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</si>
  <si>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</si>
  <si>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</si>
  <si>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</si>
  <si>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</si>
  <si>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</si>
  <si>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</si>
  <si>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</si>
  <si>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</si>
  <si>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</si>
  <si>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</si>
  <si>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</si>
  <si>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</si>
  <si>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</si>
  <si>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</si>
  <si>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</si>
  <si>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</si>
  <si>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</si>
  <si>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</si>
  <si>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</si>
  <si>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</si>
  <si>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</si>
  <si>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</si>
  <si>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</si>
  <si>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</si>
  <si>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</si>
  <si>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</si>
  <si>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</si>
  <si>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</si>
  <si>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</si>
  <si>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</si>
  <si>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</si>
  <si>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</si>
  <si>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</si>
  <si>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</si>
  <si>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</si>
  <si>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</si>
  <si>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</si>
  <si>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</si>
  <si>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</si>
  <si>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</si>
  <si>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</si>
  <si>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</si>
  <si>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</si>
  <si>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</si>
  <si>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</si>
  <si>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</si>
  <si>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</si>
  <si>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</si>
  <si>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</si>
  <si>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</si>
  <si>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</si>
  <si>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</si>
  <si>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</si>
  <si>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</si>
  <si>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</si>
  <si>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</si>
  <si>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</si>
  <si>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</si>
  <si>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</si>
  <si>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</si>
  <si>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</si>
  <si>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</si>
  <si>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</si>
  <si>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</si>
  <si>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</si>
  <si>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</si>
  <si>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</si>
  <si>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</si>
  <si>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</si>
  <si>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</si>
  <si>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</si>
  <si>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</si>
  <si>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</si>
  <si>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</si>
  <si>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</si>
  <si>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</si>
  <si>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</si>
  <si>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</si>
  <si>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</si>
  <si>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</si>
  <si>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</si>
  <si>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</si>
  <si>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</si>
  <si>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</si>
  <si>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</si>
  <si>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</si>
  <si>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</si>
  <si>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</si>
  <si>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</si>
  <si>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</si>
  <si>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</si>
  <si>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</si>
  <si>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</si>
  <si>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</si>
  <si>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</si>
  <si>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</si>
  <si>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</si>
  <si>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</si>
  <si>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</si>
  <si>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</si>
  <si>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</si>
  <si>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</si>
  <si>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</si>
  <si>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</si>
  <si>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</si>
  <si>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</si>
  <si>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</si>
  <si>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</si>
  <si>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</si>
  <si>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</si>
  <si>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</si>
  <si>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</si>
  <si>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</si>
  <si>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</si>
  <si>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</si>
  <si>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</si>
  <si>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</si>
  <si>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</si>
  <si>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</si>
  <si>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</si>
  <si>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</si>
  <si>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</si>
  <si>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</si>
  <si>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</si>
  <si>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</si>
  <si>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</si>
  <si>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</si>
  <si>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</si>
  <si>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</si>
  <si>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</si>
  <si>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</si>
  <si>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</si>
  <si>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</si>
  <si>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</si>
  <si>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</si>
  <si>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</si>
  <si>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</si>
  <si>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</si>
  <si>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</si>
  <si>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</si>
  <si>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</si>
  <si>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</si>
  <si>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</si>
  <si>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</si>
  <si>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</si>
  <si>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</si>
  <si>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</si>
  <si>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</si>
  <si>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</si>
  <si>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</si>
  <si>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</si>
  <si>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</si>
  <si>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</si>
  <si>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</si>
  <si>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</si>
  <si>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</si>
  <si>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</si>
  <si>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</si>
  <si>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</si>
  <si>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</si>
  <si>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</si>
  <si>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</si>
  <si>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</si>
  <si>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</si>
  <si>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</si>
  <si>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</si>
  <si>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</si>
  <si>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</si>
  <si>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</si>
  <si>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</si>
  <si>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</si>
  <si>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</si>
  <si>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</si>
  <si>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</si>
  <si>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</si>
  <si>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</si>
  <si>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</si>
  <si>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</si>
  <si>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</si>
  <si>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</si>
  <si>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</si>
  <si>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</si>
  <si>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</si>
  <si>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</si>
  <si>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</si>
  <si>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</si>
  <si>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</si>
  <si>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</si>
  <si>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</si>
  <si>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</si>
  <si>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</si>
  <si>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</si>
  <si>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</si>
  <si>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</si>
  <si>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</si>
  <si>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</si>
  <si>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</si>
  <si>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</si>
  <si>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</si>
  <si>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</si>
  <si>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</si>
  <si>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</si>
  <si>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</si>
  <si>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</si>
  <si>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</si>
  <si>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</si>
  <si>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</si>
  <si>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</si>
  <si>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</si>
  <si>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</si>
  <si>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</si>
  <si>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</si>
  <si>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</si>
  <si>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</si>
  <si>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</si>
  <si>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</si>
  <si>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</si>
  <si>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</si>
  <si>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</si>
  <si>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</si>
  <si>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</si>
  <si>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</si>
  <si>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</si>
  <si>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</si>
  <si>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</si>
  <si>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</si>
  <si>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</si>
  <si>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</si>
  <si>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</si>
  <si>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</si>
  <si>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</si>
  <si>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</si>
  <si>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</si>
  <si>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</si>
  <si>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</si>
  <si>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</si>
  <si>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</si>
  <si>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</si>
  <si>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</si>
  <si>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</si>
  <si>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</si>
  <si>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</si>
  <si>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</si>
  <si>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</si>
  <si>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</si>
  <si>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</si>
  <si>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</si>
  <si>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</si>
  <si>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</si>
  <si>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</si>
  <si>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</si>
  <si>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</si>
  <si>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</si>
  <si>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</si>
  <si>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</si>
  <si>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</si>
  <si>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</si>
  <si>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</si>
  <si>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</si>
  <si>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</si>
  <si>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</si>
  <si>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</si>
  <si>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</si>
  <si>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</si>
  <si>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</si>
  <si>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</si>
  <si>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</si>
  <si>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</si>
  <si>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</si>
  <si>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</si>
  <si>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</si>
  <si>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</si>
  <si>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</si>
  <si>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</si>
  <si>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</si>
  <si>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</si>
  <si>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</si>
  <si>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</si>
  <si>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</si>
  <si>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</si>
  <si>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</si>
  <si>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</si>
  <si>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</si>
  <si>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</si>
  <si>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</si>
  <si>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</si>
  <si>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</si>
  <si>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</si>
  <si>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</si>
  <si>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</si>
  <si>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</si>
  <si>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</si>
  <si>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</si>
  <si>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</si>
  <si>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</si>
  <si>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</si>
  <si>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</si>
  <si>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</si>
  <si>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</si>
  <si>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</si>
  <si>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</si>
  <si>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</si>
  <si>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</si>
  <si>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</si>
  <si>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</si>
  <si>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</si>
  <si>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</si>
  <si>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</si>
  <si>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</si>
  <si>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</si>
  <si>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</si>
  <si>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</si>
  <si>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</si>
  <si>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</si>
  <si>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</si>
  <si>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</si>
  <si>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</si>
  <si>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</si>
  <si>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</si>
  <si>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</si>
  <si>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</si>
  <si>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</si>
  <si>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</si>
  <si>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</si>
  <si>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</si>
  <si>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</si>
  <si>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</si>
  <si>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</si>
  <si>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</si>
  <si>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</si>
  <si>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</si>
  <si>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</si>
  <si>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</si>
  <si>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</si>
  <si>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</si>
  <si>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</si>
  <si>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</si>
  <si>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</si>
  <si>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</si>
  <si>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</si>
  <si>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</si>
  <si>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</si>
  <si>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</si>
  <si>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</si>
  <si>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</si>
  <si>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</si>
  <si>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</si>
  <si>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</si>
  <si>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</si>
  <si>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</si>
  <si>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</si>
  <si>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</si>
  <si>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</si>
  <si>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</si>
  <si>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</si>
  <si>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</si>
  <si>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</si>
  <si>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</si>
  <si>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</si>
  <si>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</si>
  <si>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</si>
  <si>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</si>
  <si>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</si>
  <si>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</si>
  <si>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</si>
  <si>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</si>
  <si>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</si>
  <si>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</si>
  <si>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</si>
  <si>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</si>
  <si>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</si>
  <si>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</si>
  <si>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</si>
  <si>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</si>
  <si>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</si>
  <si>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</si>
  <si>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</si>
  <si>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</si>
  <si>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</si>
  <si>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</si>
  <si>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</si>
  <si>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</si>
  <si>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</si>
  <si>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</si>
  <si>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</si>
  <si>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</si>
  <si>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</si>
  <si>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</si>
  <si>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</si>
  <si>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</si>
  <si>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</si>
  <si>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</si>
  <si>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</si>
  <si>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</si>
  <si>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</si>
  <si>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</si>
  <si>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</si>
  <si>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</si>
  <si>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</si>
  <si>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</si>
  <si>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</si>
  <si>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</si>
  <si>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</si>
  <si>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</si>
  <si>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</si>
  <si>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</si>
  <si>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</si>
  <si>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</si>
  <si>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</si>
  <si>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</si>
  <si>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</si>
  <si>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</si>
  <si>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</si>
  <si>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</si>
  <si>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</si>
  <si>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</si>
  <si>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</si>
  <si>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</si>
  <si>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</si>
  <si>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</si>
  <si>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</si>
  <si>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</si>
  <si>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</si>
  <si>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</si>
  <si>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</si>
  <si>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</si>
  <si>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</si>
  <si>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</si>
  <si>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</si>
  <si>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</si>
  <si>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</si>
  <si>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</si>
  <si>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</si>
  <si>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</si>
  <si>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</si>
  <si>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</si>
  <si>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</si>
  <si>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</si>
  <si>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</si>
  <si>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</si>
  <si>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</si>
  <si>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</si>
  <si>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</si>
  <si>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</si>
  <si>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</si>
  <si>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</si>
  <si>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</si>
  <si>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</si>
  <si>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</si>
  <si>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</si>
  <si>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</si>
  <si>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</si>
  <si>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</si>
  <si>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</si>
  <si>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</si>
  <si>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</si>
  <si>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</si>
  <si>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</si>
  <si>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</si>
  <si>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</si>
  <si>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</si>
  <si>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</si>
  <si>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</si>
  <si>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</si>
  <si>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</si>
  <si>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</si>
  <si>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</si>
  <si>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</si>
  <si>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</si>
  <si>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</si>
  <si>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</si>
  <si>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</si>
  <si>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</si>
  <si>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</si>
  <si>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</si>
  <si>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</si>
  <si>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</si>
  <si>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</si>
  <si>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</si>
  <si>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</si>
  <si>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</si>
  <si>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</si>
  <si>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</si>
  <si>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</si>
  <si>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</si>
  <si>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</si>
  <si>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</si>
  <si>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</si>
  <si>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</si>
  <si>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</si>
  <si>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</si>
  <si>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</si>
  <si>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</si>
  <si>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</si>
  <si>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</si>
  <si>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</si>
  <si>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</si>
  <si>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</si>
  <si>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</si>
  <si>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</si>
  <si>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</si>
  <si>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</si>
  <si>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</si>
  <si>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</si>
  <si>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</si>
  <si>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</si>
  <si>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</si>
  <si>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</si>
  <si>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</si>
  <si>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</si>
  <si>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</si>
  <si>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</si>
  <si>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</si>
  <si>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</si>
  <si>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</si>
  <si>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</si>
  <si>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</si>
  <si>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</si>
  <si>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</si>
  <si>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</si>
  <si>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</si>
  <si>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</si>
  <si>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</si>
  <si>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</si>
  <si>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</si>
  <si>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</si>
  <si>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</si>
  <si>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</si>
  <si>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</si>
  <si>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</si>
  <si>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</si>
  <si>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</si>
  <si>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</si>
  <si>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</si>
  <si>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</si>
  <si>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</si>
  <si>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</si>
  <si>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</si>
  <si>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</si>
  <si>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</si>
  <si>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</si>
  <si>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</si>
  <si>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</si>
  <si>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</si>
  <si>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</si>
  <si>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</si>
  <si>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</si>
  <si>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</si>
  <si>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</si>
  <si>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</si>
  <si>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</si>
  <si>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</si>
  <si>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</si>
  <si>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</si>
  <si>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</si>
  <si>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</si>
  <si>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</si>
  <si>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</si>
  <si>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</si>
  <si>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</si>
  <si>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</si>
  <si>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</si>
  <si>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</si>
  <si>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</si>
  <si>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</si>
  <si>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</si>
  <si>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</si>
  <si>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</si>
  <si>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</si>
  <si>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</si>
  <si>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</si>
  <si>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</si>
  <si>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</si>
  <si>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</si>
  <si>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</si>
  <si>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</si>
  <si>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</si>
  <si>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</si>
  <si>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</si>
  <si>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</si>
  <si>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</si>
  <si>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</si>
  <si>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</si>
  <si>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</si>
  <si>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</si>
  <si>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</si>
  <si>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</si>
  <si>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</si>
  <si>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</si>
  <si>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</si>
  <si>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</si>
  <si>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</si>
  <si>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</si>
  <si>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</si>
  <si>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</si>
  <si>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</si>
  <si>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</si>
  <si>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</si>
  <si>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</si>
  <si>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</si>
  <si>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</si>
  <si>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</si>
  <si>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</si>
  <si>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</si>
  <si>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</si>
  <si>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</si>
  <si>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</si>
  <si>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</si>
  <si>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</si>
  <si>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</si>
  <si>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</si>
  <si>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</si>
  <si>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</si>
  <si>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</si>
  <si>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</si>
  <si>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</si>
  <si>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</si>
  <si>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</si>
  <si>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</si>
  <si>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</si>
  <si>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</si>
  <si>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</si>
  <si>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</si>
  <si>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</si>
  <si>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</si>
  <si>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</si>
  <si>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</si>
  <si>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</si>
  <si>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</si>
  <si>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</si>
  <si>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</si>
  <si>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</si>
  <si>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</si>
  <si>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</si>
  <si>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</si>
  <si>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</si>
  <si>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</si>
  <si>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</si>
  <si>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</si>
  <si>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</si>
  <si>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</si>
  <si>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</si>
  <si>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</si>
  <si>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</si>
  <si>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</si>
  <si>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</si>
  <si>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</si>
  <si>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</si>
  <si>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</si>
  <si>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</si>
  <si>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</si>
  <si>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</si>
  <si>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</si>
  <si>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</si>
  <si>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</si>
  <si>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</si>
  <si>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</si>
  <si>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</si>
  <si>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</si>
  <si>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</si>
  <si>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</si>
  <si>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</si>
  <si>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</si>
  <si>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</si>
  <si>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</si>
  <si>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</si>
  <si>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</si>
  <si>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</si>
  <si>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</si>
  <si>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</si>
  <si>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</si>
  <si>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</si>
  <si>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</si>
  <si>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</si>
  <si>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</si>
  <si>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</si>
  <si>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</si>
  <si>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</si>
  <si>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</si>
  <si>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</si>
  <si>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</si>
  <si>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</si>
  <si>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</si>
  <si>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</si>
  <si>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</si>
  <si>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</si>
  <si>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</si>
  <si>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</si>
  <si>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</si>
  <si>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</si>
  <si>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</si>
  <si>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</si>
  <si>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</si>
  <si>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</si>
  <si>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</si>
  <si>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</si>
  <si>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</si>
  <si>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</si>
  <si>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</si>
  <si>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</si>
  <si>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</si>
  <si>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</si>
  <si>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</si>
  <si>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</si>
  <si>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</si>
  <si>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</si>
  <si>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</si>
  <si>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</si>
  <si>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</si>
  <si>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</si>
  <si>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</si>
  <si>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</si>
  <si>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</si>
  <si>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</si>
  <si>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</si>
  <si>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</si>
  <si>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</si>
  <si>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</si>
  <si>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</si>
  <si>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</si>
  <si>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</si>
  <si>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</si>
  <si>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</si>
  <si>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</si>
  <si>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</si>
  <si>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</si>
  <si>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</si>
  <si>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</si>
  <si>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</si>
  <si>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</si>
  <si>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</si>
  <si>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</si>
  <si>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</si>
  <si>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</si>
  <si>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</si>
  <si>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</si>
  <si>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</si>
  <si>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</si>
  <si>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</si>
  <si>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</si>
  <si>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</si>
  <si>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</si>
  <si>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</si>
  <si>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</si>
  <si>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</si>
  <si>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</si>
  <si>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</si>
  <si>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</si>
  <si>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</si>
  <si>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</si>
  <si>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</si>
  <si>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</si>
  <si>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</si>
  <si>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</si>
  <si>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</si>
  <si>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</si>
  <si>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</si>
  <si>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</si>
  <si>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</si>
  <si>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</si>
  <si>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</si>
  <si>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</si>
  <si>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</si>
  <si>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</si>
  <si>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</si>
  <si>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</si>
  <si>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</si>
  <si>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</si>
  <si>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</si>
  <si>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</si>
  <si>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</si>
  <si>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</si>
  <si>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</si>
  <si>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</si>
  <si>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</si>
  <si>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</si>
  <si>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</si>
  <si>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</si>
  <si>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</si>
  <si>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</si>
  <si>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</si>
  <si>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</si>
  <si>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</si>
  <si>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</si>
  <si>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</si>
  <si>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</si>
  <si>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</si>
  <si>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</si>
  <si>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</si>
  <si>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</si>
  <si>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</si>
  <si>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</si>
  <si>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</si>
  <si>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</si>
  <si>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</si>
  <si>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</si>
  <si>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</si>
  <si>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</si>
  <si>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</si>
  <si>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</si>
  <si>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</si>
  <si>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</si>
  <si>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</si>
  <si>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</si>
  <si>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</si>
  <si>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</si>
  <si>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</si>
  <si>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</si>
  <si>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</si>
  <si>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</si>
  <si>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</si>
  <si>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</si>
  <si>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</si>
  <si>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</si>
  <si>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</si>
  <si>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</si>
  <si>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</si>
  <si>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</si>
  <si>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</si>
  <si>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</si>
  <si>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</si>
  <si>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</si>
  <si>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</si>
  <si>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</si>
  <si>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</si>
  <si>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</si>
  <si>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</si>
  <si>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</si>
  <si>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</si>
  <si>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</si>
  <si>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</si>
  <si>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</si>
  <si>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</si>
  <si>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</si>
  <si>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</si>
  <si>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</si>
  <si>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</si>
  <si>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</si>
  <si>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</si>
  <si>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</si>
  <si>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</si>
  <si>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</si>
  <si>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</si>
  <si>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</si>
  <si>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</si>
  <si>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</si>
  <si>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</si>
  <si>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</si>
  <si>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</si>
  <si>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</si>
  <si>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</si>
  <si>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</si>
  <si>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</si>
  <si>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</si>
  <si>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</si>
  <si>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</si>
  <si>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</si>
  <si>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</si>
  <si>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</si>
  <si>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</si>
  <si>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</si>
  <si>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</si>
  <si>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</si>
  <si>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</si>
  <si>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</si>
  <si>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</si>
  <si>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</si>
  <si>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</si>
  <si>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</si>
  <si>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</si>
  <si>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</si>
  <si>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</si>
  <si>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</si>
  <si>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</si>
  <si>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</si>
  <si>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</si>
  <si>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</si>
  <si>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</si>
  <si>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</si>
  <si>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</si>
  <si>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</si>
  <si>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</si>
  <si>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</si>
  <si>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</si>
  <si>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</si>
  <si>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</si>
  <si>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</si>
  <si>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</si>
  <si>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</si>
  <si>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</si>
  <si>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</si>
  <si>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</si>
  <si>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</si>
  <si>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</si>
  <si>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</si>
  <si>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</si>
  <si>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</si>
  <si>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</si>
  <si>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</si>
  <si>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</si>
  <si>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</si>
  <si>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</si>
  <si>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</si>
  <si>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</si>
  <si>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</si>
  <si>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</si>
  <si>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</si>
  <si>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</si>
  <si>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</si>
  <si>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</si>
  <si>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</si>
  <si>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</si>
  <si>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</si>
  <si>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</si>
  <si>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</si>
  <si>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</si>
  <si>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</si>
  <si>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</si>
  <si>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</si>
  <si>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</si>
  <si>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</si>
  <si>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</si>
  <si>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</si>
  <si>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</si>
  <si>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</si>
  <si>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</si>
  <si>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</si>
  <si>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</si>
  <si>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</si>
  <si>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</si>
  <si>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</si>
  <si>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</si>
  <si>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</si>
  <si>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</si>
  <si>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</si>
  <si>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</si>
  <si>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</si>
  <si>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</si>
  <si>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</si>
  <si>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</si>
  <si>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</si>
  <si>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</si>
  <si>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</si>
  <si>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</si>
  <si>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</si>
  <si>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</si>
  <si>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</si>
  <si>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</si>
  <si>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</si>
  <si>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</si>
  <si>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</si>
  <si>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</si>
  <si>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</si>
  <si>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</si>
  <si>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</si>
  <si>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</si>
  <si>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</si>
  <si>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</si>
  <si>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</si>
  <si>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</si>
  <si>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</si>
  <si>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</si>
  <si>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</si>
  <si>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</si>
  <si>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</si>
  <si>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</si>
  <si>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</si>
  <si>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</si>
  <si>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</si>
  <si>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</si>
  <si>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</si>
  <si>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</si>
  <si>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</si>
  <si>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</si>
  <si>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</si>
  <si>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</si>
  <si>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</si>
  <si>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</si>
  <si>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</si>
  <si>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</si>
  <si>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</si>
  <si>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</si>
  <si>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</si>
  <si>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</si>
  <si>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</si>
  <si>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</si>
  <si>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</si>
  <si>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</si>
  <si>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</si>
  <si>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</si>
  <si>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</si>
  <si>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</si>
  <si>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</si>
  <si>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</si>
  <si>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</si>
  <si>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</si>
  <si>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</si>
  <si>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</si>
  <si>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</si>
  <si>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</si>
  <si>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</si>
  <si>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</si>
  <si>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</si>
  <si>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</si>
  <si>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</si>
  <si>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</si>
  <si>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</si>
  <si>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</si>
  <si>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</si>
  <si>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</si>
  <si>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</si>
  <si>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</si>
  <si>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</si>
  <si>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</si>
  <si>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</si>
  <si>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</si>
  <si>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</si>
  <si>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</si>
  <si>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</si>
  <si>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</si>
  <si>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</si>
  <si>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</si>
  <si>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</si>
  <si>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</si>
  <si>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</si>
  <si>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</si>
  <si>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</si>
  <si>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</si>
  <si>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</si>
  <si>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</si>
  <si>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</si>
  <si>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</si>
  <si>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</si>
  <si>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</si>
  <si>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</si>
  <si>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</si>
  <si>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</si>
  <si>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</si>
  <si>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</si>
  <si>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</si>
  <si>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</si>
  <si>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</si>
  <si>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</si>
  <si>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</si>
  <si>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</si>
  <si>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</si>
  <si>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</si>
  <si>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</si>
  <si>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</si>
  <si>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</si>
  <si>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</si>
  <si>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</si>
  <si>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</si>
  <si>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</si>
  <si>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</si>
  <si>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</si>
  <si>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</si>
  <si>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</si>
  <si>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</si>
  <si>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</si>
  <si>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</si>
  <si>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</si>
  <si>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</si>
  <si>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</si>
  <si>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</si>
  <si>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</si>
  <si>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</si>
  <si>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</si>
  <si>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</si>
  <si>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</si>
  <si>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</si>
  <si>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</si>
  <si>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</si>
  <si>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</si>
  <si>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</si>
  <si>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</si>
  <si>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</si>
  <si>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</si>
  <si>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</si>
  <si>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</si>
  <si>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</si>
  <si>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</si>
  <si>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</si>
  <si>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</si>
  <si>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</si>
  <si>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</si>
  <si>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</si>
  <si>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</si>
  <si>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</si>
  <si>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</si>
  <si>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</si>
  <si>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</si>
  <si>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</si>
  <si>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</si>
  <si>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</si>
  <si>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</si>
  <si>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</si>
  <si>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</si>
  <si>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</si>
  <si>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</si>
  <si>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</si>
  <si>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</si>
  <si>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</si>
  <si>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</si>
  <si>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</si>
  <si>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</si>
  <si>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</si>
  <si>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</si>
  <si>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</si>
  <si>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</si>
  <si>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</si>
  <si>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</si>
  <si>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</si>
  <si>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</si>
  <si>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</si>
  <si>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</si>
  <si>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</si>
  <si>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</si>
  <si>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</si>
  <si>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</si>
  <si>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</si>
  <si>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</si>
  <si>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</si>
  <si>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</si>
  <si>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</si>
  <si>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</si>
  <si>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</si>
  <si>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</si>
  <si>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</si>
  <si>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</si>
  <si>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</si>
  <si>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</si>
  <si>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</si>
  <si>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</si>
  <si>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</si>
  <si>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</si>
  <si>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</si>
  <si>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</si>
  <si>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</si>
  <si>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</si>
  <si>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</si>
  <si>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</si>
  <si>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</si>
  <si>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</si>
  <si>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</si>
  <si>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</si>
  <si>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</si>
  <si>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</si>
  <si>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</si>
  <si>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</si>
  <si>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</si>
  <si>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</si>
  <si>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</si>
  <si>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</si>
  <si>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</si>
  <si>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</si>
  <si>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</si>
  <si>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</si>
  <si>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</si>
  <si>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</si>
  <si>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</si>
  <si>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</si>
  <si>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</si>
  <si>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</si>
  <si>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</si>
  <si>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</si>
  <si>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</si>
  <si>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</si>
  <si>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</si>
  <si>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</si>
  <si>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</si>
  <si>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</si>
  <si>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</si>
  <si>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</si>
  <si>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</si>
  <si>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</si>
  <si>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</si>
  <si>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</si>
  <si>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</si>
  <si>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</si>
  <si>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</si>
  <si>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</si>
  <si>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</si>
  <si>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</si>
  <si>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</si>
  <si>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</si>
  <si>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</si>
  <si>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</si>
  <si>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</si>
  <si>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</si>
  <si>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</si>
  <si>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</si>
  <si>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</si>
  <si>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</si>
  <si>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</si>
  <si>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</si>
  <si>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</si>
  <si>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</si>
  <si>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</si>
  <si>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</si>
  <si>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</si>
  <si>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</si>
  <si>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</si>
  <si>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</si>
  <si>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</si>
  <si>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</si>
  <si>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</si>
  <si>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</si>
  <si>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</si>
  <si>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</si>
  <si>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</si>
  <si>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</si>
  <si>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</si>
  <si>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</si>
  <si>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</si>
  <si>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</si>
  <si>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</si>
  <si>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</si>
  <si>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</si>
  <si>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</si>
  <si>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</si>
  <si>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</si>
  <si>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</si>
  <si>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</si>
  <si>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</si>
  <si>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</si>
  <si>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</si>
  <si>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</si>
  <si>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</si>
  <si>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</si>
  <si>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</si>
  <si>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</si>
  <si>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</si>
  <si>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</si>
  <si>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</si>
  <si>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</si>
  <si>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</si>
  <si>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</si>
  <si>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</si>
  <si>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</si>
  <si>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</si>
  <si>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</si>
  <si>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</si>
  <si>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</si>
  <si>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</si>
  <si>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</si>
  <si>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</si>
  <si>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</si>
  <si>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</si>
  <si>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</si>
  <si>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</si>
  <si>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</si>
  <si>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</si>
  <si>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</si>
  <si>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</si>
  <si>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</si>
  <si>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</si>
  <si>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</si>
  <si>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</si>
  <si>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</si>
  <si>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</si>
  <si>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</si>
  <si>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</si>
  <si>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</si>
  <si>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</si>
  <si>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</si>
  <si>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</si>
  <si>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</si>
  <si>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</si>
  <si>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</si>
  <si>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</si>
  <si>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</si>
  <si>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</si>
  <si>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</si>
  <si>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</si>
  <si>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</si>
  <si>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</si>
  <si>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</si>
  <si>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</si>
  <si>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</si>
  <si>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</si>
  <si>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</si>
  <si>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</si>
  <si>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</si>
  <si>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</si>
  <si>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</si>
  <si>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</si>
  <si>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</si>
  <si>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</si>
  <si>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</si>
  <si>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</si>
  <si>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</si>
  <si>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</si>
  <si>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</si>
  <si>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</si>
  <si>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</si>
  <si>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</si>
  <si>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</si>
  <si>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</si>
  <si>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</si>
  <si>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</si>
  <si>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</si>
  <si>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</si>
  <si>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</si>
  <si>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</si>
  <si>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</si>
  <si>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</si>
  <si>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</si>
  <si>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</si>
  <si>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</si>
  <si>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</si>
  <si>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</si>
  <si>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</si>
  <si>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</si>
  <si>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</si>
  <si>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</si>
  <si>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</si>
  <si>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</si>
  <si>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</si>
  <si>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</si>
  <si>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</si>
  <si>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</si>
  <si>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</si>
  <si>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</si>
  <si>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</si>
  <si>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</si>
  <si>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</si>
  <si>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</si>
  <si>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</si>
  <si>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</si>
  <si>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</si>
  <si>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</si>
  <si>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</si>
  <si>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</si>
  <si>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</si>
  <si>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</si>
  <si>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</si>
  <si>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</si>
  <si>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</si>
  <si>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</si>
  <si>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</si>
  <si>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</si>
  <si>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</si>
  <si>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</si>
  <si>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</si>
  <si>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</si>
  <si>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</si>
  <si>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</si>
  <si>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</si>
  <si>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</si>
  <si>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</si>
  <si>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</si>
  <si>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</si>
  <si>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</si>
  <si>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</si>
  <si>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</si>
  <si>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</si>
  <si>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</si>
  <si>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</si>
  <si>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</si>
  <si>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</si>
  <si>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</si>
  <si>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</si>
  <si>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</si>
  <si>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</si>
  <si>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</si>
  <si>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</si>
  <si>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</si>
  <si>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</si>
  <si>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</si>
  <si>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</si>
  <si>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</si>
  <si>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</si>
  <si>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</si>
  <si>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</si>
  <si>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</si>
  <si>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</si>
  <si>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</si>
  <si>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</si>
  <si>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</si>
  <si>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</si>
  <si>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</si>
  <si>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</si>
  <si>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</si>
  <si>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</si>
  <si>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</si>
  <si>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</si>
  <si>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</si>
  <si>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</si>
  <si>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</si>
  <si>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</si>
  <si>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</si>
  <si>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</si>
  <si>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</si>
  <si>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</si>
  <si>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</si>
  <si>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</si>
  <si>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</si>
  <si>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</si>
  <si>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</si>
  <si>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</si>
  <si>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</si>
  <si>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</si>
  <si>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</si>
  <si>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</si>
  <si>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</si>
  <si>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</si>
  <si>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</si>
  <si>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</si>
  <si>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</si>
  <si>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</si>
  <si>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</si>
  <si>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</si>
  <si>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</si>
  <si>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</si>
  <si>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</si>
  <si>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</si>
  <si>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</si>
  <si>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</si>
  <si>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</si>
  <si>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</si>
  <si>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</si>
  <si>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</si>
  <si>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</si>
  <si>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</si>
  <si>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</si>
  <si>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</si>
  <si>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</si>
  <si>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</si>
  <si>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</si>
  <si>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</si>
  <si>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</si>
  <si>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</si>
  <si>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</si>
  <si>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</si>
  <si>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</si>
  <si>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</si>
  <si>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</si>
  <si>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</si>
  <si>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</si>
  <si>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</si>
  <si>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</si>
  <si>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</si>
  <si>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</si>
  <si>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</si>
  <si>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</si>
  <si>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</si>
  <si>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</si>
  <si>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</si>
  <si>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</si>
  <si>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</si>
  <si>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</si>
  <si>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</si>
  <si>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</si>
  <si>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</si>
  <si>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</si>
  <si>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</si>
  <si>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</si>
  <si>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</si>
  <si>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</si>
  <si>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</si>
  <si>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</si>
  <si>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</si>
  <si>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</si>
  <si>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</si>
  <si>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</si>
  <si>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</si>
  <si>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</si>
  <si>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</si>
  <si>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</si>
  <si>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</si>
  <si>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</si>
  <si>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</si>
  <si>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</si>
  <si>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</si>
  <si>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</si>
  <si>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</si>
  <si>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</si>
  <si>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</si>
  <si>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</si>
  <si>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</si>
  <si>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</si>
  <si>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</si>
  <si>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</si>
  <si>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</si>
  <si>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</si>
  <si>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</si>
  <si>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</si>
  <si>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</si>
  <si>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</si>
  <si>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</si>
  <si>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</si>
  <si>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</si>
  <si>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</si>
  <si>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</si>
  <si>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</si>
  <si>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</si>
  <si>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</si>
  <si>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</si>
  <si>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</si>
  <si>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</si>
  <si>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</si>
  <si>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</si>
  <si>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</si>
  <si>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</si>
  <si>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</si>
  <si>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</si>
  <si>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</si>
  <si>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</si>
  <si>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</si>
  <si>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</si>
  <si>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</si>
  <si>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</si>
  <si>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</si>
  <si>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</si>
  <si>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</si>
  <si>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</si>
  <si>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</si>
  <si>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</si>
  <si>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</si>
  <si>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</si>
  <si>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</si>
  <si>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</si>
  <si>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</si>
  <si>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</si>
  <si>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</si>
  <si>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</si>
  <si>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</si>
  <si>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</si>
  <si>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</si>
  <si>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</si>
  <si>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</si>
  <si>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</si>
  <si>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</si>
  <si>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</si>
  <si>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</si>
  <si>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</si>
  <si>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</si>
  <si>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</si>
  <si>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</si>
  <si>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</si>
  <si>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</si>
  <si>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</si>
  <si>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</si>
  <si>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</si>
  <si>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</si>
  <si>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</si>
  <si>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</si>
  <si>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</si>
  <si>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</si>
  <si>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</si>
  <si>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</si>
  <si>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</si>
  <si>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</si>
  <si>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</si>
  <si>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</si>
  <si>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</si>
  <si>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</si>
  <si>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</si>
  <si>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</si>
  <si>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</si>
  <si>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</si>
  <si>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</si>
  <si>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</si>
  <si>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</si>
  <si>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</si>
  <si>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</si>
  <si>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</si>
  <si>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</si>
  <si>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</si>
  <si>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</si>
  <si>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</si>
  <si>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</si>
  <si>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</si>
  <si>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</si>
  <si>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</si>
  <si>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</si>
  <si>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</si>
  <si>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</si>
  <si>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</si>
  <si>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</si>
  <si>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</si>
  <si>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</si>
  <si>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</si>
  <si>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</si>
  <si>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</si>
  <si>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</si>
  <si>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</si>
  <si>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</si>
  <si>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</si>
  <si>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</si>
  <si>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</si>
  <si>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</si>
  <si>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</si>
  <si>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</si>
  <si>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</si>
  <si>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</si>
  <si>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</si>
  <si>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</si>
  <si>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</si>
  <si>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</si>
  <si>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</si>
  <si>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</si>
  <si>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</si>
  <si>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</si>
  <si>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</si>
  <si>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</si>
  <si>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</si>
  <si>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</si>
  <si>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</si>
  <si>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</si>
  <si>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</si>
  <si>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</si>
  <si>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</si>
  <si>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</si>
  <si>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</si>
  <si>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</si>
  <si>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</si>
  <si>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</si>
  <si>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</si>
  <si>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</si>
  <si>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</si>
  <si>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</si>
  <si>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</si>
  <si>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</si>
  <si>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</si>
  <si>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</si>
  <si>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</si>
  <si>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</si>
  <si>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</si>
  <si>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</si>
  <si>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</si>
  <si>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</si>
  <si>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</si>
  <si>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</si>
  <si>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</si>
  <si>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</si>
  <si>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</si>
  <si>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</si>
  <si>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</si>
  <si>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</si>
  <si>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</si>
  <si>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</si>
  <si>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</si>
  <si>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</si>
  <si>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</si>
  <si>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</si>
  <si>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</si>
  <si>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</si>
  <si>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</si>
  <si>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</si>
  <si>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</si>
  <si>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</si>
  <si>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</si>
  <si>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</si>
  <si>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</si>
  <si>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</si>
  <si>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</si>
  <si>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</si>
  <si>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</si>
  <si>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</si>
  <si>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</si>
  <si>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</si>
  <si>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</si>
  <si>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</si>
  <si>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</si>
  <si>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</si>
  <si>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</si>
  <si>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</si>
  <si>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</si>
  <si>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</si>
  <si>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</si>
  <si>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</si>
  <si>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</si>
  <si>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</si>
  <si>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</si>
  <si>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</si>
  <si>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</si>
  <si>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</si>
  <si>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</si>
  <si>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</si>
  <si>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</si>
  <si>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</si>
  <si>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</si>
  <si>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</si>
  <si>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</si>
  <si>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</si>
  <si>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</si>
  <si>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</si>
  <si>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</si>
  <si>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</si>
  <si>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</si>
  <si>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</si>
  <si>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</si>
  <si>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</si>
  <si>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</si>
  <si>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</si>
  <si>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</si>
  <si>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</si>
  <si>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</si>
  <si>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</si>
  <si>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</si>
  <si>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</si>
  <si>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</si>
  <si>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</si>
  <si>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</si>
  <si>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</si>
  <si>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</si>
  <si>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</si>
  <si>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</si>
  <si>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</si>
  <si>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</si>
  <si>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</si>
  <si>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</si>
  <si>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</si>
  <si>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</si>
  <si>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</si>
  <si>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</si>
  <si>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</si>
  <si>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</si>
  <si>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</si>
  <si>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</si>
  <si>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</si>
  <si>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</si>
  <si>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</si>
  <si>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</si>
  <si>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</si>
  <si>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</si>
  <si>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</si>
  <si>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</si>
  <si>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</si>
  <si>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</si>
  <si>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</si>
  <si>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</si>
  <si>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</si>
  <si>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</si>
  <si>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</si>
  <si>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</si>
  <si>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</si>
  <si>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</si>
  <si>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</si>
  <si>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</si>
  <si>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</si>
  <si>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</si>
  <si>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</si>
  <si>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</si>
  <si>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</si>
  <si>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</si>
  <si>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</si>
  <si>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</si>
  <si>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</si>
  <si>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</si>
  <si>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</si>
  <si>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</si>
  <si>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</si>
  <si>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</si>
  <si>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</si>
  <si>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</si>
  <si>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</si>
  <si>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</si>
  <si>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</si>
  <si>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</si>
  <si>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</si>
  <si>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</si>
  <si>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</si>
  <si>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</si>
  <si>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</si>
  <si>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</si>
  <si>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</si>
  <si>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</si>
  <si>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</si>
  <si>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</si>
  <si>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</si>
  <si>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</si>
  <si>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</si>
  <si>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</si>
  <si>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</si>
  <si>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</si>
  <si>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</si>
  <si>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</si>
  <si>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</si>
  <si>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</si>
  <si>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</si>
  <si>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</si>
  <si>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</si>
  <si>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</si>
  <si>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</si>
  <si>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</si>
  <si>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</si>
  <si>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</si>
  <si>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</si>
  <si>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</si>
  <si>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</si>
  <si>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</si>
  <si>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</si>
  <si>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</si>
  <si>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</si>
  <si>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</si>
  <si>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</si>
  <si>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</si>
  <si>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</si>
  <si>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</si>
  <si>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</si>
  <si>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</si>
  <si>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</si>
  <si>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</si>
  <si>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</si>
  <si>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</si>
  <si>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</si>
  <si>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</si>
  <si>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</si>
  <si>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</si>
  <si>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</si>
  <si>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</si>
  <si>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</si>
  <si>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</si>
  <si>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</si>
  <si>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</si>
  <si>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</si>
  <si>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</si>
  <si>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</si>
  <si>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</si>
  <si>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</si>
  <si>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</si>
  <si>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</si>
  <si>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</si>
  <si>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</si>
  <si>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</si>
  <si>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</si>
  <si>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</si>
  <si>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</si>
  <si>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</si>
  <si>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</si>
  <si>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</si>
  <si>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</si>
  <si>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</si>
  <si>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</si>
  <si>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</si>
  <si>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</si>
  <si>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</si>
  <si>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</si>
  <si>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</si>
  <si>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</si>
  <si>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</si>
  <si>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</si>
  <si>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</si>
  <si>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</si>
  <si>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</si>
  <si>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</si>
  <si>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</si>
  <si>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</si>
  <si>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</si>
  <si>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</si>
  <si>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</si>
  <si>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</si>
  <si>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</si>
  <si>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</si>
  <si>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</si>
  <si>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</si>
  <si>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</si>
  <si>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</si>
  <si>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</si>
  <si>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</si>
  <si>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</si>
  <si>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</si>
  <si>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</si>
  <si>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</si>
  <si>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</si>
  <si>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</si>
  <si>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</si>
  <si>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</si>
  <si>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</si>
  <si>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</si>
  <si>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</si>
  <si>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</si>
  <si>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</si>
  <si>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</si>
  <si>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</si>
  <si>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</si>
  <si>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</si>
  <si>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</si>
  <si>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</si>
  <si>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</si>
  <si>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</si>
  <si>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</si>
  <si>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</si>
  <si>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</si>
  <si>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</si>
  <si>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</si>
  <si>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</si>
  <si>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</si>
  <si>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</si>
  <si>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</si>
  <si>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</si>
  <si>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</si>
  <si>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</si>
  <si>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</si>
  <si>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</si>
  <si>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</si>
  <si>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</si>
  <si>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</si>
  <si>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</si>
  <si>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</si>
  <si>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</si>
  <si>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</si>
  <si>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</si>
  <si>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</si>
  <si>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</si>
  <si>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</si>
  <si>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</si>
  <si>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</si>
  <si>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</si>
  <si>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</si>
  <si>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</si>
  <si>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</si>
  <si>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</si>
  <si>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</si>
  <si>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</si>
  <si>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</si>
  <si>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</si>
  <si>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</si>
  <si>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</si>
  <si>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</si>
  <si>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</si>
  <si>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</si>
  <si>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</si>
  <si>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</si>
  <si>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</si>
  <si>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</si>
  <si>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</si>
  <si>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</si>
  <si>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</si>
  <si>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</si>
  <si>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</si>
  <si>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</si>
  <si>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</si>
  <si>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</si>
  <si>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</si>
  <si>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</si>
  <si>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</si>
  <si>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</si>
  <si>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</si>
  <si>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</si>
  <si>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</si>
  <si>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</si>
  <si>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</si>
  <si>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</si>
  <si>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</si>
  <si>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</si>
  <si>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</si>
  <si>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</si>
  <si>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</si>
  <si>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</si>
  <si>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</si>
  <si>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</si>
  <si>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</si>
  <si>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</si>
  <si>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</si>
  <si>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</si>
  <si>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</si>
  <si>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</si>
  <si>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</si>
  <si>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</si>
  <si>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</si>
  <si>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</si>
  <si>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</si>
  <si>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</si>
  <si>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</si>
  <si>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</si>
  <si>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</si>
  <si>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</si>
  <si>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</si>
  <si>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</si>
  <si>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</si>
  <si>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</si>
  <si>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</si>
  <si>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</si>
  <si>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</si>
  <si>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</si>
  <si>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</si>
  <si>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</si>
  <si>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</si>
  <si>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</si>
  <si>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</si>
  <si>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</si>
  <si>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</si>
  <si>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</si>
  <si>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</si>
  <si>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</si>
  <si>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</si>
  <si>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</si>
  <si>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</si>
  <si>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</si>
  <si>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</si>
  <si>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</si>
  <si>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</si>
  <si>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</si>
  <si>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</si>
  <si>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</si>
  <si>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</si>
  <si>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</si>
  <si>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</si>
  <si>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</si>
  <si>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</si>
  <si>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</si>
  <si>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</si>
  <si>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</si>
  <si>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</si>
  <si>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</si>
  <si>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</si>
  <si>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</si>
  <si>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</si>
  <si>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</si>
  <si>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</si>
  <si>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</si>
  <si>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</si>
  <si>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</si>
  <si>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</si>
  <si>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</si>
  <si>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</si>
  <si>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</si>
  <si>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</si>
  <si>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</si>
  <si>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</si>
  <si>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</si>
  <si>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</si>
  <si>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</si>
  <si>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</si>
  <si>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</si>
  <si>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</si>
  <si>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</si>
  <si>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</si>
  <si>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</si>
  <si>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</si>
  <si>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</si>
  <si>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</si>
  <si>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</si>
  <si>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</si>
  <si>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</si>
  <si>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</si>
  <si>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</si>
  <si>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</si>
  <si>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</si>
  <si>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</si>
  <si>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</si>
  <si>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</si>
  <si>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</si>
  <si>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</si>
  <si>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</si>
  <si>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</si>
  <si>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</si>
  <si>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</si>
  <si>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</si>
  <si>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</si>
  <si>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</si>
  <si>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</si>
  <si>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</si>
  <si>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</si>
  <si>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</si>
  <si>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</si>
  <si>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</si>
  <si>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</si>
  <si>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</si>
  <si>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</si>
  <si>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</si>
  <si>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</si>
  <si>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</si>
  <si>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</si>
  <si>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</si>
  <si>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</si>
  <si>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</si>
  <si>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</si>
  <si>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</si>
  <si>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</si>
  <si>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</si>
  <si>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</si>
  <si>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</si>
  <si>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</si>
  <si>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</si>
  <si>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</si>
  <si>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</si>
  <si>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</si>
  <si>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</si>
  <si>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</si>
  <si>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</si>
  <si>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</si>
  <si>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</si>
  <si>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</si>
  <si>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</si>
  <si>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</si>
  <si>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</si>
  <si>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</si>
  <si>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</si>
  <si>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</si>
  <si>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</si>
  <si>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</si>
  <si>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</si>
  <si>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</si>
  <si>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</si>
  <si>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</si>
  <si>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</si>
  <si>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</si>
  <si>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</si>
  <si>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</si>
  <si>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</si>
  <si>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</si>
  <si>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</si>
  <si>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</si>
  <si>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</si>
  <si>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</si>
  <si>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</si>
  <si>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</si>
  <si>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</si>
  <si>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</si>
  <si>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</si>
  <si>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</si>
  <si>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</si>
  <si>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</si>
  <si>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</si>
  <si>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</si>
  <si>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</si>
  <si>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</si>
  <si>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</si>
  <si>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</si>
  <si>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</si>
  <si>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</si>
  <si>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</si>
  <si>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</si>
  <si>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</si>
  <si>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</si>
  <si>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</si>
  <si>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</si>
  <si>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</si>
  <si>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</si>
  <si>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</si>
  <si>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</si>
  <si>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</si>
  <si>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</si>
  <si>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</si>
  <si>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</si>
  <si>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</si>
  <si>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</si>
  <si>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</si>
  <si>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</si>
  <si>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</si>
  <si>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</si>
  <si>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</si>
  <si>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</si>
  <si>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</si>
  <si>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</si>
  <si>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</si>
  <si>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</si>
  <si>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</si>
  <si>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</si>
  <si>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</si>
  <si>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</si>
  <si>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</si>
  <si>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</si>
  <si>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</si>
  <si>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</si>
  <si>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</si>
  <si>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</si>
  <si>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</si>
  <si>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</si>
  <si>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</si>
  <si>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</si>
  <si>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</si>
  <si>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</si>
  <si>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</si>
  <si>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</si>
  <si>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</si>
  <si>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</si>
  <si>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</si>
  <si>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</si>
  <si>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</si>
  <si>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</si>
  <si>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</si>
  <si>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</si>
  <si>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</si>
  <si>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</si>
  <si>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</si>
  <si>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</si>
  <si>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</si>
  <si>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</si>
  <si>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</si>
  <si>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</si>
  <si>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</si>
  <si>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</si>
  <si>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</si>
  <si>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</si>
  <si>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</si>
  <si>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</si>
  <si>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</si>
  <si>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</si>
  <si>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</si>
  <si>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</si>
  <si>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</si>
  <si>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</si>
  <si>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</si>
  <si>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</si>
  <si>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</si>
  <si>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</si>
  <si>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</si>
  <si>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</si>
  <si>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</si>
  <si>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</si>
  <si>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</si>
  <si>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</si>
  <si>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</si>
  <si>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</si>
  <si>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</si>
  <si>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</si>
  <si>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</si>
  <si>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</si>
  <si>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</si>
  <si>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</si>
  <si>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</si>
  <si>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</si>
  <si>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</si>
  <si>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</si>
  <si>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</si>
  <si>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</si>
  <si>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</si>
  <si>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</si>
  <si>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</si>
  <si>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</si>
  <si>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</si>
  <si>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</si>
  <si>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</si>
  <si>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</si>
  <si>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</si>
  <si>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</si>
  <si>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</si>
  <si>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</si>
  <si>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</si>
  <si>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</si>
  <si>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</si>
  <si>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</si>
  <si>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</si>
  <si>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</si>
  <si>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</si>
  <si>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</si>
  <si>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</si>
  <si>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</si>
  <si>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</si>
  <si>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</si>
  <si>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</si>
  <si>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</si>
  <si>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</si>
  <si>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</si>
  <si>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</si>
  <si>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</si>
  <si>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</si>
  <si>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</si>
  <si>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</si>
  <si>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</si>
  <si>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</si>
  <si>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</si>
  <si>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</si>
  <si>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</si>
  <si>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</si>
  <si>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</si>
  <si>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</si>
  <si>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</si>
  <si>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</si>
  <si>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</si>
  <si>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</si>
  <si>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</si>
  <si>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</si>
  <si>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</si>
  <si>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</si>
  <si>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</si>
  <si>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</si>
  <si>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</si>
  <si>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</si>
  <si>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</si>
  <si>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</si>
  <si>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</si>
  <si>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</si>
  <si>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</si>
  <si>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</si>
  <si>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</si>
  <si>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</si>
  <si>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</si>
  <si>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</si>
  <si>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</si>
  <si>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</si>
  <si>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</si>
  <si>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</si>
  <si>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</si>
  <si>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</si>
  <si>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</si>
  <si>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</si>
  <si>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</si>
  <si>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</si>
  <si>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</si>
  <si>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</si>
  <si>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</si>
  <si>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</si>
  <si>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</si>
  <si>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</si>
  <si>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</si>
  <si>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</si>
  <si>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</si>
  <si>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</si>
  <si>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</si>
  <si>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</si>
  <si>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</si>
  <si>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</si>
  <si>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</si>
  <si>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</si>
  <si>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</si>
  <si>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</si>
  <si>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</si>
  <si>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</si>
  <si>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</si>
  <si>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</si>
  <si>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</si>
  <si>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</si>
  <si>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</si>
  <si>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</si>
  <si>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</si>
  <si>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</si>
  <si>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</si>
  <si>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</si>
  <si>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</si>
  <si>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</si>
  <si>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</si>
  <si>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</si>
  <si>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</si>
  <si>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</si>
  <si>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</si>
  <si>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</si>
  <si>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</si>
  <si>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</si>
  <si>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</si>
  <si>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</si>
  <si>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</si>
  <si>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</si>
  <si>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</si>
  <si>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</si>
  <si>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</si>
  <si>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</si>
  <si>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</si>
  <si>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</si>
  <si>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</si>
  <si>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</si>
  <si>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</si>
  <si>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</si>
  <si>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</si>
  <si>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</si>
  <si>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</si>
  <si>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</si>
  <si>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</si>
  <si>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</si>
  <si>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</si>
  <si>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</si>
  <si>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</si>
  <si>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</si>
  <si>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</si>
  <si>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</si>
  <si>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</si>
  <si>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</si>
  <si>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</si>
  <si>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</si>
  <si>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</si>
  <si>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</si>
  <si>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</si>
  <si>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</si>
  <si>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</si>
  <si>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</si>
  <si>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</si>
  <si>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</si>
  <si>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</si>
  <si>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</si>
  <si>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</si>
  <si>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</si>
  <si>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</si>
  <si>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</si>
  <si>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</si>
  <si>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</si>
  <si>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</si>
  <si>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</si>
  <si>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</si>
  <si>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</si>
  <si>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</si>
  <si>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</si>
  <si>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</si>
  <si>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</si>
  <si>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</si>
  <si>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</si>
  <si>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</si>
  <si>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</si>
  <si>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</si>
  <si>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</si>
  <si>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</si>
  <si>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</si>
  <si>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</si>
  <si>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</si>
  <si>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</si>
  <si>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</si>
  <si>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</si>
  <si>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</si>
  <si>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</si>
  <si>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</si>
  <si>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</si>
  <si>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</si>
  <si>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</si>
  <si>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</si>
  <si>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</si>
  <si>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</si>
  <si>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</si>
  <si>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</si>
  <si>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</si>
  <si>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</si>
  <si>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</si>
  <si>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</si>
  <si>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</si>
  <si>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</si>
  <si>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</si>
  <si>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</si>
  <si>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</si>
  <si>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</si>
  <si>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</si>
  <si>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</si>
  <si>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</si>
  <si>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</si>
  <si>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</si>
  <si>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</si>
  <si>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</si>
  <si>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</si>
  <si>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</si>
  <si>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</si>
  <si>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</si>
  <si>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</si>
  <si>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</si>
  <si>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</si>
  <si>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</si>
  <si>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</si>
  <si>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</si>
  <si>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</si>
  <si>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</si>
  <si>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</si>
  <si>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</si>
  <si>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</si>
  <si>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</si>
  <si>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</si>
  <si>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</si>
  <si>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</si>
  <si>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</si>
  <si>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</si>
  <si>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</si>
  <si>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</si>
  <si>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</si>
  <si>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</si>
  <si>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</si>
  <si>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</si>
  <si>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</si>
  <si>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</si>
  <si>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</si>
  <si>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</si>
  <si>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</si>
  <si>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</si>
  <si>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</si>
  <si>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</si>
  <si>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</si>
  <si>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</si>
  <si>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</si>
  <si>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</si>
  <si>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</si>
  <si>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</si>
  <si>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</si>
  <si>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</si>
  <si>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</si>
  <si>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</si>
  <si>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</si>
  <si>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</si>
  <si>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</si>
  <si>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</si>
  <si>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</si>
  <si>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</si>
  <si>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</si>
  <si>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</si>
  <si>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</si>
  <si>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</si>
  <si>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</si>
  <si>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</si>
  <si>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</si>
  <si>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</si>
  <si>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</si>
  <si>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</si>
  <si>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</si>
  <si>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</si>
  <si>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</si>
  <si>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</si>
  <si>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</si>
  <si>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</si>
  <si>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</si>
  <si>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</si>
  <si>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</si>
  <si>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</si>
  <si>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</si>
  <si>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</si>
  <si>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</si>
  <si>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</si>
  <si>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</si>
  <si>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</si>
  <si>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</si>
  <si>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</si>
  <si>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</si>
  <si>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</si>
  <si>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</si>
  <si>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</si>
  <si>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</si>
  <si>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</si>
  <si>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</si>
  <si>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</si>
  <si>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</si>
  <si>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</si>
  <si>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</si>
  <si>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</si>
  <si>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</si>
  <si>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</si>
  <si>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</si>
  <si>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</si>
  <si>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</si>
  <si>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</si>
  <si>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</si>
  <si>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</si>
  <si>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</si>
  <si>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</si>
  <si>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</si>
  <si>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</si>
  <si>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</si>
  <si>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</si>
  <si>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</si>
  <si>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</si>
  <si>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</si>
  <si>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</si>
  <si>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</si>
  <si>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</si>
  <si>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</si>
  <si>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</si>
  <si>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</si>
  <si>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</si>
  <si>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</si>
  <si>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</si>
  <si>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</si>
  <si>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</si>
  <si>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</si>
  <si>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</si>
  <si>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</si>
  <si>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</si>
  <si>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</si>
  <si>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</si>
  <si>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</si>
  <si>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</si>
  <si>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</si>
  <si>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</si>
  <si>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</si>
  <si>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</si>
  <si>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</si>
  <si>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</si>
  <si>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</si>
  <si>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</si>
  <si>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</si>
  <si>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</si>
  <si>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</si>
  <si>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</si>
  <si>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</si>
  <si>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</si>
  <si>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</si>
  <si>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</si>
  <si>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</si>
  <si>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</si>
  <si>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</si>
  <si>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</si>
  <si>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</si>
  <si>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</si>
  <si>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</si>
  <si>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</si>
  <si>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</si>
  <si>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</si>
  <si>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</si>
  <si>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</si>
  <si>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</si>
  <si>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</si>
  <si>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</si>
  <si>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</si>
  <si>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</si>
  <si>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</si>
  <si>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</si>
  <si>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</si>
  <si>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</si>
  <si>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</si>
  <si>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</si>
  <si>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</si>
  <si>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</si>
  <si>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</si>
  <si>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</si>
  <si>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</si>
  <si>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</si>
  <si>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</si>
  <si>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</si>
  <si>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</si>
  <si>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</si>
  <si>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</si>
  <si>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</si>
  <si>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</si>
  <si>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</si>
  <si>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</si>
  <si>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</si>
  <si>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</si>
  <si>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</si>
  <si>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</si>
  <si>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</si>
  <si>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</si>
  <si>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</si>
  <si>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</si>
  <si>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</si>
  <si>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</si>
  <si>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</si>
  <si>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</si>
  <si>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</si>
  <si>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</si>
  <si>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</si>
  <si>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</si>
  <si>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</si>
  <si>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</si>
  <si>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</si>
  <si>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</si>
  <si>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</si>
  <si>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</si>
  <si>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</si>
  <si>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</si>
  <si>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</si>
  <si>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</si>
  <si>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</si>
  <si>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</si>
  <si>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</si>
  <si>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</si>
  <si>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</si>
  <si>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</si>
  <si>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</si>
  <si>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</si>
  <si>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</si>
  <si>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</si>
  <si>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</si>
  <si>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</si>
  <si>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</si>
  <si>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</si>
  <si>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</si>
  <si>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</si>
  <si>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</si>
  <si>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</si>
  <si>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</si>
  <si>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</si>
  <si>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</si>
  <si>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</si>
  <si>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</si>
  <si>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</si>
  <si>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</si>
  <si>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</si>
  <si>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</si>
  <si>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</si>
  <si>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</si>
  <si>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</si>
  <si>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</si>
  <si>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</si>
  <si>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</si>
  <si>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</si>
  <si>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</si>
  <si>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</si>
  <si>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</si>
  <si>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</si>
  <si>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</si>
  <si>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</si>
  <si>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</si>
  <si>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</si>
  <si>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</si>
  <si>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</si>
  <si>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</si>
  <si>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</si>
  <si>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</si>
  <si>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</si>
  <si>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</si>
  <si>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</si>
  <si>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</si>
  <si>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</si>
  <si>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</si>
  <si>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</si>
  <si>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</si>
  <si>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</si>
  <si>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</si>
  <si>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</si>
  <si>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</si>
  <si>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</si>
  <si>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</si>
  <si>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</si>
  <si>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</si>
  <si>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</si>
  <si>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</si>
  <si>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</si>
  <si>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</si>
  <si>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</si>
  <si>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</si>
  <si>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</si>
  <si>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</si>
  <si>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</si>
  <si>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</si>
  <si>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</si>
  <si>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</si>
  <si>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</si>
  <si>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</si>
  <si>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</si>
  <si>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</si>
  <si>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</si>
  <si>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</si>
  <si>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</si>
  <si>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</si>
  <si>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</si>
  <si>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</si>
  <si>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</si>
  <si>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</si>
  <si>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</si>
  <si>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</si>
  <si>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</si>
  <si>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</si>
  <si>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</si>
  <si>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</si>
  <si>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</si>
  <si>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</si>
  <si>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</si>
  <si>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</si>
  <si>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</si>
  <si>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</si>
  <si>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</si>
  <si>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</si>
  <si>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</si>
  <si>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</si>
  <si>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</si>
  <si>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</si>
  <si>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</si>
  <si>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</si>
  <si>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</si>
  <si>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</si>
  <si>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</si>
  <si>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</si>
  <si>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</si>
  <si>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</si>
  <si>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</si>
  <si>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</si>
  <si>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</si>
  <si>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</si>
  <si>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</si>
  <si>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</si>
  <si>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</si>
  <si>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</si>
  <si>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</si>
  <si>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</si>
  <si>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</si>
  <si>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</si>
  <si>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</si>
  <si>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</si>
  <si>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</si>
  <si>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</si>
  <si>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</si>
  <si>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</si>
  <si>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</si>
  <si>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</si>
  <si>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</si>
  <si>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</si>
  <si>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</si>
  <si>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</si>
  <si>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</si>
  <si>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</si>
  <si>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</si>
  <si>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</si>
  <si>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</si>
  <si>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</si>
  <si>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</si>
  <si>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</si>
  <si>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</si>
  <si>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</si>
  <si>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</si>
  <si>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</si>
  <si>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</si>
  <si>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</si>
  <si>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</si>
  <si>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</si>
  <si>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</si>
  <si>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</si>
  <si>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</si>
  <si>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</si>
  <si>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</si>
  <si>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</si>
  <si>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</si>
  <si>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</si>
  <si>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</si>
  <si>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</si>
  <si>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</si>
  <si>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</si>
  <si>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</si>
  <si>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</si>
  <si>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</si>
  <si>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</si>
  <si>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</si>
  <si>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</si>
  <si>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</si>
  <si>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</si>
  <si>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</si>
  <si>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</si>
  <si>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</si>
  <si>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</si>
  <si>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</si>
  <si>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</si>
  <si>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</si>
  <si>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</si>
  <si>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</si>
  <si>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</si>
  <si>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</si>
  <si>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</si>
  <si>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</si>
  <si>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</si>
  <si>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</si>
  <si>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</si>
  <si>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</si>
  <si>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</si>
  <si>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</si>
  <si>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</si>
  <si>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</si>
  <si>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</si>
  <si>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</si>
  <si>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</si>
  <si>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</si>
  <si>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</si>
  <si>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</si>
  <si>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</si>
  <si>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</si>
  <si>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</si>
  <si>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</si>
  <si>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</si>
  <si>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</si>
  <si>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</si>
  <si>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</si>
  <si>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</si>
  <si>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</si>
  <si>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</si>
  <si>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</si>
  <si>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</si>
  <si>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</si>
  <si>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</si>
  <si>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</si>
  <si>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</si>
  <si>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</si>
  <si>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</si>
  <si>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</si>
  <si>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</si>
  <si>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</si>
  <si>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</si>
  <si>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</si>
  <si>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</si>
  <si>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</si>
  <si>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</si>
  <si>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</si>
  <si>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</si>
  <si>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</si>
  <si>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</si>
  <si>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</si>
  <si>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</si>
  <si>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</si>
  <si>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</si>
  <si>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</si>
  <si>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</si>
  <si>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</si>
  <si>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</si>
  <si>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</si>
  <si>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</si>
  <si>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</si>
  <si>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</si>
  <si>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</si>
  <si>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</si>
  <si>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</si>
  <si>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</si>
  <si>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</si>
  <si>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</si>
  <si>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</si>
  <si>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</si>
  <si>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</si>
  <si>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</si>
  <si>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</si>
  <si>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</si>
  <si>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</si>
  <si>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</si>
  <si>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</si>
  <si>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</si>
  <si>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</si>
  <si>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</si>
  <si>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</si>
  <si>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</si>
  <si>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</si>
  <si>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</si>
  <si>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</si>
  <si>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</si>
  <si>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</si>
  <si>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</si>
  <si>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</si>
  <si>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</si>
  <si>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</si>
  <si>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</si>
  <si>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</si>
  <si>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</si>
  <si>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</si>
  <si>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</si>
  <si>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</si>
  <si>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</si>
  <si>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</si>
  <si>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</si>
  <si>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</si>
  <si>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</si>
  <si>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</si>
  <si>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</si>
  <si>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</si>
  <si>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</si>
  <si>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</si>
  <si>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</si>
  <si>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</si>
  <si>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</si>
  <si>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</si>
  <si>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</si>
  <si>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</si>
  <si>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</si>
  <si>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</si>
  <si>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</si>
  <si>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</si>
  <si>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</si>
  <si>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</si>
  <si>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</si>
  <si>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</si>
  <si>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</si>
  <si>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</si>
  <si>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</si>
  <si>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</si>
  <si>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</si>
  <si>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</si>
  <si>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</si>
  <si>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</si>
  <si>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</si>
  <si>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</si>
  <si>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</si>
  <si>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</si>
  <si>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</si>
  <si>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</si>
  <si>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</si>
  <si>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</si>
  <si>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</si>
  <si>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</si>
  <si>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</si>
  <si>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</si>
  <si>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</si>
  <si>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</si>
  <si>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</si>
  <si>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</si>
  <si>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</si>
  <si>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</si>
  <si>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</si>
  <si>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</si>
  <si>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</si>
  <si>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</si>
  <si>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</si>
  <si>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</si>
  <si>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</si>
  <si>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</si>
  <si>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</si>
  <si>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</si>
  <si>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</si>
  <si>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</si>
  <si>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</si>
  <si>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</si>
  <si>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</si>
  <si>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</si>
  <si>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</si>
  <si>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</si>
  <si>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</si>
  <si>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</si>
  <si>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</si>
  <si>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</si>
  <si>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</si>
  <si>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</si>
  <si>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</si>
  <si>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</si>
  <si>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</si>
  <si>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</si>
  <si>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</si>
  <si>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</si>
  <si>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</si>
  <si>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</si>
  <si>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</si>
  <si>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</si>
  <si>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</si>
  <si>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</si>
  <si>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</si>
  <si>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</si>
  <si>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</si>
  <si>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</si>
  <si>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</si>
  <si>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</si>
  <si>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</si>
  <si>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</si>
  <si>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</si>
  <si>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</si>
  <si>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</si>
  <si>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</si>
  <si>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</si>
  <si>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</si>
  <si>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</si>
  <si>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</si>
  <si>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</si>
  <si>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</si>
  <si>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</si>
  <si>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</si>
  <si>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</si>
  <si>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</si>
  <si>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</si>
  <si>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</si>
  <si>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</si>
  <si>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</si>
  <si>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</si>
  <si>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</si>
  <si>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</si>
  <si>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</si>
  <si>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</si>
  <si>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</si>
  <si>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</si>
  <si>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</si>
  <si>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</si>
  <si>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</si>
  <si>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</si>
  <si>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</si>
  <si>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</si>
  <si>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</si>
  <si>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</si>
  <si>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</si>
  <si>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</si>
  <si>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</si>
  <si>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</si>
  <si>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</si>
  <si>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</si>
  <si>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</si>
  <si>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</si>
  <si>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</si>
  <si>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</si>
  <si>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</si>
  <si>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</si>
  <si>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</si>
  <si>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</si>
  <si>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</si>
  <si>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</si>
  <si>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</si>
  <si>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</si>
  <si>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</si>
  <si>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</si>
  <si>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</si>
  <si>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</si>
  <si>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</si>
  <si>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</si>
  <si>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</si>
  <si>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</si>
  <si>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</si>
  <si>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</si>
  <si>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</si>
  <si>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</si>
  <si>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</si>
  <si>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</si>
  <si>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</si>
  <si>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</si>
  <si>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</si>
  <si>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</si>
  <si>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</si>
  <si>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</si>
  <si>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</si>
  <si>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</si>
  <si>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</si>
  <si>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</si>
  <si>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</si>
  <si>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</si>
  <si>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</si>
  <si>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</si>
  <si>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</si>
  <si>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</si>
  <si>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</si>
  <si>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</si>
  <si>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</si>
  <si>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</si>
  <si>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</si>
  <si>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</si>
  <si>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</si>
  <si>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</si>
  <si>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</si>
  <si>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</si>
  <si>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</si>
  <si>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</si>
  <si>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</si>
  <si>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</si>
  <si>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</si>
  <si>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</si>
  <si>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</si>
  <si>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</si>
  <si>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</si>
  <si>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</si>
  <si>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</si>
  <si>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</si>
  <si>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</si>
  <si>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</si>
  <si>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</si>
  <si>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</si>
  <si>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</si>
  <si>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</si>
  <si>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</si>
  <si>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</si>
  <si>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</si>
  <si>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</si>
  <si>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</si>
  <si>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</si>
  <si>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</si>
  <si>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</si>
  <si>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</si>
  <si>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</si>
  <si>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</si>
  <si>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</si>
  <si>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</si>
  <si>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</si>
  <si>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</si>
  <si>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</si>
  <si>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</si>
  <si>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</si>
  <si>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</si>
  <si>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</si>
  <si>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</si>
  <si>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</si>
  <si>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</si>
  <si>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</si>
  <si>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</si>
  <si>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</si>
  <si>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</si>
  <si>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</si>
  <si>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</si>
  <si>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</si>
  <si>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</si>
  <si>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</si>
  <si>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</si>
  <si>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</si>
  <si>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</si>
  <si>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</si>
  <si>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</si>
  <si>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</si>
  <si>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</si>
  <si>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</si>
  <si>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</si>
  <si>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</si>
  <si>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</si>
  <si>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</si>
  <si>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</si>
  <si>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</si>
  <si>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</si>
  <si>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</si>
  <si>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</si>
  <si>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</si>
  <si>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</si>
  <si>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</si>
  <si>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</si>
  <si>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</si>
  <si>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</si>
  <si>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</si>
  <si>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</si>
  <si>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</si>
  <si>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</si>
  <si>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</si>
  <si>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</si>
  <si>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</si>
  <si>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</si>
  <si>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</si>
  <si>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</si>
  <si>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</si>
  <si>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</si>
  <si>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</si>
  <si>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</si>
  <si>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</si>
  <si>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</si>
  <si>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</si>
  <si>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</si>
  <si>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</si>
  <si>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</si>
  <si>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</si>
  <si>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</si>
  <si>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</si>
  <si>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</si>
  <si>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</si>
  <si>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</si>
  <si>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</si>
  <si>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</si>
  <si>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</si>
  <si>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</si>
  <si>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</si>
  <si>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</si>
  <si>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</si>
  <si>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</si>
  <si>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</si>
  <si>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</si>
  <si>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</si>
  <si>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</si>
  <si>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</si>
  <si>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</si>
  <si>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</si>
  <si>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</si>
  <si>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</si>
  <si>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</si>
  <si>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</si>
  <si>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</si>
  <si>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</si>
  <si>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</si>
  <si>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</si>
  <si>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</si>
  <si>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</si>
  <si>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</si>
  <si>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</si>
  <si>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</si>
  <si>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</si>
  <si>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</si>
  <si>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</si>
  <si>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</si>
  <si>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</si>
  <si>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</si>
  <si>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</si>
  <si>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</si>
  <si>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</si>
  <si>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</si>
  <si>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</si>
  <si>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</si>
  <si>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</si>
  <si>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</si>
  <si>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</si>
  <si>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</si>
  <si>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</si>
  <si>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</si>
  <si>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</si>
  <si>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</si>
  <si>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</si>
  <si>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</si>
  <si>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</si>
  <si>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</si>
  <si>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</si>
  <si>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</si>
  <si>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</si>
  <si>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</si>
  <si>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</si>
  <si>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</si>
  <si>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</si>
  <si>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</si>
  <si>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</si>
  <si>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</si>
  <si>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</si>
  <si>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</si>
  <si>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</si>
  <si>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</si>
  <si>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</si>
  <si>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</si>
  <si>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</si>
  <si>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</si>
  <si>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</si>
  <si>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</si>
  <si>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</si>
  <si>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</si>
  <si>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</si>
  <si>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</si>
  <si>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</si>
  <si>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</si>
  <si>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</si>
  <si>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</si>
  <si>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</si>
  <si>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</si>
  <si>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</si>
  <si>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</si>
  <si>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</si>
  <si>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</si>
  <si>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</si>
  <si>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</si>
  <si>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</si>
  <si>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</si>
  <si>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</si>
  <si>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</si>
  <si>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</si>
  <si>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</si>
  <si>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</si>
  <si>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</si>
  <si>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</si>
  <si>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</si>
  <si>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</si>
  <si>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</si>
  <si>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</si>
  <si>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</si>
  <si>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</si>
  <si>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</si>
  <si>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</si>
  <si>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</si>
  <si>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</si>
  <si>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</si>
  <si>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</si>
  <si>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</si>
  <si>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</si>
  <si>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</si>
  <si>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</si>
  <si>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</si>
  <si>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</si>
  <si>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</si>
  <si>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</si>
  <si>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</si>
  <si>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</si>
  <si>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</si>
  <si>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</si>
  <si>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</si>
  <si>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</si>
  <si>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</si>
  <si>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</si>
  <si>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</si>
  <si>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</si>
  <si>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</si>
  <si>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</si>
  <si>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</si>
  <si>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</si>
  <si>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</si>
  <si>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</si>
  <si>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</si>
  <si>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</si>
  <si>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</si>
  <si>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</si>
  <si>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</si>
  <si>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</si>
  <si>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</si>
  <si>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</si>
  <si>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</si>
  <si>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</si>
  <si>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</si>
  <si>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</si>
  <si>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</si>
  <si>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</si>
  <si>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</si>
  <si>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</si>
  <si>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</si>
  <si>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</si>
  <si>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</si>
  <si>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</si>
  <si>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</si>
  <si>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</si>
  <si>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</si>
  <si>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</si>
  <si>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</si>
  <si>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</si>
  <si>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</si>
  <si>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</si>
  <si>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</si>
  <si>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</si>
  <si>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</si>
  <si>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</si>
  <si>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</si>
  <si>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</si>
  <si>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</si>
  <si>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</si>
  <si>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</si>
  <si>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</si>
  <si>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</si>
  <si>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</si>
  <si>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</si>
  <si>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</si>
  <si>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</si>
  <si>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</si>
  <si>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</si>
  <si>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</si>
  <si>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</si>
  <si>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</si>
  <si>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</si>
  <si>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</si>
  <si>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</si>
  <si>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</si>
  <si>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</si>
  <si>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</si>
  <si>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</si>
  <si>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</si>
  <si>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</si>
  <si>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</si>
  <si>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</si>
  <si>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</si>
  <si>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</si>
  <si>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</si>
  <si>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</si>
  <si>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</si>
  <si>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</si>
  <si>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</si>
  <si>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</si>
  <si>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</si>
  <si>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</si>
  <si>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</si>
  <si>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</si>
  <si>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</si>
  <si>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</si>
  <si>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</si>
  <si>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</si>
  <si>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</si>
  <si>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</si>
  <si>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</si>
  <si>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</si>
  <si>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</si>
  <si>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</si>
  <si>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</si>
  <si>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</si>
  <si>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</si>
  <si>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</si>
  <si>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</si>
  <si>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</si>
  <si>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</si>
  <si>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</si>
  <si>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</si>
  <si>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</si>
  <si>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</si>
  <si>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</si>
  <si>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</si>
  <si>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</si>
  <si>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</si>
  <si>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</si>
  <si>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</si>
  <si>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</si>
  <si>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</si>
  <si>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</si>
  <si>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</si>
  <si>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</si>
  <si>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</si>
  <si>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</si>
  <si>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</si>
  <si>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</si>
  <si>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</si>
  <si>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</si>
  <si>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</si>
  <si>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</si>
  <si>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</si>
  <si>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</si>
  <si>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</si>
  <si>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</si>
  <si>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</si>
  <si>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</si>
  <si>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</si>
  <si>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</si>
  <si>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</si>
  <si>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</si>
  <si>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</si>
  <si>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</si>
  <si>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</si>
  <si>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</si>
  <si>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</si>
  <si>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</si>
  <si>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</si>
  <si>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</si>
  <si>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</si>
  <si>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</si>
  <si>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</si>
  <si>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</si>
  <si>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</si>
  <si>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</si>
  <si>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</si>
  <si>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</si>
  <si>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</si>
  <si>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</si>
  <si>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</si>
  <si>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</si>
  <si>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</si>
  <si>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</si>
  <si>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</si>
  <si>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</si>
  <si>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</si>
  <si>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</si>
  <si>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</si>
  <si>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</si>
  <si>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</si>
  <si>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</si>
  <si>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</si>
  <si>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</si>
  <si>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</si>
  <si>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</si>
  <si>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</si>
  <si>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</si>
  <si>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</si>
  <si>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</si>
  <si>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</si>
  <si>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</si>
  <si>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</si>
  <si>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</si>
  <si>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</si>
  <si>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</si>
  <si>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</si>
  <si>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</si>
  <si>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</si>
  <si>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</si>
  <si>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</si>
  <si>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</si>
  <si>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</si>
  <si>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</si>
  <si>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</si>
  <si>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</si>
  <si>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</si>
  <si>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</si>
  <si>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</si>
  <si>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</si>
  <si>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</si>
  <si>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</si>
  <si>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</si>
  <si>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</si>
  <si>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</si>
  <si>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</si>
  <si>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</si>
  <si>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</si>
  <si>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</si>
  <si>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</si>
  <si>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</si>
  <si>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</si>
  <si>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</si>
  <si>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</si>
  <si>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</si>
  <si>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</si>
  <si>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</si>
  <si>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</si>
  <si>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</si>
  <si>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</si>
  <si>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</si>
  <si>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</si>
  <si>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</si>
  <si>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</si>
  <si>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</si>
  <si>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</si>
  <si>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</si>
  <si>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</si>
  <si>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</si>
  <si>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</si>
  <si>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</si>
  <si>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</si>
  <si>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</si>
  <si>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</si>
  <si>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</si>
  <si>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</si>
  <si>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</si>
  <si>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</si>
  <si>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</si>
  <si>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</si>
  <si>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</si>
  <si>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</si>
  <si>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</si>
  <si>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</si>
  <si>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</si>
  <si>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</si>
  <si>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</si>
  <si>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</si>
  <si>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</si>
  <si>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</si>
  <si>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</si>
  <si>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</si>
  <si>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</si>
  <si>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</si>
  <si>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</si>
  <si>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</si>
  <si>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</si>
  <si>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</si>
  <si>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</si>
  <si>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</si>
  <si>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</si>
  <si>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</si>
  <si>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</si>
  <si>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</si>
  <si>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</si>
  <si>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</si>
  <si>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</si>
  <si>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</si>
  <si>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</si>
  <si>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</si>
  <si>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</si>
  <si>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</si>
  <si>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</si>
  <si>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</si>
  <si>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</si>
  <si>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</si>
  <si>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</si>
  <si>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</si>
  <si>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</si>
  <si>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</si>
  <si>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</si>
  <si>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</si>
  <si>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</si>
  <si>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</si>
  <si>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</si>
  <si>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</si>
  <si>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</si>
  <si>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</si>
  <si>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</si>
  <si>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</si>
  <si>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</si>
  <si>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</si>
  <si>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</si>
  <si>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</si>
  <si>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</si>
  <si>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</si>
  <si>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</si>
  <si>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</si>
  <si>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</si>
  <si>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</si>
  <si>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</si>
  <si>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</si>
  <si>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</si>
  <si>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</si>
  <si>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</si>
  <si>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</si>
  <si>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</si>
  <si>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</si>
  <si>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</si>
  <si>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</si>
  <si>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</si>
  <si>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</si>
  <si>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</si>
  <si>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</si>
  <si>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</si>
  <si>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</si>
  <si>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</si>
  <si>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</si>
  <si>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</si>
  <si>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</si>
  <si>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</si>
  <si>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</si>
  <si>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</si>
  <si>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</si>
  <si>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</si>
  <si>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</si>
  <si>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</si>
  <si>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</si>
  <si>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</si>
  <si>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</si>
  <si>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</si>
  <si>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</si>
  <si>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</si>
  <si>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</si>
  <si>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</si>
  <si>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</si>
  <si>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</si>
  <si>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</si>
  <si>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</si>
  <si>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</si>
  <si>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</si>
  <si>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</si>
  <si>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</si>
  <si>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</si>
  <si>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</si>
  <si>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</si>
  <si>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</si>
  <si>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</si>
  <si>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</si>
  <si>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</si>
  <si>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</si>
  <si>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</si>
  <si>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</si>
  <si>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</si>
  <si>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</si>
  <si>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</si>
  <si>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</si>
  <si>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</si>
  <si>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</si>
  <si>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</si>
  <si>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</si>
  <si>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</si>
  <si>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</si>
  <si>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</si>
  <si>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</si>
  <si>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</si>
  <si>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</si>
  <si>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</si>
  <si>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</si>
  <si>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</si>
  <si>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</si>
  <si>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</si>
  <si>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</si>
  <si>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</si>
  <si>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</si>
  <si>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</si>
  <si>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</si>
  <si>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</si>
  <si>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</si>
  <si>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</si>
  <si>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</si>
  <si>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</si>
  <si>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</si>
  <si>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</si>
  <si>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</si>
  <si>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</si>
  <si>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</si>
  <si>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</si>
  <si>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</si>
  <si>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</si>
  <si>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</si>
  <si>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</si>
  <si>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</si>
  <si>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</si>
  <si>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</si>
  <si>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</si>
  <si>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</si>
  <si>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</si>
  <si>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</si>
  <si>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</si>
  <si>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</si>
  <si>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</si>
  <si>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</si>
  <si>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</si>
  <si>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</si>
  <si>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</si>
  <si>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</si>
  <si>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</si>
  <si>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</si>
  <si>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</si>
  <si>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</si>
  <si>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</si>
  <si>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</si>
  <si>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</si>
  <si>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</si>
  <si>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</si>
  <si>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</si>
  <si>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</si>
  <si>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</si>
  <si>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</si>
  <si>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</si>
  <si>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</si>
  <si>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</si>
  <si>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</si>
  <si>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</si>
  <si>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</si>
  <si>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</si>
  <si>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</si>
  <si>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</si>
  <si>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</si>
  <si>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</si>
  <si>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</si>
  <si>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</si>
  <si>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</si>
  <si>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</si>
  <si>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</si>
  <si>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</si>
  <si>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</si>
  <si>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</si>
  <si>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</si>
  <si>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</si>
  <si>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</si>
  <si>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</si>
  <si>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</si>
  <si>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</si>
  <si>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</si>
  <si>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</si>
  <si>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</si>
  <si>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</si>
  <si>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</si>
  <si>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</si>
  <si>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</si>
  <si>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</si>
  <si>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</si>
  <si>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</si>
  <si>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</si>
  <si>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</si>
  <si>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</si>
  <si>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</si>
  <si>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</si>
  <si>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</si>
  <si>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</si>
  <si>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</si>
  <si>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</si>
  <si>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</si>
  <si>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</si>
  <si>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</si>
  <si>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</si>
  <si>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</si>
  <si>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</si>
  <si>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</si>
  <si>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</si>
  <si>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</si>
  <si>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</si>
  <si>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</si>
  <si>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</si>
  <si>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</si>
  <si>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</si>
  <si>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</si>
  <si>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</si>
  <si>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</si>
  <si>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</si>
  <si>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</si>
  <si>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</si>
  <si>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</si>
  <si>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</si>
  <si>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</si>
  <si>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</si>
  <si>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</si>
  <si>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</si>
  <si>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</si>
  <si>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</si>
  <si>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</si>
  <si>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</si>
  <si>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</si>
  <si>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</si>
  <si>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</si>
  <si>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</si>
  <si>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</si>
  <si>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</si>
  <si>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</si>
  <si>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</si>
  <si>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</si>
  <si>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</si>
  <si>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</si>
  <si>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</si>
  <si>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</si>
  <si>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</si>
  <si>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</si>
  <si>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</si>
  <si>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</si>
  <si>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</si>
  <si>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</si>
  <si>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</si>
  <si>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</si>
  <si>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</si>
  <si>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</si>
  <si>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</si>
  <si>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</si>
  <si>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</si>
  <si>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</si>
  <si>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</si>
  <si>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</si>
  <si>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</si>
  <si>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</si>
  <si>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</si>
  <si>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</si>
  <si>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</si>
  <si>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</si>
  <si>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</si>
  <si>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</si>
  <si>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</si>
  <si>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</si>
  <si>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</si>
  <si>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</si>
  <si>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</si>
  <si>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</si>
  <si>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</si>
  <si>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</si>
  <si>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</si>
  <si>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</si>
  <si>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</si>
  <si>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</si>
  <si>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</si>
  <si>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</si>
  <si>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</si>
  <si>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</si>
  <si>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</si>
  <si>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</si>
  <si>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</si>
  <si>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</si>
  <si>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</si>
  <si>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</si>
  <si>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</si>
  <si>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</si>
  <si>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</si>
  <si>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</si>
  <si>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</si>
  <si>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</si>
  <si>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</si>
  <si>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</si>
  <si>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</si>
  <si>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</si>
  <si>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</si>
  <si>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</si>
  <si>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</si>
  <si>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</si>
  <si>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</si>
  <si>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</si>
  <si>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</si>
  <si>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</si>
  <si>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</si>
  <si>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</si>
  <si>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</si>
  <si>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</si>
  <si>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</si>
  <si>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</si>
  <si>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</si>
  <si>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</si>
  <si>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</si>
  <si>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</si>
  <si>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</si>
  <si>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</si>
  <si>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</si>
  <si>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</si>
  <si>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</si>
  <si>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</si>
  <si>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</si>
  <si>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</si>
  <si>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</si>
  <si>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</si>
  <si>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</si>
  <si>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</si>
  <si>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</si>
  <si>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</si>
  <si>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</si>
  <si>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</si>
  <si>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</si>
  <si>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</si>
  <si>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</si>
  <si>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</si>
  <si>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</si>
  <si>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</si>
  <si>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</si>
  <si>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</si>
  <si>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</si>
  <si>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</si>
  <si>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</si>
  <si>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</si>
  <si>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</si>
  <si>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</si>
  <si>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</si>
  <si>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</si>
  <si>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</si>
  <si>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</si>
  <si>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</si>
  <si>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</si>
  <si>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</si>
  <si>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</si>
  <si>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</si>
  <si>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</si>
  <si>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</si>
  <si>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</si>
  <si>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</si>
  <si>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</si>
  <si>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</si>
  <si>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</si>
  <si>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</si>
  <si>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</si>
  <si>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</si>
  <si>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</si>
  <si>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</si>
  <si>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</si>
  <si>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</si>
  <si>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</si>
  <si>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</si>
  <si>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</si>
  <si>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</si>
  <si>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</si>
  <si>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</si>
  <si>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</si>
  <si>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</si>
  <si>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</si>
  <si>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</si>
  <si>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</si>
  <si>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</si>
  <si>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</si>
  <si>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</si>
  <si>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</si>
  <si>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</si>
  <si>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</si>
  <si>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</si>
  <si>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</si>
  <si>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</si>
  <si>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</si>
  <si>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</si>
  <si>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</si>
  <si>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</si>
  <si>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</si>
  <si>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</si>
  <si>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</si>
  <si>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</si>
  <si>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</si>
  <si>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</si>
  <si>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</si>
  <si>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</si>
  <si>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</si>
  <si>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</si>
  <si>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</si>
  <si>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</si>
  <si>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</si>
  <si>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</si>
  <si>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</si>
  <si>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</si>
  <si>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</si>
  <si>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</si>
  <si>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</si>
  <si>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</si>
  <si>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</si>
  <si>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</si>
  <si>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</si>
  <si>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</si>
  <si>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</si>
  <si>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</si>
  <si>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</si>
  <si>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</si>
  <si>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</si>
  <si>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</si>
  <si>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</si>
  <si>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</si>
  <si>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</si>
  <si>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</si>
  <si>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</si>
  <si>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</si>
  <si>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</si>
  <si>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</si>
  <si>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</si>
  <si>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</si>
  <si>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</si>
  <si>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</si>
  <si>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</si>
  <si>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</si>
  <si>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</si>
  <si>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</si>
  <si>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</si>
  <si>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</si>
  <si>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</si>
  <si>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</si>
  <si>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</si>
  <si>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</si>
  <si>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</si>
  <si>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</si>
  <si>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</si>
  <si>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</si>
  <si>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</si>
  <si>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</si>
  <si>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</si>
  <si>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</si>
  <si>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</si>
  <si>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</si>
  <si>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</si>
  <si>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</si>
  <si>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</si>
  <si>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</si>
  <si>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</si>
  <si>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</si>
  <si>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</si>
  <si>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</si>
  <si>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</si>
  <si>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</si>
  <si>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</si>
  <si>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</si>
  <si>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</si>
  <si>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</si>
  <si>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</si>
  <si>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</si>
  <si>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</si>
  <si>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</si>
  <si>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</si>
  <si>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</si>
  <si>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</si>
  <si>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</si>
  <si>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</si>
  <si>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</si>
  <si>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</si>
  <si>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</si>
  <si>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</si>
  <si>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</si>
  <si>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</si>
  <si>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</si>
  <si>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</si>
  <si>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</si>
  <si>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</si>
  <si>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</si>
  <si>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</si>
  <si>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</si>
  <si>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</si>
  <si>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</si>
  <si>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</si>
  <si>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</si>
  <si>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</si>
  <si>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</si>
  <si>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</si>
  <si>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</si>
  <si>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</si>
  <si>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</si>
  <si>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</si>
  <si>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</si>
  <si>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</si>
  <si>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</si>
  <si>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</si>
  <si>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</si>
  <si>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</si>
  <si>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</si>
  <si>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</si>
  <si>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</si>
  <si>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</si>
  <si>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</si>
  <si>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</si>
  <si>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</si>
  <si>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</si>
  <si>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</si>
  <si>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</si>
  <si>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</si>
  <si>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</si>
  <si>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</si>
  <si>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</si>
  <si>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</si>
  <si>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</si>
  <si>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</si>
  <si>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</si>
  <si>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</si>
  <si>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</si>
  <si>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</si>
  <si>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</si>
  <si>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</si>
  <si>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</si>
  <si>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</si>
  <si>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</si>
  <si>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</si>
  <si>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</si>
  <si>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</si>
  <si>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</si>
  <si>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</si>
  <si>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</si>
  <si>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</si>
  <si>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</si>
  <si>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</si>
  <si>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</si>
  <si>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</si>
  <si>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</si>
  <si>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</si>
  <si>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</si>
  <si>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</si>
  <si>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</si>
  <si>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</si>
  <si>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</si>
  <si>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</si>
  <si>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</si>
  <si>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</si>
  <si>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</si>
  <si>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</si>
  <si>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</si>
  <si>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</si>
  <si>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</si>
  <si>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</si>
  <si>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</si>
  <si>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</si>
  <si>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</si>
  <si>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</si>
  <si>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</si>
  <si>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</si>
  <si>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</si>
  <si>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</si>
  <si>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</si>
  <si>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</si>
  <si>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</si>
  <si>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</si>
  <si>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</si>
  <si>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</si>
  <si>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</si>
  <si>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</si>
  <si>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</si>
  <si>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</si>
  <si>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</si>
  <si>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</si>
  <si>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</si>
  <si>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</si>
  <si>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</si>
  <si>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</si>
  <si>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</si>
  <si>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</si>
  <si>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</si>
  <si>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</si>
  <si>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</si>
  <si>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</si>
  <si>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</si>
  <si>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</si>
  <si>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</si>
  <si>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</si>
  <si>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</si>
  <si>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</si>
  <si>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</si>
  <si>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</si>
  <si>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</si>
  <si>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</si>
  <si>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</si>
  <si>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</si>
  <si>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</si>
  <si>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</si>
  <si>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</si>
  <si>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</si>
  <si>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</si>
  <si>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</si>
  <si>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</si>
  <si>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</si>
  <si>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</si>
  <si>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</si>
  <si>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</si>
  <si>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</si>
  <si>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</si>
  <si>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</si>
  <si>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</si>
  <si>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</si>
  <si>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</si>
  <si>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</si>
  <si>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</si>
  <si>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</si>
  <si>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</si>
  <si>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</si>
  <si>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</si>
  <si>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</si>
  <si>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</si>
  <si>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</si>
  <si>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</si>
  <si>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</si>
  <si>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</si>
  <si>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</si>
  <si>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</si>
  <si>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</si>
  <si>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</si>
  <si>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</si>
  <si>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</si>
  <si>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</si>
  <si>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</si>
  <si>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</si>
  <si>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</si>
  <si>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</si>
  <si>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</si>
  <si>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</si>
  <si>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</si>
  <si>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</si>
  <si>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</si>
  <si>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</si>
  <si>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</si>
  <si>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</si>
  <si>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</si>
  <si>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</si>
  <si>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</si>
  <si>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</si>
  <si>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</si>
  <si>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</si>
  <si>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</si>
  <si>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</si>
  <si>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</si>
  <si>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</si>
  <si>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</si>
  <si>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</si>
  <si>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</si>
  <si>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</si>
  <si>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</si>
  <si>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</si>
  <si>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</si>
  <si>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</si>
  <si>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</si>
  <si>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</si>
  <si>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</si>
  <si>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</si>
  <si>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</si>
  <si>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</si>
  <si>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</si>
  <si>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</si>
  <si>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</si>
  <si>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</si>
  <si>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</si>
  <si>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</si>
  <si>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</si>
  <si>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</si>
  <si>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</si>
  <si>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</si>
  <si>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</si>
  <si>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</si>
  <si>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</si>
  <si>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</si>
  <si>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</si>
  <si>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</si>
  <si>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</si>
  <si>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</si>
  <si>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</si>
  <si>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</si>
  <si>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</si>
  <si>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</si>
  <si>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</si>
  <si>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</si>
  <si>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</si>
  <si>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</si>
  <si>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</si>
  <si>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</si>
  <si>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</si>
  <si>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</si>
  <si>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</si>
  <si>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</si>
  <si>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</si>
  <si>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</si>
  <si>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</si>
  <si>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</si>
  <si>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</si>
  <si>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</si>
  <si>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</si>
  <si>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</si>
  <si>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</si>
  <si>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</si>
  <si>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</si>
  <si>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</si>
  <si>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</si>
  <si>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</si>
  <si>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</si>
  <si>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</si>
  <si>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</si>
  <si>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</si>
  <si>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</si>
  <si>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</si>
  <si>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</si>
  <si>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</si>
  <si>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</si>
  <si>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</si>
  <si>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</si>
  <si>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</si>
  <si>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</si>
  <si>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</si>
  <si>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</si>
  <si>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</si>
  <si>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</si>
  <si>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</si>
  <si>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</si>
  <si>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</si>
  <si>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</si>
  <si>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</si>
  <si>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</si>
  <si>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</si>
  <si>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</si>
  <si>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</si>
  <si>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</si>
  <si>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</si>
  <si>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</si>
  <si>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</si>
  <si>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</si>
  <si>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</si>
  <si>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</si>
  <si>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</si>
  <si>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</si>
  <si>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</si>
  <si>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</si>
  <si>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</si>
  <si>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</si>
  <si>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</si>
  <si>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</si>
  <si>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</si>
  <si>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</si>
  <si>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</si>
  <si>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</si>
  <si>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</si>
  <si>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</si>
  <si>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</si>
  <si>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</si>
  <si>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</si>
  <si>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</si>
  <si>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</si>
  <si>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</si>
  <si>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</si>
  <si>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</si>
  <si>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</si>
  <si>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</si>
  <si>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</si>
  <si>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</si>
  <si>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</si>
  <si>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</si>
  <si>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</si>
  <si>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</si>
  <si>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</si>
  <si>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</si>
  <si>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</si>
  <si>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</si>
  <si>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</si>
  <si>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</si>
  <si>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</si>
  <si>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</si>
  <si>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</si>
  <si>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</si>
  <si>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</si>
  <si>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</si>
  <si>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</si>
  <si>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</si>
  <si>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</si>
  <si>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</si>
  <si>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</si>
  <si>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</si>
  <si>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</si>
  <si>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</si>
  <si>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</si>
  <si>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</si>
  <si>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</si>
  <si>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</si>
  <si>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</si>
  <si>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</si>
  <si>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</si>
  <si>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</si>
  <si>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</si>
  <si>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</si>
  <si>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</si>
  <si>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</si>
  <si>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</si>
  <si>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</si>
  <si>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</si>
  <si>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</si>
  <si>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</si>
  <si>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</si>
  <si>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</si>
  <si>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</si>
  <si>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</si>
  <si>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</si>
  <si>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</si>
  <si>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</si>
  <si>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</si>
  <si>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</si>
  <si>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</si>
  <si>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</si>
  <si>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</si>
  <si>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</si>
  <si>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</si>
  <si>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</si>
  <si>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</si>
  <si>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</si>
  <si>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</si>
  <si>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</si>
  <si>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</si>
  <si>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</si>
  <si>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</si>
  <si>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</si>
  <si>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</si>
  <si>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</si>
  <si>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</si>
  <si>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</si>
  <si>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</si>
  <si>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</si>
  <si>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</si>
  <si>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</si>
  <si>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</si>
  <si>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</si>
  <si>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</si>
  <si>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</si>
  <si>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</si>
  <si>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</si>
  <si>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</si>
  <si>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</si>
  <si>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</si>
  <si>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</si>
  <si>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</si>
  <si>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</si>
  <si>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</si>
  <si>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</si>
  <si>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</si>
  <si>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</si>
  <si>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</si>
  <si>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</si>
  <si>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</si>
  <si>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</si>
  <si>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</si>
  <si>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</si>
  <si>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</si>
  <si>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</si>
  <si>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</si>
  <si>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</si>
  <si>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</si>
  <si>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</si>
  <si>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</si>
  <si>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</si>
  <si>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</si>
  <si>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</si>
  <si>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</si>
  <si>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</si>
  <si>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</si>
  <si>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</si>
  <si>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</si>
  <si>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</si>
  <si>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</si>
  <si>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</si>
  <si>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</si>
  <si>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</si>
  <si>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</si>
  <si>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</si>
  <si>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</si>
  <si>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</si>
  <si>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</si>
  <si>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</si>
  <si>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</si>
  <si>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</si>
  <si>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</si>
  <si>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</si>
  <si>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</si>
  <si>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</si>
  <si>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</si>
  <si>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</si>
  <si>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</si>
  <si>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</si>
  <si>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</si>
  <si>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</si>
  <si>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</si>
  <si>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</si>
  <si>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</si>
  <si>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</si>
  <si>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</si>
  <si>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</si>
  <si>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</si>
  <si>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</si>
  <si>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</si>
  <si>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</si>
  <si>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</si>
  <si>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</si>
  <si>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</si>
  <si>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</si>
  <si>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</si>
  <si>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</si>
  <si>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</si>
  <si>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</si>
  <si>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</si>
  <si>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</si>
  <si>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</si>
  <si>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</si>
  <si>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</si>
  <si>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</si>
  <si>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</si>
  <si>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</si>
  <si>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</si>
  <si>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</si>
  <si>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</si>
  <si>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</si>
  <si>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</si>
  <si>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</si>
  <si>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</si>
  <si>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</si>
  <si>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</si>
  <si>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</si>
  <si>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</si>
  <si>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</si>
  <si>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</si>
  <si>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</si>
  <si>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</si>
  <si>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</si>
  <si>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</si>
  <si>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</si>
  <si>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</si>
  <si>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</si>
  <si>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</si>
  <si>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</si>
  <si>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</si>
  <si>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</si>
  <si>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</si>
  <si>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</si>
  <si>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</si>
  <si>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</si>
  <si>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</si>
  <si>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</si>
  <si>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</si>
  <si>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</si>
  <si>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</si>
  <si>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</si>
  <si>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</si>
  <si>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</si>
  <si>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</si>
  <si>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</si>
  <si>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</si>
  <si>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</si>
  <si>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</si>
  <si>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</si>
  <si>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</si>
  <si>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</si>
  <si>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</si>
  <si>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</si>
  <si>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</si>
  <si>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</si>
  <si>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</si>
  <si>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</si>
  <si>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</si>
  <si>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</si>
  <si>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</si>
  <si>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</si>
  <si>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</si>
  <si>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</si>
  <si>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</si>
  <si>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</si>
  <si>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</si>
  <si>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</si>
  <si>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</si>
  <si>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</si>
  <si>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</si>
  <si>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</si>
  <si>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</si>
  <si>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</si>
  <si>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</si>
  <si>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</si>
  <si>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</si>
  <si>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</si>
  <si>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</si>
  <si>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</si>
  <si>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</si>
  <si>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</si>
  <si>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</si>
  <si>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</si>
  <si>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</si>
  <si>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</si>
  <si>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</si>
  <si>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</si>
  <si>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</si>
  <si>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</si>
  <si>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</si>
  <si>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</si>
  <si>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</si>
  <si>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</si>
  <si>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</si>
  <si>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</si>
  <si>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</si>
  <si>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</si>
  <si>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</si>
  <si>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</si>
  <si>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</si>
  <si>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</si>
  <si>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</si>
  <si>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</si>
  <si>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</si>
  <si>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</si>
  <si>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</si>
  <si>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</si>
  <si>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</si>
  <si>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</si>
  <si>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</si>
  <si>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</si>
  <si>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</si>
  <si>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</si>
  <si>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</si>
  <si>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</si>
  <si>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</si>
  <si>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</si>
  <si>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</si>
  <si>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</si>
  <si>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</si>
  <si>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</si>
  <si>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</si>
  <si>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</si>
  <si>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</si>
  <si>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</si>
  <si>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</si>
  <si>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</si>
  <si>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</si>
  <si>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</si>
  <si>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</si>
  <si>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</si>
  <si>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</si>
  <si>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</si>
  <si>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</si>
  <si>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</si>
  <si>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</si>
  <si>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</si>
  <si>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</si>
  <si>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</si>
  <si>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</si>
  <si>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</si>
  <si>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</si>
  <si>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</si>
  <si>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</si>
  <si>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</si>
  <si>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</si>
  <si>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</si>
  <si>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</si>
  <si>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</si>
  <si>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</si>
  <si>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</si>
  <si>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</si>
  <si>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</si>
  <si>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</si>
  <si>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</si>
  <si>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</si>
  <si>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</si>
  <si>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</si>
  <si>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</si>
  <si>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</si>
  <si>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</si>
  <si>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</si>
  <si>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</si>
  <si>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</si>
  <si>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</si>
  <si>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</si>
  <si>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</si>
  <si>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</si>
  <si>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</si>
  <si>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</si>
  <si>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</si>
  <si>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</si>
  <si>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</si>
  <si>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</si>
  <si>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</si>
  <si>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</si>
  <si>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</si>
  <si>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</si>
  <si>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</si>
  <si>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</si>
  <si>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</si>
  <si>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</si>
  <si>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</si>
  <si>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</si>
  <si>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</si>
  <si>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</si>
  <si>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</si>
  <si>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</si>
  <si>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</si>
  <si>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</si>
  <si>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</si>
  <si>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</si>
  <si>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</si>
  <si>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</si>
  <si>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</si>
  <si>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</si>
  <si>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</si>
  <si>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</si>
  <si>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</si>
  <si>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</si>
  <si>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</si>
  <si>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</si>
  <si>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</si>
  <si>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</si>
  <si>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</si>
  <si>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</si>
  <si>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</si>
  <si>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</si>
  <si>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</si>
  <si>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</si>
  <si>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</si>
  <si>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</si>
  <si>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</si>
  <si>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</si>
  <si>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</si>
  <si>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</si>
  <si>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</si>
  <si>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</si>
  <si>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</si>
  <si>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</si>
  <si>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</si>
  <si>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</si>
  <si>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</si>
  <si>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</si>
  <si>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</si>
  <si>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</si>
  <si>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</si>
  <si>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</si>
  <si>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</si>
  <si>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</si>
  <si>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</si>
  <si>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</si>
  <si>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</si>
  <si>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</si>
  <si>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</si>
  <si>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</si>
  <si>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</si>
  <si>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</si>
  <si>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</si>
  <si>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</si>
  <si>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</si>
  <si>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</si>
  <si>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</si>
  <si>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</si>
  <si>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</si>
  <si>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</si>
  <si>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</si>
  <si>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</si>
  <si>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</si>
  <si>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</si>
  <si>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</si>
  <si>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</si>
  <si>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</si>
  <si>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</si>
  <si>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</si>
  <si>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</si>
  <si>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</si>
  <si>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</si>
  <si>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</si>
  <si>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</si>
  <si>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</si>
  <si>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</si>
  <si>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</si>
  <si>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</si>
  <si>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</si>
  <si>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</si>
  <si>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</si>
  <si>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</si>
  <si>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</si>
  <si>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</si>
  <si>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</si>
  <si>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</si>
  <si>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</si>
  <si>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</si>
  <si>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</si>
  <si>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</si>
  <si>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</si>
  <si>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</si>
  <si>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</si>
  <si>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</si>
  <si>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</si>
  <si>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</si>
  <si>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</si>
  <si>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</si>
  <si>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</si>
  <si>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</si>
  <si>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</si>
  <si>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</si>
  <si>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</si>
  <si>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</si>
  <si>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</si>
  <si>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</si>
  <si>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</si>
  <si>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</si>
  <si>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</si>
  <si>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</si>
  <si>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</si>
  <si>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</si>
  <si>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</si>
  <si>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</si>
  <si>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</si>
  <si>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</si>
  <si>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</si>
  <si>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</si>
  <si>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</si>
  <si>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</si>
  <si>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</si>
  <si>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</si>
  <si>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</si>
  <si>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</si>
  <si>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</si>
  <si>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</si>
  <si>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</si>
  <si>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</si>
  <si>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</si>
  <si>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</si>
  <si>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</si>
  <si>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</si>
  <si>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</si>
  <si>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</si>
  <si>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</si>
  <si>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</si>
  <si>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</si>
  <si>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</si>
  <si>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</si>
  <si>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</si>
  <si>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</si>
  <si>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</si>
  <si>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</si>
  <si>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</si>
  <si>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</si>
  <si>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</si>
  <si>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</si>
  <si>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</si>
  <si>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</si>
  <si>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</si>
  <si>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</si>
  <si>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</si>
  <si>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</si>
  <si>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</si>
  <si>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</si>
  <si>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</si>
  <si>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</si>
  <si>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</si>
  <si>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</si>
  <si>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</si>
  <si>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</si>
  <si>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</si>
  <si>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</si>
  <si>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</si>
  <si>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</si>
  <si>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</si>
  <si>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</si>
  <si>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</si>
  <si>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</si>
  <si>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</si>
  <si>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</si>
  <si>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</si>
  <si>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</si>
  <si>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</si>
  <si>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</si>
  <si>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</si>
  <si>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</si>
  <si>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</si>
  <si>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</si>
  <si>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</si>
  <si>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</si>
  <si>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</si>
  <si>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</si>
  <si>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</si>
  <si>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</si>
  <si>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</si>
  <si>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</si>
  <si>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</si>
  <si>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</si>
  <si>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</si>
  <si>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</si>
  <si>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</si>
  <si>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</si>
  <si>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</si>
  <si>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</si>
  <si>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</si>
  <si>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</si>
  <si>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</si>
  <si>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</si>
  <si>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</si>
  <si>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</si>
  <si>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</si>
  <si>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</si>
  <si>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</si>
  <si>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</si>
  <si>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</si>
  <si>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</si>
  <si>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</si>
  <si>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</si>
  <si>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</si>
  <si>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</si>
  <si>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</si>
  <si>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</si>
  <si>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</si>
  <si>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</si>
  <si>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</si>
  <si>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</si>
  <si>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</si>
  <si>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</si>
  <si>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</si>
  <si>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</si>
  <si>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</si>
  <si>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</si>
  <si>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</si>
  <si>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</si>
  <si>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</si>
  <si>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</si>
  <si>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</si>
  <si>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</si>
  <si>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</si>
  <si>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</si>
  <si>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</si>
  <si>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</si>
  <si>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</si>
  <si>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</si>
  <si>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</si>
  <si>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</si>
  <si>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</si>
  <si>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</si>
  <si>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</si>
  <si>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</si>
  <si>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</si>
  <si>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</si>
  <si>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</si>
  <si>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</si>
  <si>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</si>
  <si>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</si>
  <si>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</si>
  <si>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</si>
  <si>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</si>
  <si>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</si>
  <si>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</si>
  <si>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</si>
  <si>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</si>
  <si>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</si>
  <si>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</si>
  <si>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</si>
  <si>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</si>
  <si>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</si>
  <si>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</si>
  <si>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</si>
  <si>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</si>
  <si>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</si>
  <si>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</si>
  <si>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</si>
  <si>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</si>
  <si>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</si>
  <si>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</si>
  <si>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</si>
  <si>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</si>
  <si>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</si>
  <si>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</si>
  <si>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</si>
  <si>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</si>
  <si>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</si>
  <si>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</si>
  <si>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</si>
  <si>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</si>
  <si>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</si>
  <si>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</si>
  <si>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</si>
  <si>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</si>
  <si>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</si>
  <si>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</si>
  <si>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</si>
  <si>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</si>
  <si>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</si>
  <si>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</si>
  <si>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</si>
  <si>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</si>
  <si>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</si>
  <si>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</si>
  <si>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</si>
  <si>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</si>
  <si>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</si>
  <si>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</si>
  <si>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</si>
  <si>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</si>
  <si>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</si>
  <si>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</si>
  <si>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</si>
  <si>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</si>
  <si>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</si>
  <si>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</si>
  <si>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</si>
  <si>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</si>
  <si>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</si>
  <si>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</si>
  <si>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</si>
  <si>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</si>
  <si>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</si>
  <si>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</si>
  <si>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</si>
  <si>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</si>
  <si>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</si>
  <si>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</si>
  <si>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</si>
  <si>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</si>
  <si>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</si>
  <si>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</si>
  <si>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</si>
  <si>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</si>
  <si>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</si>
  <si>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</si>
  <si>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</si>
  <si>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</si>
  <si>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</si>
  <si>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</si>
  <si>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</si>
  <si>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</si>
  <si>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</si>
  <si>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</si>
  <si>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</si>
  <si>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</si>
  <si>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</si>
  <si>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</si>
  <si>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</si>
  <si>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</si>
  <si>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</si>
  <si>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</si>
  <si>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</si>
  <si>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</si>
  <si>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</si>
  <si>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</si>
  <si>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</si>
  <si>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</si>
  <si>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</si>
  <si>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</si>
  <si>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</si>
  <si>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</si>
  <si>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</si>
  <si>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</si>
  <si>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</si>
  <si>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</si>
  <si>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</si>
  <si>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</si>
  <si>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</si>
  <si>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</si>
  <si>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</si>
  <si>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</si>
  <si>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</si>
  <si>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</si>
  <si>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</si>
  <si>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</si>
  <si>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</si>
  <si>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</si>
  <si>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</si>
  <si>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</si>
  <si>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</si>
  <si>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</si>
  <si>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</si>
  <si>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</si>
  <si>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</si>
  <si>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</si>
  <si>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</si>
  <si>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</si>
  <si>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</si>
  <si>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</si>
  <si>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</si>
  <si>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</si>
  <si>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</si>
  <si>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</si>
  <si>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</si>
  <si>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</si>
  <si>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</si>
  <si>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</si>
  <si>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</si>
  <si>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</si>
  <si>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</si>
  <si>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</si>
  <si>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</si>
  <si>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</si>
  <si>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</si>
  <si>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</si>
  <si>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</si>
  <si>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</si>
  <si>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</si>
  <si>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</si>
  <si>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</si>
  <si>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</si>
  <si>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</si>
  <si>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</si>
  <si>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</si>
  <si>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</si>
  <si>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</si>
  <si>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</si>
  <si>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</si>
  <si>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</si>
  <si>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</si>
  <si>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</si>
  <si>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</si>
  <si>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</si>
  <si>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</si>
  <si>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</si>
  <si>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</si>
  <si>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</si>
  <si>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</si>
  <si>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</si>
  <si>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</si>
  <si>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</si>
  <si>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</si>
  <si>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</si>
  <si>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</si>
  <si>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</si>
  <si>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</si>
  <si>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</si>
  <si>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</si>
  <si>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</si>
  <si>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</si>
  <si>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</si>
  <si>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</si>
  <si>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</si>
  <si>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</si>
  <si>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</si>
  <si>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</si>
  <si>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</si>
  <si>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</si>
  <si>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</si>
  <si>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</si>
  <si>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</si>
  <si>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</si>
  <si>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</si>
  <si>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</si>
  <si>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</si>
  <si>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</si>
  <si>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</si>
  <si>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</si>
  <si>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</si>
  <si>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</si>
  <si>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</si>
  <si>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</si>
  <si>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</si>
  <si>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</si>
  <si>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</si>
  <si>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</si>
  <si>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</si>
  <si>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</si>
  <si>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</si>
  <si>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</si>
  <si>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</si>
  <si>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</si>
  <si>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</si>
  <si>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</si>
  <si>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</si>
  <si>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</si>
  <si>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</si>
  <si>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</si>
  <si>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</si>
  <si>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</si>
  <si>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</si>
  <si>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</si>
  <si>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</si>
  <si>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</si>
  <si>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</si>
  <si>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</si>
  <si>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</si>
  <si>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</si>
  <si>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</si>
  <si>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</si>
  <si>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</si>
  <si>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</si>
  <si>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</si>
  <si>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</si>
  <si>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</si>
  <si>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</si>
  <si>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</si>
  <si>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</si>
  <si>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</si>
  <si>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</si>
  <si>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</si>
  <si>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</si>
  <si>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</si>
  <si>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</si>
  <si>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</si>
  <si>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</si>
  <si>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</si>
  <si>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</si>
  <si>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</si>
  <si>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</si>
  <si>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</si>
  <si>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</si>
  <si>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</si>
  <si>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</si>
  <si>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</si>
  <si>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</si>
  <si>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</si>
  <si>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</si>
  <si>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</si>
  <si>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</si>
  <si>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</si>
  <si>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</si>
  <si>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</si>
  <si>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</si>
  <si>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</si>
  <si>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</si>
  <si>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</si>
  <si>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</si>
  <si>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</si>
  <si>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</si>
  <si>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</si>
  <si>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</si>
  <si>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</si>
  <si>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</si>
  <si>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</si>
  <si>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</si>
  <si>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</si>
  <si>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</si>
  <si>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</si>
  <si>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</si>
  <si>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</si>
  <si>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</si>
  <si>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</si>
  <si>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</si>
  <si>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</si>
  <si>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</si>
  <si>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</si>
  <si>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</si>
  <si>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</si>
  <si>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</si>
  <si>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</si>
  <si>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</si>
  <si>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</si>
  <si>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</si>
  <si>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</si>
  <si>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</si>
  <si>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</si>
  <si>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</si>
  <si>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</si>
  <si>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</si>
  <si>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</si>
  <si>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</si>
  <si>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</si>
  <si>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</si>
  <si>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</si>
  <si>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</si>
  <si>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</si>
  <si>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</si>
  <si>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</si>
  <si>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</si>
  <si>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</si>
  <si>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</si>
  <si>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</si>
  <si>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</si>
  <si>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</si>
  <si>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</si>
  <si>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</si>
  <si>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</si>
  <si>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</si>
  <si>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</si>
  <si>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</si>
  <si>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</si>
  <si>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</si>
  <si>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</si>
  <si>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</si>
  <si>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</si>
  <si>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</si>
  <si>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</si>
  <si>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</si>
  <si>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</si>
  <si>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</si>
  <si>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</si>
  <si>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</si>
  <si>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</si>
  <si>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</si>
  <si>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</si>
  <si>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</si>
  <si>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</si>
  <si>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</si>
  <si>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</si>
  <si>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</si>
  <si>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</si>
  <si>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</si>
  <si>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</si>
  <si>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</si>
  <si>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</si>
  <si>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</si>
  <si>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</si>
  <si>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</si>
  <si>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</si>
  <si>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</si>
  <si>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</si>
  <si>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</si>
  <si>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</si>
  <si>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</si>
  <si>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</si>
  <si>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</si>
  <si>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</si>
  <si>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</si>
  <si>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</si>
  <si>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</si>
  <si>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</si>
  <si>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</si>
  <si>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</si>
  <si>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</si>
  <si>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</si>
  <si>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</si>
  <si>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</si>
  <si>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</si>
  <si>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</si>
  <si>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</si>
  <si>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</si>
  <si>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</si>
  <si>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</si>
  <si>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</si>
  <si>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</si>
  <si>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</si>
  <si>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</si>
  <si>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</si>
  <si>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</si>
  <si>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</si>
  <si>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</si>
  <si>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</si>
  <si>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</si>
  <si>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</si>
  <si>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</si>
  <si>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</si>
  <si>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</si>
  <si>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</si>
  <si>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</si>
  <si>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</si>
  <si>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</si>
  <si>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</si>
  <si>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</si>
  <si>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</si>
  <si>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</si>
  <si>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</si>
  <si>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</si>
  <si>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</si>
  <si>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</si>
  <si>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</si>
  <si>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</si>
  <si>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</si>
  <si>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</si>
  <si>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</si>
  <si>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</si>
  <si>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</si>
  <si>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</si>
  <si>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</si>
  <si>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</si>
  <si>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</si>
  <si>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</si>
  <si>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</si>
  <si>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</si>
  <si>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</si>
  <si>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</si>
  <si>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</si>
  <si>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</si>
  <si>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</si>
  <si>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</si>
  <si>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</si>
  <si>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</si>
  <si>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</si>
  <si>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</si>
  <si>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</si>
  <si>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</si>
  <si>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</si>
  <si>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</si>
  <si>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</si>
  <si>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</si>
  <si>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</si>
  <si>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</si>
  <si>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</si>
  <si>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</si>
  <si>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</si>
  <si>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</si>
  <si>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</si>
  <si>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</si>
  <si>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</si>
  <si>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</si>
  <si>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</si>
  <si>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</si>
  <si>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</si>
  <si>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</si>
  <si>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</si>
  <si>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</si>
  <si>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</si>
  <si>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</si>
  <si>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</si>
  <si>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</si>
  <si>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</si>
  <si>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</si>
  <si>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</si>
  <si>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</si>
  <si>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</si>
  <si>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</si>
  <si>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</si>
  <si>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</si>
  <si>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</si>
  <si>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</si>
  <si>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</si>
  <si>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</si>
  <si>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</si>
  <si>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</si>
  <si>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</si>
  <si>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</si>
  <si>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</si>
  <si>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</si>
  <si>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</si>
  <si>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</si>
  <si>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</si>
  <si>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</si>
  <si>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</si>
  <si>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</si>
  <si>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</si>
  <si>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</si>
  <si>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</si>
  <si>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</si>
  <si>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</si>
  <si>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</si>
  <si>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</si>
  <si>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</si>
  <si>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</si>
  <si>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</si>
  <si>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</si>
  <si>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</si>
  <si>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</si>
  <si>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</si>
  <si>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</si>
  <si>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</si>
  <si>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</si>
  <si>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</si>
  <si>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</si>
  <si>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</si>
  <si>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</si>
  <si>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</si>
  <si>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</si>
  <si>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</si>
  <si>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</si>
  <si>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</si>
  <si>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</si>
  <si>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</si>
  <si>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</si>
  <si>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</si>
  <si>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</si>
  <si>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</si>
  <si>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</si>
  <si>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</si>
  <si>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</si>
  <si>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</si>
  <si>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</si>
  <si>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</si>
  <si>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</si>
  <si>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</si>
  <si>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</si>
  <si>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</si>
  <si>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</si>
  <si>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</si>
  <si>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</si>
  <si>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</si>
  <si>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</si>
  <si>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</si>
  <si>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</si>
  <si>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</si>
  <si>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</si>
  <si>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</si>
  <si>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</si>
  <si>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</si>
  <si>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</si>
  <si>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</si>
  <si>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</si>
  <si>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</si>
  <si>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</si>
  <si>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</si>
  <si>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</si>
  <si>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</si>
  <si>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</si>
  <si>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</si>
  <si>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</si>
  <si>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</si>
  <si>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</si>
  <si>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</si>
  <si>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</si>
  <si>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</si>
  <si>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</si>
  <si>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</si>
  <si>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</si>
  <si>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</si>
  <si>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</si>
  <si>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</si>
  <si>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</si>
  <si>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</si>
  <si>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</si>
  <si>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</si>
  <si>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</si>
  <si>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</si>
  <si>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</si>
  <si>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</si>
  <si>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</si>
  <si>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</si>
  <si>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</si>
  <si>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</si>
  <si>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</si>
  <si>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</si>
  <si>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</si>
  <si>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</si>
  <si>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</si>
  <si>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</si>
  <si>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</si>
  <si>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</si>
  <si>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</si>
  <si>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</si>
  <si>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</si>
  <si>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</si>
  <si>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</si>
  <si>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</si>
  <si>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</si>
  <si>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</si>
  <si>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</si>
  <si>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</si>
  <si>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</si>
  <si>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</si>
  <si>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</si>
  <si>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</si>
  <si>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</si>
  <si>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</si>
  <si>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</si>
  <si>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</si>
  <si>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</si>
  <si>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</si>
  <si>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</si>
  <si>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</si>
  <si>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</si>
  <si>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</si>
  <si>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</si>
  <si>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</si>
  <si>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</si>
  <si>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</si>
  <si>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</si>
  <si>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</si>
  <si>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</si>
  <si>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</si>
  <si>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</si>
  <si>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</si>
  <si>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</si>
  <si>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</si>
  <si>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</si>
  <si>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</si>
  <si>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</si>
  <si>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</si>
  <si>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</si>
  <si>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</si>
  <si>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</si>
  <si>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</si>
  <si>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</si>
  <si>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</si>
  <si>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</si>
  <si>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</si>
  <si>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</si>
  <si>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</si>
  <si>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</si>
  <si>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</si>
  <si>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</si>
  <si>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</si>
  <si>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</si>
  <si>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</si>
  <si>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</si>
  <si>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</si>
  <si>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</si>
  <si>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</si>
  <si>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</si>
  <si>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</si>
  <si>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</si>
  <si>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</si>
  <si>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</si>
  <si>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</si>
  <si>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</si>
  <si>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</si>
  <si>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</si>
  <si>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</si>
  <si>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</si>
  <si>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</si>
  <si>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</si>
  <si>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</si>
  <si>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</si>
  <si>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</si>
  <si>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</si>
  <si>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</si>
  <si>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</si>
  <si>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</si>
  <si>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</si>
  <si>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</si>
  <si>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</si>
  <si>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</si>
  <si>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</si>
  <si>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</si>
  <si>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</si>
  <si>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</si>
  <si>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</si>
  <si>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</si>
  <si>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</si>
  <si>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</si>
  <si>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</si>
  <si>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</si>
  <si>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</si>
  <si>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</si>
  <si>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</si>
  <si>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</si>
  <si>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</si>
  <si>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</si>
  <si>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</si>
  <si>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</si>
  <si>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</si>
  <si>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</si>
  <si>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</si>
  <si>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</si>
  <si>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</si>
  <si>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</si>
  <si>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</si>
  <si>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</si>
  <si>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</si>
  <si>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</si>
  <si>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</si>
  <si>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</si>
  <si>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</si>
  <si>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</si>
  <si>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</si>
  <si>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</si>
  <si>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</si>
  <si>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</si>
  <si>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</si>
  <si>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</si>
  <si>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</si>
  <si>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</si>
  <si>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</si>
  <si>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</si>
  <si>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</si>
  <si>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</si>
  <si>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</si>
  <si>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</si>
  <si>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</si>
  <si>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</si>
  <si>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</si>
  <si>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</si>
  <si>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</si>
  <si>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</si>
  <si>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</si>
  <si>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</si>
  <si>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</si>
  <si>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</si>
  <si>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</si>
  <si>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</si>
  <si>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</si>
  <si>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</si>
  <si>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</si>
  <si>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</si>
  <si>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</si>
  <si>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</si>
  <si>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</si>
  <si>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</si>
  <si>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</si>
  <si>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</si>
  <si>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</si>
  <si>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</si>
  <si>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</si>
  <si>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</si>
  <si>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</si>
  <si>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</si>
  <si>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</si>
  <si>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</si>
  <si>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</si>
  <si>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</si>
  <si>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</si>
  <si>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</si>
  <si>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</si>
  <si>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</si>
  <si>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</si>
  <si>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</si>
  <si>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</si>
  <si>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</si>
  <si>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</si>
  <si>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</si>
  <si>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</si>
  <si>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</si>
  <si>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</si>
  <si>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</si>
  <si>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</si>
  <si>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</si>
  <si>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</si>
  <si>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</si>
  <si>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</si>
  <si>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</si>
  <si>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</si>
  <si>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</si>
  <si>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</si>
  <si>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</si>
  <si>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</si>
  <si>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</si>
  <si>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</si>
  <si>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</si>
  <si>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</si>
  <si>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</si>
  <si>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</si>
  <si>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</si>
  <si>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</si>
  <si>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</si>
  <si>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</si>
  <si>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</si>
  <si>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</si>
  <si>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</si>
  <si>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</si>
  <si>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</si>
  <si>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</si>
  <si>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</si>
  <si>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</si>
  <si>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</si>
  <si>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</si>
  <si>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</si>
  <si>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</si>
  <si>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</si>
  <si>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</si>
  <si>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</si>
  <si>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</si>
  <si>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</si>
  <si>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</si>
  <si>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</si>
  <si>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</si>
  <si>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</si>
  <si>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</si>
  <si>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</si>
  <si>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</si>
  <si>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</si>
  <si>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</si>
  <si>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</si>
  <si>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</si>
  <si>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</si>
  <si>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</si>
  <si>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</si>
  <si>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</si>
  <si>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</si>
  <si>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</si>
  <si>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</si>
  <si>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</si>
  <si>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</si>
  <si>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</si>
  <si>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</si>
  <si>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</si>
  <si>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</si>
  <si>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</si>
  <si>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</si>
  <si>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</si>
  <si>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</si>
  <si>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</si>
  <si>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</si>
  <si>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</si>
  <si>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</si>
  <si>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</si>
  <si>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</si>
  <si>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</si>
  <si>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</si>
  <si>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</si>
  <si>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</si>
  <si>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</si>
  <si>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</si>
  <si>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</si>
  <si>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</si>
  <si>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</si>
  <si>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</si>
  <si>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</si>
  <si>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</si>
  <si>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</si>
  <si>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</si>
  <si>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</si>
  <si>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</si>
  <si>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</si>
  <si>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</si>
  <si>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</si>
  <si>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</si>
  <si>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</si>
  <si>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</si>
  <si>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</si>
  <si>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</si>
  <si>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</si>
  <si>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</si>
  <si>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</si>
  <si>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</si>
  <si>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</si>
  <si>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</si>
  <si>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</si>
  <si>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</si>
  <si>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</si>
  <si>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</si>
  <si>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</si>
  <si>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</si>
  <si>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</si>
  <si>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</si>
  <si>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</si>
  <si>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</si>
  <si>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</si>
  <si>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</si>
  <si>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</si>
  <si>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</si>
  <si>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</si>
  <si>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</si>
  <si>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</si>
  <si>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</si>
  <si>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</si>
  <si>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</si>
  <si>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</si>
  <si>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</si>
  <si>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</si>
  <si>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</si>
  <si>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</si>
  <si>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</si>
  <si>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</si>
  <si>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</si>
  <si>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</si>
  <si>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</si>
  <si>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</si>
  <si>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</si>
  <si>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</si>
  <si>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</si>
  <si>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</si>
  <si>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</si>
  <si>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</si>
  <si>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</si>
  <si>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</si>
  <si>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</si>
  <si>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</si>
  <si>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</si>
  <si>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</si>
  <si>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</si>
  <si>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</si>
  <si>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</si>
  <si>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</si>
  <si>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</si>
  <si>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</si>
  <si>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</si>
  <si>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</si>
  <si>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</si>
  <si>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</si>
  <si>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</si>
  <si>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</si>
  <si>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</si>
  <si>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</si>
  <si>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</si>
  <si>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</si>
  <si>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</si>
  <si>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</si>
  <si>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</si>
  <si>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</si>
  <si>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</si>
  <si>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</si>
  <si>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</si>
  <si>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</si>
  <si>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</si>
  <si>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</si>
  <si>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</si>
  <si>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</si>
  <si>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</si>
  <si>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</si>
  <si>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</si>
  <si>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</si>
  <si>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</si>
  <si>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</si>
  <si>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</si>
  <si>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</si>
  <si>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</si>
  <si>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</si>
  <si>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</si>
  <si>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</si>
  <si>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</si>
  <si>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</si>
  <si>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</si>
  <si>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</si>
  <si>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</si>
  <si>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</si>
  <si>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</si>
  <si>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</si>
  <si>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</si>
  <si>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</si>
  <si>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</si>
  <si>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</si>
  <si>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</si>
  <si>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</si>
  <si>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</si>
  <si>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</si>
  <si>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</si>
  <si>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</si>
  <si>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</si>
  <si>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</si>
  <si>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</si>
  <si>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</si>
  <si>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</si>
  <si>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</si>
  <si>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</si>
  <si>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</si>
  <si>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</si>
  <si>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</si>
  <si>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</si>
  <si>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</si>
  <si>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</si>
  <si>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</si>
  <si>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</si>
  <si>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</si>
  <si>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</si>
  <si>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</si>
  <si>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</si>
  <si>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</si>
  <si>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</si>
  <si>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</si>
  <si>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</si>
  <si>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</si>
  <si>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</si>
  <si>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</si>
  <si>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</si>
  <si>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</si>
  <si>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</si>
  <si>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</si>
  <si>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</si>
  <si>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</si>
  <si>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</si>
  <si>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</si>
  <si>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</si>
  <si>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</si>
  <si>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</si>
  <si>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</si>
  <si>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</si>
  <si>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</si>
  <si>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</si>
  <si>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</si>
  <si>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</si>
  <si>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</si>
  <si>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</si>
  <si>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</si>
  <si>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</si>
  <si>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</si>
  <si>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</si>
  <si>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</si>
  <si>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</si>
  <si>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</si>
  <si>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</si>
  <si>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</si>
  <si>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</si>
  <si>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</si>
  <si>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</si>
  <si>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</si>
  <si>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</si>
  <si>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</si>
  <si>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</si>
  <si>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</si>
  <si>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</si>
  <si>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</si>
  <si>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</si>
  <si>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</si>
  <si>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</si>
  <si>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</si>
  <si>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</si>
  <si>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</si>
  <si>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</si>
  <si>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</si>
  <si>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</si>
  <si>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</si>
  <si>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</si>
  <si>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</si>
  <si>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</si>
  <si>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</si>
  <si>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</si>
  <si>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</si>
  <si>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</si>
  <si>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</si>
  <si>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</si>
  <si>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</si>
  <si>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</si>
  <si>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</si>
  <si>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</si>
  <si>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</si>
  <si>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</si>
  <si>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</si>
  <si>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</si>
  <si>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</si>
  <si>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</si>
  <si>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</si>
  <si>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</si>
  <si>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</si>
  <si>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</si>
  <si>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</si>
  <si>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</si>
  <si>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</si>
  <si>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</si>
  <si>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</si>
  <si>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</si>
  <si>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</si>
  <si>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</si>
  <si>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</si>
  <si>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</si>
  <si>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</si>
  <si>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</si>
  <si>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</si>
  <si>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</si>
  <si>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</si>
  <si>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</si>
  <si>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</si>
  <si>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</si>
  <si>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</si>
  <si>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</si>
  <si>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</si>
  <si>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</si>
  <si>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</si>
  <si>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</si>
  <si>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</si>
  <si>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</si>
  <si>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</si>
  <si>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</si>
  <si>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</si>
  <si>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</si>
  <si>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</si>
  <si>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</si>
  <si>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</si>
  <si>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</si>
  <si>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</si>
  <si>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</si>
  <si>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</si>
  <si>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</si>
  <si>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</si>
  <si>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</si>
  <si>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</si>
  <si>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</si>
  <si>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</si>
  <si>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</si>
  <si>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</si>
  <si>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</si>
  <si>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</si>
  <si>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</si>
  <si>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</si>
  <si>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</si>
  <si>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</si>
  <si>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</si>
  <si>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</si>
  <si>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</si>
  <si>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</si>
  <si>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</si>
  <si>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</si>
  <si>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</si>
  <si>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</si>
  <si>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</si>
  <si>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</si>
  <si>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</si>
  <si>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</si>
  <si>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</si>
  <si>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</si>
  <si>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</si>
  <si>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</si>
  <si>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</si>
  <si>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</si>
  <si>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</si>
  <si>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</si>
  <si>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</si>
  <si>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</si>
  <si>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</si>
  <si>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</si>
  <si>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</si>
  <si>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</si>
  <si>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</si>
  <si>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</si>
  <si>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</si>
  <si>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</si>
  <si>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</si>
  <si>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</si>
  <si>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</si>
  <si>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</si>
  <si>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</si>
  <si>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</si>
  <si>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</si>
  <si>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</si>
  <si>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</si>
  <si>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</si>
  <si>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</si>
  <si>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</si>
  <si>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</si>
  <si>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</si>
  <si>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</si>
  <si>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</si>
  <si>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</si>
  <si>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</si>
  <si>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</si>
  <si>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</si>
  <si>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</si>
  <si>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</si>
  <si>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</si>
  <si>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</si>
  <si>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</si>
  <si>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</si>
  <si>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</si>
  <si>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</si>
  <si>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</si>
  <si>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</si>
  <si>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</si>
  <si>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</si>
  <si>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</si>
  <si>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</si>
  <si>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</si>
  <si>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</si>
  <si>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</si>
  <si>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</si>
  <si>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</si>
  <si>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</si>
  <si>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</si>
  <si>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</si>
  <si>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</si>
  <si>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</si>
  <si>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</si>
  <si>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</si>
  <si>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</si>
  <si>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</si>
  <si>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</si>
  <si>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</si>
  <si>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</si>
  <si>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</si>
  <si>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</si>
  <si>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</si>
  <si>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</si>
  <si>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</si>
  <si>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</si>
  <si>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</si>
  <si>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</si>
  <si>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</si>
  <si>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</si>
  <si>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</si>
  <si>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</si>
  <si>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</si>
  <si>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</si>
  <si>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</si>
  <si>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</si>
  <si>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</si>
  <si>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</si>
  <si>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</si>
  <si>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</si>
  <si>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</si>
  <si>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</si>
  <si>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</si>
  <si>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</si>
  <si>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</si>
  <si>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</si>
  <si>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</si>
  <si>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</si>
  <si>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</si>
  <si>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</si>
  <si>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</si>
  <si>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</si>
  <si>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</si>
  <si>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</si>
  <si>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</si>
  <si>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</si>
  <si>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</si>
  <si>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</si>
  <si>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</si>
  <si>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</si>
  <si>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</si>
  <si>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</si>
  <si>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</si>
  <si>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</si>
  <si>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</si>
  <si>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</si>
  <si>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</si>
  <si>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</si>
  <si>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</si>
  <si>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</si>
  <si>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</si>
  <si>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</si>
  <si>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</si>
  <si>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</si>
  <si>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</si>
  <si>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</si>
  <si>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</si>
  <si>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</si>
  <si>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</si>
  <si>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</si>
  <si>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</si>
  <si>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</si>
  <si>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</si>
  <si>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</si>
  <si>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</si>
  <si>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</si>
  <si>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</si>
  <si>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</si>
  <si>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</si>
  <si>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</si>
  <si>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</si>
  <si>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</si>
  <si>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</si>
  <si>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</si>
  <si>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</si>
  <si>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</si>
  <si>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</si>
  <si>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</si>
  <si>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</si>
  <si>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</si>
  <si>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</si>
  <si>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</si>
  <si>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</si>
  <si>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</si>
  <si>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</si>
  <si>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</si>
  <si>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</si>
  <si>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</si>
  <si>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</si>
  <si>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</si>
  <si>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</si>
  <si>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</si>
  <si>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</si>
  <si>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</si>
  <si>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</si>
  <si>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</si>
  <si>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</si>
  <si>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</si>
  <si>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</si>
  <si>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</si>
  <si>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</si>
  <si>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</si>
  <si>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</si>
  <si>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</si>
  <si>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</si>
  <si>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</si>
  <si>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</si>
  <si>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</si>
  <si>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</si>
  <si>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</si>
  <si>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</si>
  <si>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</si>
  <si>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</si>
  <si>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</si>
  <si>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</si>
  <si>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</si>
  <si>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</si>
  <si>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</si>
  <si>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</si>
  <si>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</si>
  <si>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</si>
  <si>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</si>
  <si>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</si>
  <si>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</si>
  <si>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</si>
  <si>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</si>
  <si>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</si>
  <si>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</si>
  <si>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</si>
  <si>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</si>
  <si>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</si>
  <si>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</si>
  <si>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</si>
  <si>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</si>
  <si>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</si>
  <si>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</si>
  <si>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</si>
  <si>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</si>
  <si>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</si>
  <si>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</si>
  <si>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</si>
  <si>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</si>
  <si>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</si>
  <si>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</si>
  <si>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</si>
  <si>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</si>
  <si>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</si>
  <si>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</si>
  <si>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</si>
  <si>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</si>
  <si>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</si>
  <si>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</si>
  <si>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</si>
  <si>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</si>
  <si>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</si>
  <si>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</si>
  <si>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</si>
  <si>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</si>
  <si>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</si>
  <si>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</si>
  <si>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</si>
  <si>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</si>
  <si>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</si>
  <si>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</si>
  <si>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</si>
  <si>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</si>
  <si>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</si>
  <si>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</si>
  <si>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</si>
  <si>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</si>
  <si>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</si>
  <si>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</si>
  <si>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</si>
  <si>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</si>
  <si>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</si>
  <si>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</si>
  <si>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</si>
  <si>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</si>
  <si>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</si>
  <si>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</si>
  <si>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</si>
  <si>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</si>
  <si>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</si>
  <si>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</si>
  <si>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</si>
  <si>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</si>
  <si>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</si>
  <si>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</si>
  <si>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</si>
  <si>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</si>
  <si>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</si>
  <si>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</si>
  <si>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</si>
  <si>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</si>
  <si>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</si>
  <si>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</si>
  <si>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</si>
  <si>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</si>
  <si>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</si>
  <si>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</si>
  <si>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</si>
  <si>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</si>
  <si>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</si>
  <si>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</si>
  <si>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</si>
  <si>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</si>
  <si>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</si>
  <si>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</si>
  <si>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</si>
  <si>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</si>
  <si>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</si>
  <si>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</si>
  <si>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</si>
  <si>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</si>
  <si>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</si>
  <si>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</si>
  <si>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</si>
  <si>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</si>
  <si>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</si>
  <si>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</si>
  <si>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</si>
  <si>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</si>
  <si>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</si>
  <si>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</si>
  <si>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</si>
  <si>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</si>
  <si>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</si>
  <si>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</si>
  <si>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</si>
  <si>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</si>
  <si>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</si>
  <si>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</si>
  <si>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</si>
  <si>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</si>
  <si>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</si>
  <si>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</si>
  <si>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</si>
  <si>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</si>
  <si>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</si>
  <si>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</si>
  <si>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</si>
  <si>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</si>
  <si>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</si>
  <si>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</si>
  <si>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</si>
  <si>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</si>
  <si>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</si>
  <si>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</si>
  <si>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</si>
  <si>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</si>
  <si>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</si>
  <si>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</si>
  <si>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</si>
  <si>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</si>
  <si>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</si>
  <si>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</si>
  <si>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</si>
  <si>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</si>
  <si>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</si>
  <si>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</si>
  <si>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</si>
  <si>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</si>
  <si>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</si>
  <si>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</si>
  <si>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</si>
  <si>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</si>
  <si>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</si>
  <si>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</si>
  <si>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</si>
  <si>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</si>
  <si>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</si>
  <si>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</si>
  <si>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</si>
  <si>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</si>
  <si>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</si>
  <si>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</si>
  <si>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</si>
  <si>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</si>
  <si>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</si>
  <si>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</si>
  <si>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</si>
  <si>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</si>
  <si>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</si>
  <si>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</si>
  <si>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</si>
  <si>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</si>
  <si>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</si>
  <si>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</si>
  <si>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</si>
  <si>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</si>
  <si>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</si>
  <si>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</si>
  <si>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</si>
  <si>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</si>
  <si>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</si>
  <si>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</si>
  <si>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</si>
  <si>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</si>
  <si>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</si>
  <si>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</si>
  <si>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</si>
  <si>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</si>
  <si>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</si>
  <si>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</si>
  <si>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</si>
  <si>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</si>
  <si>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</si>
  <si>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</si>
  <si>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</si>
  <si>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</si>
  <si>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</si>
  <si>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</si>
  <si>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</si>
  <si>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</si>
  <si>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</si>
  <si>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</si>
  <si>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</si>
  <si>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</si>
  <si>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</si>
  <si>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</si>
  <si>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</si>
  <si>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</si>
  <si>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</si>
  <si>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</si>
  <si>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</si>
  <si>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</si>
  <si>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</si>
  <si>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</si>
  <si>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</si>
  <si>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</si>
  <si>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</si>
  <si>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</si>
  <si>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</si>
  <si>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</si>
  <si>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</si>
  <si>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</si>
  <si>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</si>
  <si>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</si>
  <si>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</si>
  <si>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</si>
  <si>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</si>
  <si>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</si>
  <si>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</si>
  <si>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</si>
  <si>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</si>
  <si>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</si>
  <si>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</si>
  <si>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</si>
  <si>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</si>
  <si>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</si>
  <si>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</si>
  <si>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</si>
  <si>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</si>
  <si>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</si>
  <si>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</si>
  <si>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</si>
  <si>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</si>
  <si>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</si>
  <si>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</si>
  <si>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</si>
  <si>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</si>
  <si>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</si>
  <si>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</si>
  <si>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</si>
  <si>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</si>
  <si>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</si>
  <si>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</si>
  <si>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</si>
  <si>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</si>
  <si>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</si>
  <si>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</si>
  <si>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</si>
  <si>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</si>
  <si>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</si>
  <si>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</si>
  <si>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</si>
  <si>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</si>
  <si>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</si>
  <si>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</si>
  <si>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</si>
  <si>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</si>
  <si>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</si>
  <si>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</si>
  <si>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</si>
  <si>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</si>
  <si>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</si>
  <si>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</si>
  <si>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</si>
  <si>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</si>
  <si>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</si>
  <si>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</si>
  <si>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</si>
  <si>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</si>
  <si>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</si>
  <si>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</si>
  <si>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</si>
  <si>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</si>
  <si>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</si>
  <si>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</si>
  <si>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</si>
  <si>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</si>
  <si>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</si>
  <si>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</si>
  <si>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</si>
  <si>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</si>
  <si>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</si>
  <si>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</si>
  <si>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</si>
  <si>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</si>
  <si>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</si>
  <si>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</si>
  <si>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</si>
  <si>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</si>
  <si>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</si>
  <si>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</si>
  <si>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</si>
  <si>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</si>
  <si>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</si>
  <si>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</si>
  <si>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</si>
  <si>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</si>
  <si>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</si>
  <si>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</si>
  <si>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</si>
  <si>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</si>
  <si>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</si>
  <si>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</si>
  <si>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</si>
  <si>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</si>
  <si>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</si>
  <si>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</si>
  <si>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</si>
  <si>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</si>
  <si>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</si>
  <si>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</si>
  <si>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</si>
  <si>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</si>
  <si>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</si>
  <si>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</si>
  <si>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</si>
  <si>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</si>
  <si>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</si>
  <si>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</si>
  <si>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</si>
  <si>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</si>
  <si>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</si>
  <si>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</si>
  <si>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</si>
  <si>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</si>
  <si>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</si>
  <si>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</si>
  <si>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</si>
  <si>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</si>
  <si>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</si>
  <si>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</si>
  <si>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</si>
  <si>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</si>
  <si>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</si>
  <si>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</si>
  <si>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</si>
  <si>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</si>
  <si>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</si>
  <si>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</si>
  <si>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</si>
  <si>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</si>
  <si>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</si>
  <si>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</si>
  <si>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</si>
  <si>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</si>
  <si>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</si>
  <si>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</si>
  <si>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</si>
  <si>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</si>
  <si>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</si>
  <si>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</si>
  <si>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</si>
  <si>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</si>
  <si>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</si>
  <si>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</si>
  <si>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</si>
  <si>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</si>
  <si>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</si>
  <si>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</si>
  <si>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</si>
  <si>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</si>
  <si>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</si>
  <si>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</si>
  <si>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</si>
  <si>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</si>
  <si>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</si>
  <si>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</si>
  <si>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</si>
  <si>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</si>
  <si>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</si>
  <si>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</si>
  <si>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</si>
  <si>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</si>
  <si>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</si>
  <si>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</si>
  <si>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</si>
  <si>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</si>
  <si>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</si>
  <si>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</si>
  <si>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</si>
  <si>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</si>
  <si>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</si>
  <si>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</si>
  <si>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</si>
  <si>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</si>
  <si>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</si>
  <si>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</si>
  <si>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</si>
  <si>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</si>
  <si>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</si>
  <si>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</si>
  <si>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</si>
  <si>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</si>
  <si>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</si>
  <si>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</si>
  <si>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</si>
  <si>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</si>
  <si>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</si>
  <si>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</si>
  <si>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</si>
  <si>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</si>
  <si>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</si>
  <si>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</si>
  <si>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</si>
  <si>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</si>
  <si>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</si>
  <si>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</si>
  <si>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</si>
  <si>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</si>
  <si>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</si>
  <si>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</si>
  <si>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</si>
  <si>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</si>
  <si>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</si>
  <si>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</si>
  <si>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</si>
  <si>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</si>
  <si>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</si>
  <si>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</si>
  <si>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</si>
  <si>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</si>
  <si>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</si>
  <si>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</si>
  <si>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</si>
  <si>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</si>
  <si>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</si>
  <si>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</si>
  <si>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</si>
  <si>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</si>
  <si>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</si>
  <si>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</si>
  <si>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</si>
  <si>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</si>
  <si>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</si>
  <si>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</si>
  <si>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</si>
  <si>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</si>
  <si>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</si>
  <si>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</si>
  <si>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</si>
  <si>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</si>
  <si>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</si>
  <si>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</si>
  <si>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</si>
  <si>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</si>
  <si>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</si>
  <si>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</si>
  <si>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</si>
  <si>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</si>
  <si>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</si>
  <si>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</si>
  <si>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</si>
  <si>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</si>
  <si>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</si>
  <si>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</si>
  <si>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</si>
  <si>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</si>
  <si>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</si>
  <si>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</si>
  <si>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</si>
  <si>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</si>
  <si>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</si>
  <si>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</si>
  <si>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</si>
  <si>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</si>
  <si>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</si>
  <si>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</si>
  <si>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</si>
  <si>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</si>
  <si>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</si>
  <si>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</si>
  <si>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</si>
  <si>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</si>
  <si>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</si>
  <si>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</si>
  <si>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</si>
  <si>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</si>
  <si>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</si>
  <si>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</si>
  <si>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</si>
  <si>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</si>
  <si>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</si>
  <si>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</si>
  <si>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</si>
  <si>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</si>
  <si>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</si>
  <si>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</si>
  <si>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</si>
  <si>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</si>
  <si>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</si>
  <si>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</si>
  <si>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</si>
  <si>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</si>
  <si>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</si>
  <si>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</si>
  <si>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</si>
  <si>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</si>
  <si>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</si>
  <si>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</si>
  <si>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</si>
  <si>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</si>
  <si>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</si>
  <si>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</si>
  <si>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</si>
  <si>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</si>
  <si>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</si>
  <si>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</si>
  <si>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</si>
  <si>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</si>
  <si>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</si>
  <si>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</si>
  <si>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</si>
  <si>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</si>
  <si>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</si>
  <si>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</si>
  <si>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</si>
  <si>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</si>
  <si>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</si>
  <si>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</si>
  <si>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</si>
  <si>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</si>
  <si>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</si>
  <si>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</si>
  <si>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</si>
  <si>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</si>
  <si>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</si>
  <si>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</si>
  <si>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</si>
  <si>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</si>
  <si>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</si>
  <si>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</si>
  <si>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</si>
  <si>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</si>
  <si>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</si>
  <si>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</si>
  <si>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</si>
  <si>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</si>
  <si>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</si>
  <si>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</si>
  <si>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</si>
  <si>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</si>
  <si>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</si>
  <si>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</si>
  <si>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</si>
  <si>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</si>
  <si>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</si>
  <si>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</si>
  <si>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</si>
  <si>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</si>
  <si>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</si>
  <si>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</si>
  <si>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</si>
  <si>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</si>
  <si>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</si>
  <si>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</si>
  <si>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</si>
  <si>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</si>
  <si>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</si>
  <si>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</si>
  <si>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</si>
  <si>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</si>
  <si>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</si>
  <si>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</si>
  <si>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</si>
  <si>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</si>
  <si>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</si>
  <si>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</si>
  <si>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</si>
  <si>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</si>
  <si>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</si>
  <si>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</si>
  <si>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</si>
  <si>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</si>
  <si>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</si>
  <si>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</si>
  <si>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</si>
  <si>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</si>
  <si>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</si>
  <si>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</si>
  <si>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</si>
  <si>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</si>
  <si>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</si>
  <si>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</si>
  <si>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</si>
  <si>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</si>
  <si>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</si>
  <si>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</si>
  <si>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</si>
  <si>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</si>
  <si>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</si>
  <si>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</si>
  <si>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</si>
  <si>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</si>
  <si>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</si>
  <si>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</si>
  <si>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</si>
  <si>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</si>
  <si>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</si>
  <si>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</si>
  <si>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</si>
  <si>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</si>
  <si>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</si>
  <si>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</si>
  <si>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</si>
  <si>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</si>
  <si>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</si>
  <si>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</si>
  <si>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</si>
  <si>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</si>
  <si>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</si>
  <si>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</si>
  <si>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</si>
  <si>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</si>
  <si>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</si>
  <si>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</si>
  <si>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</si>
  <si>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</si>
  <si>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</si>
  <si>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</si>
  <si>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</si>
  <si>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</si>
  <si>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</si>
  <si>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</si>
  <si>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</si>
  <si>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</si>
  <si>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</si>
  <si>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</si>
  <si>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</si>
  <si>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</si>
  <si>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</si>
  <si>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</si>
  <si>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</si>
  <si>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</si>
  <si>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</si>
  <si>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</si>
  <si>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</si>
  <si>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</si>
  <si>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</si>
  <si>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</si>
  <si>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</si>
  <si>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</si>
  <si>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</si>
  <si>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</si>
  <si>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</si>
  <si>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</si>
  <si>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</si>
  <si>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</si>
  <si>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</si>
  <si>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</si>
  <si>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</si>
  <si>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</si>
  <si>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</si>
  <si>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</si>
  <si>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</si>
  <si>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</si>
  <si>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</si>
  <si>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</si>
  <si>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</si>
  <si>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</si>
  <si>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</si>
  <si>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</si>
  <si>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</si>
  <si>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</si>
  <si>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</si>
  <si>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</si>
  <si>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</si>
  <si>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</si>
  <si>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</si>
  <si>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</si>
  <si>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</si>
  <si>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</si>
  <si>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</si>
  <si>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</si>
  <si>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</si>
  <si>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</si>
  <si>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</si>
  <si>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</si>
  <si>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</si>
  <si>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</si>
  <si>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</si>
  <si>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</si>
  <si>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</si>
  <si>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</si>
  <si>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</si>
  <si>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</si>
  <si>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</si>
  <si>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</si>
  <si>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</si>
  <si>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</si>
  <si>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</si>
  <si>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</si>
  <si>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</si>
  <si>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</si>
  <si>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</si>
  <si>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</si>
  <si>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</si>
  <si>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</si>
  <si>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</si>
  <si>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</si>
  <si>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</si>
  <si>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</si>
  <si>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</si>
  <si>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</si>
  <si>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</si>
  <si>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</si>
  <si>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</si>
  <si>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</si>
  <si>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</si>
  <si>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</si>
  <si>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</si>
  <si>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</si>
  <si>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</si>
  <si>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</si>
  <si>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</si>
  <si>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</si>
  <si>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</si>
  <si>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</si>
  <si>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</si>
  <si>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</si>
  <si>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</si>
  <si>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</si>
  <si>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</si>
  <si>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</si>
  <si>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</si>
  <si>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</si>
  <si>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</si>
  <si>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</si>
  <si>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</si>
  <si>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</si>
  <si>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</si>
  <si>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</si>
  <si>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</si>
  <si>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</si>
  <si>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</si>
  <si>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</si>
  <si>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</si>
  <si>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</si>
  <si>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</si>
  <si>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</si>
  <si>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</si>
  <si>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</si>
  <si>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</si>
  <si>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</si>
  <si>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</si>
  <si>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</si>
  <si>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</si>
  <si>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</si>
  <si>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</si>
  <si>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</si>
  <si>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</si>
  <si>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</si>
  <si>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</si>
  <si>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</si>
  <si>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</si>
  <si>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</si>
  <si>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</si>
  <si>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</si>
  <si>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</si>
  <si>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</si>
  <si>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</si>
  <si>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</si>
  <si>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</si>
  <si>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</si>
  <si>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</si>
  <si>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</si>
  <si>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</si>
  <si>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</si>
  <si>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</si>
  <si>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</si>
  <si>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</si>
  <si>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</si>
  <si>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</si>
  <si>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</si>
  <si>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</si>
  <si>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</si>
  <si>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</si>
  <si>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</si>
  <si>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</si>
  <si>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</si>
  <si>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</si>
  <si>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</si>
  <si>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</si>
  <si>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</si>
  <si>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</si>
  <si>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</si>
  <si>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</si>
  <si>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</si>
  <si>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</si>
  <si>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</si>
  <si>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</si>
  <si>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</si>
  <si>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</si>
  <si>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</si>
  <si>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</si>
  <si>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</si>
  <si>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</si>
  <si>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</si>
  <si>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</si>
  <si>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</si>
  <si>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</si>
  <si>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</si>
  <si>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</si>
  <si>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</si>
  <si>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</si>
  <si>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</si>
  <si>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</si>
  <si>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</si>
  <si>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</si>
  <si>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</si>
  <si>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</si>
  <si>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</si>
  <si>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</si>
  <si>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</si>
  <si>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</si>
  <si>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</si>
  <si>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</si>
  <si>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</si>
  <si>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</si>
  <si>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</si>
  <si>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</si>
  <si>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</si>
  <si>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</si>
  <si>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</si>
  <si>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</si>
  <si>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</si>
  <si>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</si>
  <si>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</si>
  <si>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</si>
  <si>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</si>
  <si>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</si>
  <si>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</si>
  <si>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</si>
  <si>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</si>
  <si>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</si>
  <si>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</si>
  <si>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</si>
  <si>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</si>
  <si>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</si>
  <si>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</si>
  <si>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</si>
  <si>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</si>
  <si>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</si>
  <si>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</si>
  <si>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</si>
  <si>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</si>
  <si>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</si>
  <si>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</si>
  <si>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</si>
  <si>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</si>
  <si>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</si>
  <si>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</si>
  <si>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</si>
  <si>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</si>
  <si>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</si>
  <si>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</si>
  <si>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</si>
  <si>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</si>
  <si>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</si>
  <si>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</si>
  <si>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</si>
  <si>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</si>
  <si>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</si>
  <si>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</si>
  <si>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</si>
  <si>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</si>
  <si>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</si>
  <si>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</si>
  <si>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</si>
  <si>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</si>
  <si>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</si>
  <si>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</si>
  <si>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</si>
  <si>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</si>
  <si>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</si>
  <si>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</si>
  <si>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</si>
  <si>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</si>
  <si>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</si>
  <si>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</si>
  <si>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</si>
  <si>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</si>
  <si>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</si>
  <si>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</si>
  <si>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</si>
  <si>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</si>
  <si>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</si>
  <si>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</si>
  <si>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</si>
  <si>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</si>
  <si>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</si>
  <si>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</si>
  <si>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</si>
  <si>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</si>
  <si>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</si>
  <si>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</si>
  <si>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</si>
  <si>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</si>
  <si>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</si>
  <si>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</si>
  <si>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</si>
  <si>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</si>
  <si>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</si>
  <si>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</si>
  <si>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</si>
  <si>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</si>
  <si>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</si>
  <si>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</si>
  <si>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</si>
  <si>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</si>
  <si>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</si>
  <si>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</si>
  <si>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</si>
  <si>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</si>
  <si>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</si>
  <si>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</si>
  <si>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</si>
  <si>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</si>
  <si>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</si>
  <si>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</si>
  <si>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</si>
  <si>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</si>
  <si>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</si>
  <si>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</si>
  <si>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</si>
  <si>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</si>
  <si>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</si>
  <si>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</si>
  <si>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</si>
  <si>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</si>
  <si>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</si>
  <si>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</si>
  <si>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</si>
  <si>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</si>
  <si>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</si>
  <si>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</si>
  <si>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</si>
  <si>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</si>
  <si>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</si>
  <si>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</si>
  <si>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</si>
  <si>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</si>
  <si>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</si>
  <si>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</si>
  <si>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</si>
  <si>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</si>
  <si>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</si>
  <si>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</si>
  <si>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</si>
  <si>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</si>
  <si>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</si>
  <si>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</si>
  <si>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</si>
  <si>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</si>
  <si>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</si>
  <si>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</si>
  <si>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</si>
  <si>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</si>
  <si>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</si>
  <si>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</si>
  <si>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</si>
  <si>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</si>
  <si>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</si>
  <si>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</si>
  <si>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</si>
  <si>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</si>
  <si>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</si>
  <si>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</si>
  <si>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</si>
  <si>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</si>
  <si>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</si>
  <si>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</si>
  <si>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</si>
  <si>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</si>
  <si>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</si>
  <si>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</si>
  <si>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</si>
  <si>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</si>
  <si>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</si>
  <si>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</si>
  <si>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</si>
  <si>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</si>
  <si>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</si>
  <si>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</si>
  <si>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</si>
  <si>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</si>
  <si>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</si>
  <si>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</si>
  <si>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</si>
  <si>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</si>
  <si>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</si>
  <si>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</si>
  <si>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</si>
  <si>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</si>
  <si>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</si>
  <si>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</si>
  <si>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</si>
  <si>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</si>
  <si>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</si>
  <si>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</si>
  <si>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</si>
  <si>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</si>
  <si>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</si>
  <si>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</si>
  <si>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</si>
  <si>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</si>
  <si>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</si>
  <si>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</si>
  <si>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</si>
  <si>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</si>
  <si>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</si>
  <si>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</si>
  <si>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</si>
  <si>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</si>
  <si>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</si>
  <si>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</si>
  <si>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</si>
  <si>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</si>
  <si>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</si>
  <si>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</si>
  <si>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</si>
  <si>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</si>
  <si>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</si>
  <si>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</si>
  <si>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</si>
  <si>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</si>
  <si>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</si>
  <si>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</si>
  <si>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</si>
  <si>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</si>
  <si>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</si>
  <si>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</si>
  <si>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</si>
  <si>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</si>
  <si>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</si>
  <si>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</si>
  <si>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</si>
  <si>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</si>
  <si>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</si>
  <si>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</si>
  <si>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</si>
  <si>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</si>
  <si>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</si>
  <si>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</si>
  <si>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</si>
  <si>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</si>
  <si>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</si>
  <si>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</si>
  <si>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</si>
  <si>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</si>
  <si>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</si>
  <si>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</si>
  <si>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</si>
  <si>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</si>
  <si>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</si>
  <si>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</si>
  <si>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</si>
  <si>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</si>
  <si>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</si>
  <si>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</si>
  <si>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</si>
  <si>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</si>
  <si>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</si>
  <si>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</si>
  <si>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</si>
  <si>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</si>
  <si>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</si>
  <si>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</si>
  <si>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</si>
  <si>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</si>
  <si>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</si>
  <si>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</si>
  <si>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</si>
  <si>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</si>
  <si>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</si>
  <si>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</si>
  <si>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</si>
  <si>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</si>
  <si>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</si>
  <si>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</si>
  <si>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</si>
  <si>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</si>
  <si>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</si>
  <si>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</si>
  <si>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</si>
  <si>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</si>
  <si>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</si>
  <si>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</si>
  <si>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</si>
  <si>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</si>
  <si>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</si>
  <si>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</si>
  <si>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</si>
  <si>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</si>
  <si>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</si>
  <si>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</si>
  <si>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</si>
  <si>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</si>
  <si>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</si>
  <si>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</si>
  <si>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</si>
  <si>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</si>
  <si>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</si>
  <si>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</si>
  <si>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</si>
  <si>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</si>
  <si>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</si>
  <si>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</si>
  <si>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</si>
  <si>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</si>
  <si>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</si>
  <si>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</si>
  <si>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</si>
  <si>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</si>
  <si>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</si>
  <si>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</si>
  <si>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</si>
  <si>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</si>
  <si>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</si>
  <si>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</si>
  <si>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</si>
  <si>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</si>
  <si>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</si>
  <si>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</si>
  <si>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</si>
  <si>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</si>
  <si>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</si>
  <si>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</si>
  <si>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</si>
  <si>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</si>
  <si>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</si>
  <si>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</si>
  <si>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</si>
  <si>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</si>
  <si>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</si>
  <si>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</si>
  <si>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</si>
  <si>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</si>
  <si>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</si>
  <si>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</si>
  <si>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</si>
  <si>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</si>
  <si>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</si>
  <si>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</si>
  <si>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</si>
  <si>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</si>
  <si>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</si>
  <si>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</si>
  <si>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</si>
  <si>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</si>
  <si>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</si>
  <si>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</si>
  <si>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</si>
  <si>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</si>
  <si>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</si>
  <si>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</si>
  <si>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</si>
  <si>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</si>
  <si>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</si>
  <si>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</si>
  <si>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</si>
  <si>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</si>
  <si>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</si>
  <si>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</si>
  <si>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</si>
  <si>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</si>
  <si>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</si>
  <si>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</si>
  <si>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</si>
  <si>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</si>
  <si>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</si>
  <si>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</si>
  <si>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</si>
  <si>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</si>
  <si>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</si>
  <si>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</si>
  <si>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</si>
  <si>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</si>
  <si>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</si>
  <si>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</si>
  <si>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</si>
  <si>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</si>
  <si>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</si>
  <si>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</si>
  <si>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</si>
  <si>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</si>
  <si>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</si>
  <si>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</si>
  <si>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</si>
  <si>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</si>
  <si>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</si>
  <si>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</si>
  <si>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</si>
  <si>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</si>
  <si>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</si>
  <si>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</si>
  <si>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</si>
  <si>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</si>
  <si>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</si>
  <si>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</si>
  <si>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</si>
  <si>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</si>
  <si>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</si>
  <si>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</si>
  <si>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</si>
  <si>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</si>
  <si>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</si>
  <si>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</si>
  <si>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</si>
  <si>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</si>
  <si>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</si>
  <si>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</si>
  <si>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</si>
  <si>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</si>
  <si>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</si>
  <si>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</si>
  <si>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</si>
  <si>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</si>
  <si>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</si>
  <si>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</si>
  <si>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</si>
  <si>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</si>
  <si>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</si>
  <si>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</si>
  <si>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</si>
  <si>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</si>
  <si>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</si>
  <si>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</si>
  <si>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</si>
  <si>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</si>
  <si>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</si>
  <si>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</si>
  <si>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</si>
  <si>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</si>
  <si>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</si>
  <si>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</si>
  <si>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</si>
  <si>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</si>
  <si>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</si>
  <si>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</si>
  <si>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</si>
  <si>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</si>
  <si>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</si>
  <si>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</si>
  <si>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</si>
  <si>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</si>
  <si>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</si>
  <si>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</si>
  <si>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</si>
  <si>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</si>
  <si>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</si>
  <si>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</si>
  <si>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</si>
  <si>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</si>
  <si>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</si>
  <si>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</si>
  <si>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</si>
  <si>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</si>
  <si>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</si>
  <si>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</si>
  <si>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</si>
  <si>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</si>
  <si>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</si>
  <si>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</si>
  <si>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</si>
  <si>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</si>
  <si>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</si>
  <si>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</si>
  <si>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</si>
  <si>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</si>
  <si>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</si>
  <si>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</si>
  <si>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</si>
  <si>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</si>
  <si>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</si>
  <si>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</si>
  <si>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</si>
  <si>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</si>
  <si>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</si>
  <si>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</si>
  <si>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</si>
  <si>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</si>
  <si>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</si>
  <si>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</si>
  <si>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</si>
  <si>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</si>
  <si>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</si>
  <si>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</si>
  <si>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</si>
  <si>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</si>
  <si>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</si>
  <si>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</si>
  <si>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</si>
  <si>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</si>
  <si>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</si>
  <si>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</si>
  <si>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</si>
  <si>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</si>
  <si>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</si>
  <si>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</si>
  <si>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</si>
  <si>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</si>
  <si>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</si>
  <si>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</si>
  <si>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</si>
  <si>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</si>
  <si>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</si>
  <si>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</si>
  <si>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</si>
  <si>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</si>
  <si>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</si>
  <si>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</si>
  <si>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</si>
  <si>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</si>
  <si>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</si>
  <si>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</si>
  <si>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</si>
  <si>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</si>
  <si>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</si>
  <si>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</si>
  <si>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</si>
  <si>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</si>
  <si>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</si>
  <si>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</si>
  <si>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</si>
  <si>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</si>
  <si>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</si>
  <si>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</si>
  <si>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</si>
  <si>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</si>
  <si>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</si>
  <si>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</si>
  <si>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</si>
  <si>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</si>
  <si>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</si>
  <si>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</si>
  <si>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</si>
  <si>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</si>
  <si>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</si>
  <si>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</si>
  <si>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</si>
  <si>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</si>
  <si>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</si>
  <si>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</si>
  <si>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</si>
  <si>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</si>
  <si>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</si>
  <si>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</si>
  <si>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</si>
  <si>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</si>
  <si>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</si>
  <si>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</si>
  <si>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</si>
  <si>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</si>
  <si>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</si>
  <si>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</si>
  <si>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</si>
  <si>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</si>
  <si>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</si>
  <si>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</si>
  <si>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</si>
  <si>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</si>
  <si>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</si>
  <si>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</si>
  <si>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</si>
  <si>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</si>
  <si>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</si>
  <si>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</si>
  <si>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</si>
  <si>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</si>
  <si>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</si>
  <si>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</si>
  <si>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</si>
  <si>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</si>
  <si>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</si>
  <si>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</si>
  <si>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</si>
  <si>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</si>
  <si>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</si>
  <si>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</si>
  <si>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</si>
  <si>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</si>
  <si>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</si>
  <si>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</si>
  <si>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</si>
  <si>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</si>
  <si>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</si>
  <si>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</si>
  <si>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</si>
  <si>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</si>
  <si>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</si>
  <si>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</si>
  <si>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</si>
  <si>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</si>
  <si>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</si>
  <si>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</si>
  <si>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</si>
  <si>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</si>
  <si>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</si>
  <si>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</si>
  <si>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</si>
  <si>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</si>
  <si>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</si>
  <si>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</si>
  <si>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</si>
  <si>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</si>
  <si>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</si>
  <si>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</si>
  <si>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</si>
  <si>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</si>
  <si>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</si>
  <si>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</si>
  <si>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</si>
  <si>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</si>
  <si>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</si>
  <si>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</si>
  <si>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</si>
  <si>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</si>
  <si>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</si>
  <si>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</si>
  <si>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</si>
  <si>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</si>
  <si>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</si>
  <si>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</si>
  <si>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</si>
  <si>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</si>
  <si>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</si>
  <si>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</si>
  <si>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</si>
  <si>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</si>
  <si>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</si>
  <si>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</si>
  <si>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</si>
  <si>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</si>
  <si>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</si>
  <si>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</si>
  <si>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</si>
  <si>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</si>
  <si>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</si>
  <si>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</si>
  <si>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</si>
  <si>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</si>
  <si>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</si>
  <si>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</si>
  <si>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</si>
  <si>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</si>
  <si>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</si>
  <si>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</si>
  <si>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</si>
  <si>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</si>
  <si>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</si>
  <si>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</si>
  <si>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</si>
  <si>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</si>
  <si>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</si>
  <si>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</si>
  <si>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</si>
  <si>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</si>
  <si>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</si>
  <si>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</si>
  <si>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</si>
  <si>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</si>
  <si>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</si>
  <si>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</si>
  <si>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</si>
  <si>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</si>
  <si>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</si>
  <si>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</si>
  <si>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</si>
  <si>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</si>
  <si>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</si>
  <si>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</si>
  <si>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</si>
  <si>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</si>
  <si>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</si>
  <si>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</si>
  <si>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</si>
  <si>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</si>
  <si>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</si>
  <si>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</si>
  <si>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</si>
  <si>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</si>
  <si>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</si>
  <si>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</si>
  <si>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</si>
  <si>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</si>
  <si>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</si>
  <si>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</si>
  <si>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</si>
  <si>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</si>
  <si>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</si>
  <si>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</si>
  <si>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</si>
  <si>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</si>
  <si>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</si>
  <si>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</si>
  <si>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</si>
  <si>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</si>
  <si>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</si>
  <si>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</si>
  <si>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</si>
  <si>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</si>
  <si>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</si>
  <si>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</si>
  <si>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</si>
  <si>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</si>
  <si>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</si>
  <si>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</si>
  <si>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</si>
  <si>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</si>
  <si>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</si>
  <si>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</si>
  <si>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</si>
  <si>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</si>
  <si>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</si>
  <si>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</si>
  <si>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</si>
  <si>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</si>
  <si>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</si>
  <si>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</si>
  <si>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</si>
  <si>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</si>
  <si>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</si>
  <si>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</si>
  <si>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</si>
  <si>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</si>
  <si>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</si>
  <si>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</si>
  <si>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</si>
  <si>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</si>
  <si>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</si>
  <si>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</si>
  <si>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</si>
  <si>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</si>
  <si>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</si>
  <si>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</si>
  <si>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</si>
  <si>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</si>
  <si>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</si>
  <si>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</si>
  <si>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</si>
  <si>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</si>
  <si>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</si>
  <si>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</si>
  <si>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</si>
  <si>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</si>
  <si>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</si>
  <si>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</si>
  <si>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</si>
  <si>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</si>
  <si>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</si>
  <si>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</si>
  <si>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</si>
  <si>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</si>
  <si>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</si>
  <si>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</si>
  <si>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</si>
  <si>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</si>
  <si>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</si>
  <si>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</si>
  <si>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</si>
  <si>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</si>
  <si>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</si>
  <si>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</si>
  <si>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</si>
  <si>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</si>
  <si>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</si>
  <si>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</si>
  <si>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</si>
  <si>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</si>
  <si>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</si>
  <si>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</si>
  <si>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</si>
  <si>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</si>
  <si>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</si>
  <si>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</si>
  <si>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</si>
  <si>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</si>
  <si>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</si>
  <si>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</si>
  <si>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</si>
  <si>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</si>
  <si>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</si>
  <si>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</si>
  <si>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</si>
  <si>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</si>
  <si>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</si>
  <si>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</si>
  <si>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</si>
  <si>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</si>
  <si>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</si>
  <si>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</si>
  <si>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</si>
  <si>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</si>
  <si>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</si>
  <si>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</si>
  <si>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</si>
  <si>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</si>
  <si>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</si>
  <si>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</si>
  <si>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</si>
  <si>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</si>
  <si>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</si>
  <si>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</si>
  <si>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</si>
  <si>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</si>
  <si>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</si>
  <si>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</si>
  <si>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</si>
  <si>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</si>
  <si>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</si>
  <si>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</si>
  <si>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</si>
  <si>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</si>
  <si>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</si>
  <si>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</si>
  <si>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</si>
  <si>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</si>
  <si>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</si>
  <si>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</si>
  <si>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</si>
  <si>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</si>
  <si>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</si>
  <si>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</si>
  <si>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</si>
  <si>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</si>
  <si>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</si>
  <si>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</si>
  <si>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</si>
  <si>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</si>
  <si>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</si>
  <si>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</si>
  <si>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</si>
  <si>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</si>
  <si>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</si>
  <si>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</si>
  <si>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</si>
  <si>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</si>
  <si>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</si>
  <si>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</si>
  <si>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</si>
  <si>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</si>
  <si>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</si>
  <si>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</si>
  <si>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</si>
  <si>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</si>
  <si>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</si>
  <si>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</si>
  <si>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</si>
  <si>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</si>
  <si>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</si>
  <si>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</si>
  <si>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</si>
  <si>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</si>
  <si>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</si>
  <si>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</si>
  <si>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</si>
  <si>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</si>
  <si>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</si>
  <si>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</si>
  <si>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</si>
  <si>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</si>
  <si>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</si>
  <si>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</si>
  <si>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</si>
  <si>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</si>
  <si>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</si>
  <si>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</si>
  <si>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</si>
  <si>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</si>
  <si>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</si>
  <si>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</si>
  <si>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</si>
  <si>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</si>
  <si>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</si>
  <si>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</si>
  <si>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</si>
  <si>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</si>
  <si>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</si>
  <si>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</si>
  <si>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</si>
  <si>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</si>
  <si>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</si>
  <si>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</si>
  <si>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</si>
  <si>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</si>
  <si>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</si>
  <si>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</si>
  <si>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</si>
  <si>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</si>
  <si>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</si>
  <si>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</si>
  <si>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</si>
  <si>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</si>
  <si>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</si>
  <si>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</si>
  <si>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</si>
  <si>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</si>
  <si>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</si>
  <si>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</si>
  <si>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</si>
  <si>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</si>
  <si>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</si>
  <si>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</si>
  <si>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</si>
  <si>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</si>
  <si>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</si>
  <si>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</si>
  <si>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</si>
  <si>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</si>
  <si>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</si>
  <si>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</si>
  <si>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</si>
  <si>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</si>
  <si>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</si>
  <si>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</si>
  <si>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</si>
  <si>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</si>
  <si>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</si>
  <si>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</si>
  <si>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</si>
  <si>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</si>
  <si>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</si>
  <si>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</si>
  <si>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</si>
  <si>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</si>
  <si>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</si>
  <si>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</si>
  <si>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</si>
  <si>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</si>
  <si>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</si>
  <si>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</si>
  <si>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</si>
  <si>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</si>
  <si>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</si>
  <si>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</si>
  <si>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</si>
  <si>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</si>
  <si>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</si>
  <si>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</si>
  <si>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</si>
  <si>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</si>
  <si>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</si>
  <si>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</si>
  <si>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</si>
  <si>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</si>
  <si>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</si>
  <si>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</si>
  <si>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</si>
  <si>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</si>
  <si>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</si>
  <si>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</si>
  <si>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</si>
  <si>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</si>
  <si>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</si>
  <si>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</si>
  <si>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</si>
  <si>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</si>
  <si>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</si>
  <si>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</si>
  <si>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</si>
  <si>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</si>
  <si>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</si>
  <si>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</si>
  <si>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</si>
  <si>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</si>
  <si>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</si>
  <si>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</si>
  <si>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</si>
  <si>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</si>
  <si>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</si>
  <si>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</si>
  <si>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</si>
  <si>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</si>
  <si>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</si>
  <si>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</si>
  <si>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</si>
  <si>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</si>
  <si>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</si>
  <si>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</si>
  <si>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</si>
  <si>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</si>
  <si>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</si>
  <si>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</si>
  <si>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</si>
  <si>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</si>
  <si>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</si>
  <si>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</si>
  <si>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</si>
  <si>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</si>
  <si>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</si>
  <si>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</si>
  <si>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</si>
  <si>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</si>
  <si>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</si>
  <si>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</si>
  <si>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</si>
  <si>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</si>
  <si>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</si>
  <si>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</si>
  <si>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</si>
  <si>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</si>
  <si>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</si>
  <si>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</si>
  <si>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</si>
  <si>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</si>
  <si>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</si>
  <si>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</si>
  <si>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</si>
  <si>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</si>
  <si>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</si>
  <si>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</si>
  <si>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</si>
  <si>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</si>
  <si>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</si>
  <si>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</si>
  <si>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</si>
  <si>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</si>
  <si>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</si>
  <si>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</si>
  <si>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</si>
  <si>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</si>
  <si>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</si>
  <si>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</si>
  <si>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</si>
  <si>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</si>
  <si>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</si>
  <si>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</si>
  <si>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</si>
  <si>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</si>
  <si>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</si>
  <si>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</si>
  <si>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</si>
  <si>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</si>
  <si>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</si>
  <si>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</si>
  <si>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</si>
  <si>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</si>
  <si>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</si>
  <si>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</si>
  <si>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</si>
  <si>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</si>
  <si>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</si>
  <si>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</si>
  <si>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</si>
  <si>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</si>
  <si>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</si>
  <si>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</si>
  <si>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</si>
  <si>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</si>
  <si>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</si>
  <si>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</si>
  <si>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</si>
  <si>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</si>
  <si>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</si>
  <si>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</si>
  <si>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</si>
  <si>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</si>
  <si>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</si>
  <si>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</si>
  <si>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</si>
  <si>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</si>
  <si>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</si>
  <si>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</si>
  <si>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</si>
  <si>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</si>
  <si>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</si>
  <si>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</si>
  <si>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</si>
  <si>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</si>
  <si>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</si>
  <si>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</si>
  <si>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</si>
  <si>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</si>
  <si>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</si>
  <si>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</si>
  <si>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</si>
  <si>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</si>
  <si>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</si>
  <si>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</si>
  <si>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</si>
  <si>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</si>
  <si>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</si>
  <si>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</si>
  <si>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</si>
  <si>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</si>
  <si>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</si>
  <si>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</si>
  <si>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</si>
  <si>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</si>
  <si>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</si>
  <si>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</si>
  <si>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</si>
  <si>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</si>
  <si>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</si>
  <si>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</si>
  <si>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</si>
  <si>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</si>
  <si>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</si>
  <si>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</si>
  <si>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</si>
  <si>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</si>
  <si>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</si>
  <si>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</si>
  <si>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</si>
  <si>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</si>
  <si>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</si>
  <si>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</si>
  <si>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</si>
  <si>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</si>
  <si>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</si>
  <si>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</si>
  <si>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</si>
  <si>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</si>
  <si>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</si>
  <si>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</si>
  <si>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</si>
  <si>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</si>
  <si>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</si>
  <si>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</si>
  <si>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</si>
  <si>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</si>
  <si>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</si>
  <si>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</si>
  <si>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</si>
  <si>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</si>
  <si>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</si>
  <si>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</si>
  <si>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</si>
  <si>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</si>
  <si>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</si>
  <si>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</si>
  <si>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</si>
  <si>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</si>
  <si>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</si>
  <si>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</si>
  <si>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</si>
  <si>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</si>
  <si>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</si>
  <si>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</si>
  <si>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</si>
  <si>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</si>
  <si>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</si>
  <si>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</si>
  <si>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</si>
  <si>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</si>
  <si>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</si>
  <si>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</si>
  <si>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</si>
  <si>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</si>
  <si>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</si>
  <si>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</si>
  <si>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</si>
  <si>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</si>
  <si>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</si>
  <si>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</si>
  <si>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</si>
  <si>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</si>
  <si>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</si>
  <si>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</si>
  <si>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</si>
  <si>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</si>
  <si>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</si>
  <si>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</si>
  <si>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</si>
  <si>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</si>
  <si>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</si>
  <si>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</si>
  <si>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</si>
  <si>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</si>
  <si>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</si>
  <si>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</si>
  <si>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</si>
  <si>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</si>
  <si>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</si>
  <si>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</si>
  <si>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</si>
  <si>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</si>
  <si>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</si>
  <si>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</si>
  <si>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</si>
  <si>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</si>
  <si>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</si>
  <si>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</si>
  <si>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</si>
  <si>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</si>
  <si>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</si>
  <si>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</si>
  <si>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</si>
  <si>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</si>
  <si>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</si>
  <si>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</si>
  <si>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</si>
  <si>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</si>
  <si>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</si>
  <si>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</si>
  <si>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</si>
  <si>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</si>
  <si>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</si>
  <si>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</si>
  <si>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</si>
  <si>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</si>
  <si>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</si>
  <si>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</si>
  <si>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</si>
  <si>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</si>
  <si>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</si>
  <si>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</si>
  <si>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</si>
  <si>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</si>
  <si>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</si>
  <si>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</si>
  <si>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</si>
  <si>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</si>
  <si>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</si>
  <si>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</si>
  <si>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</si>
  <si>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</si>
  <si>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</si>
  <si>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</si>
  <si>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</si>
  <si>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</si>
  <si>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</si>
  <si>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</si>
  <si>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</si>
  <si>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</si>
  <si>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</si>
  <si>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</si>
  <si>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</si>
  <si>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</si>
  <si>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</si>
  <si>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</si>
  <si>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</si>
  <si>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</si>
  <si>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</si>
  <si>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</si>
  <si>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</si>
  <si>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</si>
  <si>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</si>
  <si>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</si>
  <si>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</si>
  <si>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</si>
  <si>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</si>
  <si>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</si>
  <si>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</si>
  <si>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</si>
  <si>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</si>
  <si>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</si>
  <si>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</si>
  <si>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</si>
  <si>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</si>
  <si>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</si>
  <si>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</si>
  <si>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</si>
  <si>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</si>
  <si>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</si>
  <si>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</si>
  <si>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</si>
  <si>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</si>
  <si>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</si>
  <si>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</si>
  <si>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</si>
  <si>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</si>
  <si>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</si>
  <si>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</si>
  <si>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</si>
  <si>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</si>
  <si>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</si>
  <si>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</si>
  <si>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</si>
  <si>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</si>
  <si>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</si>
  <si>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</si>
  <si>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</si>
  <si>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</si>
  <si>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</si>
  <si>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</si>
  <si>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</si>
  <si>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</si>
  <si>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</si>
  <si>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</si>
  <si>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</si>
  <si>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</si>
  <si>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</si>
  <si>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</si>
  <si>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</si>
  <si>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</si>
  <si>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</si>
  <si>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</si>
  <si>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</si>
  <si>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</si>
  <si>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</si>
  <si>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</si>
  <si>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</si>
  <si>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</si>
  <si>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</si>
  <si>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</si>
  <si>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</si>
  <si>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</si>
  <si>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</si>
  <si>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</si>
  <si>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</si>
  <si>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</si>
  <si>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</si>
  <si>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</si>
  <si>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</si>
  <si>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</si>
  <si>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</si>
  <si>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</si>
  <si>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</si>
  <si>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</si>
  <si>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</si>
  <si>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</si>
  <si>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</si>
  <si>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</si>
  <si>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</si>
  <si>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</si>
  <si>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</si>
  <si>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</si>
  <si>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</si>
  <si>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</si>
  <si>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</si>
  <si>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</si>
  <si>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</si>
  <si>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</si>
  <si>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</si>
  <si>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</si>
  <si>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</si>
  <si>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</si>
  <si>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</si>
  <si>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</si>
  <si>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</si>
  <si>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</si>
  <si>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</si>
  <si>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</si>
  <si>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</si>
  <si>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</si>
  <si>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</si>
  <si>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</si>
  <si>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</si>
  <si>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</si>
  <si>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</si>
  <si>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</si>
  <si>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</si>
  <si>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</si>
  <si>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</si>
  <si>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</si>
  <si>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</si>
  <si>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</si>
  <si>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</si>
  <si>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</si>
  <si>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</si>
  <si>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</si>
  <si>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</si>
  <si>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</si>
  <si>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</si>
  <si>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</si>
  <si>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</si>
  <si>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</si>
  <si>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</si>
  <si>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</si>
  <si>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</si>
  <si>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</si>
  <si>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</si>
  <si>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</si>
  <si>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</si>
  <si>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</si>
  <si>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</si>
  <si>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</si>
  <si>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</si>
  <si>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</si>
  <si>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</si>
  <si>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</si>
  <si>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</si>
  <si>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</si>
  <si>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</si>
  <si>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</si>
  <si>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</si>
  <si>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</si>
  <si>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</si>
  <si>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</si>
  <si>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</si>
  <si>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</si>
  <si>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</si>
  <si>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</si>
  <si>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</si>
  <si>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</si>
  <si>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</si>
  <si>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</si>
  <si>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</si>
  <si>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</si>
  <si>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</si>
  <si>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</si>
  <si>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</si>
  <si>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</si>
  <si>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</si>
  <si>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</si>
  <si>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</si>
  <si>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</si>
  <si>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</si>
  <si>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</si>
  <si>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</si>
  <si>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</si>
  <si>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</si>
  <si>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</si>
  <si>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</si>
  <si>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</si>
  <si>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</si>
  <si>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</si>
  <si>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</si>
  <si>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</si>
  <si>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</si>
  <si>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</si>
  <si>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</si>
  <si>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</si>
  <si>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</si>
  <si>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</si>
  <si>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</si>
  <si>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</si>
  <si>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</si>
  <si>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</si>
  <si>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</si>
  <si>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</si>
  <si>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</si>
  <si>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</si>
  <si>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</si>
  <si>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</si>
  <si>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</si>
  <si>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</si>
  <si>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</si>
  <si>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</si>
  <si>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</si>
  <si>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</si>
  <si>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</si>
  <si>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</si>
  <si>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</si>
  <si>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</si>
  <si>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</si>
  <si>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</si>
  <si>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</si>
  <si>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</si>
  <si>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</si>
  <si>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</si>
  <si>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</si>
  <si>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</si>
  <si>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</si>
  <si>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</si>
  <si>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</si>
  <si>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</si>
  <si>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</si>
  <si>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</si>
  <si>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</si>
  <si>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</si>
  <si>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</si>
  <si>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</si>
  <si>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</si>
  <si>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</si>
  <si>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</si>
  <si>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</si>
  <si>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</si>
  <si>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</si>
  <si>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</si>
  <si>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</si>
  <si>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</si>
  <si>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</si>
  <si>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</si>
  <si>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</si>
  <si>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</si>
  <si>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</si>
  <si>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</si>
  <si>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</si>
  <si>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</si>
  <si>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</si>
  <si>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</si>
  <si>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</si>
  <si>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</si>
  <si>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</si>
  <si>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</si>
  <si>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</si>
  <si>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</si>
  <si>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</si>
  <si>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</si>
  <si>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</si>
  <si>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</si>
  <si>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</si>
  <si>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</si>
  <si>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</si>
  <si>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</si>
  <si>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</si>
  <si>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</si>
  <si>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</si>
  <si>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</si>
  <si>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</si>
  <si>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</si>
  <si>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</si>
  <si>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</si>
  <si>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</si>
  <si>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</si>
  <si>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</si>
  <si>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</si>
  <si>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</si>
  <si>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</si>
  <si>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</si>
  <si>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</si>
  <si>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</si>
  <si>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</si>
  <si>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</si>
  <si>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</si>
  <si>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</si>
  <si>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</si>
  <si>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</si>
  <si>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</si>
  <si>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</si>
  <si>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</si>
  <si>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</si>
  <si>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</si>
  <si>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</si>
  <si>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</si>
  <si>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</si>
  <si>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</si>
  <si>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</si>
  <si>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</si>
  <si>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</si>
  <si>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</si>
  <si>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</si>
  <si>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</si>
  <si>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</si>
  <si>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</si>
  <si>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</si>
  <si>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</si>
  <si>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</si>
  <si>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</si>
  <si>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</si>
  <si>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</si>
  <si>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</si>
  <si>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</si>
  <si>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</si>
  <si>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</si>
  <si>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</si>
  <si>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</si>
  <si>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</si>
  <si>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</si>
  <si>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</si>
  <si>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</si>
  <si>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</si>
  <si>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</si>
  <si>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</si>
  <si>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</si>
  <si>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</si>
  <si>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</si>
  <si>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</si>
  <si>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</si>
  <si>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</si>
  <si>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</si>
  <si>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</si>
  <si>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</si>
  <si>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</si>
  <si>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</si>
  <si>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</si>
  <si>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</si>
  <si>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</si>
  <si>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</si>
  <si>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</si>
  <si>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</si>
  <si>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</si>
  <si>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</si>
  <si>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</si>
  <si>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</si>
  <si>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</si>
  <si>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</si>
  <si>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</si>
  <si>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</si>
  <si>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</si>
  <si>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</si>
  <si>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</si>
  <si>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</si>
  <si>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</si>
  <si>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</si>
  <si>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</si>
  <si>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</si>
  <si>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</si>
  <si>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</si>
  <si>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</si>
  <si>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</si>
  <si>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</si>
  <si>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</si>
  <si>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</si>
  <si>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</si>
  <si>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</si>
  <si>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</si>
  <si>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</si>
  <si>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</si>
  <si>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</si>
  <si>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</si>
  <si>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</si>
  <si>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</si>
  <si>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</si>
  <si>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</si>
  <si>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</si>
  <si>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</si>
  <si>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</si>
  <si>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</si>
  <si>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</si>
  <si>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</si>
  <si>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</si>
  <si>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</si>
  <si>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</si>
  <si>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</si>
  <si>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</si>
  <si>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</si>
  <si>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</si>
  <si>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</si>
  <si>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</si>
  <si>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</si>
  <si>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</si>
  <si>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</si>
  <si>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</si>
  <si>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</si>
  <si>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</si>
  <si>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</si>
  <si>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</si>
  <si>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</si>
  <si>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</si>
  <si>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</si>
  <si>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</si>
  <si>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</si>
  <si>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</si>
  <si>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</si>
  <si>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</si>
  <si>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</si>
  <si>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</si>
  <si>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</si>
  <si>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</si>
  <si>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</si>
  <si>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</si>
  <si>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</si>
  <si>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</si>
  <si>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</si>
  <si>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</si>
  <si>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</si>
  <si>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</si>
  <si>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</si>
  <si>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</si>
  <si>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</si>
  <si>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</si>
  <si>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</si>
  <si>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</si>
  <si>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</si>
  <si>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</si>
  <si>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</si>
  <si>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</si>
  <si>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</si>
  <si>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</si>
  <si>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</si>
  <si>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</si>
  <si>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</si>
  <si>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</si>
  <si>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</si>
  <si>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</si>
  <si>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</si>
  <si>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</si>
  <si>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</si>
  <si>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</si>
  <si>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</si>
  <si>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</si>
  <si>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</si>
  <si>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</si>
  <si>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</si>
  <si>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</si>
  <si>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</si>
  <si>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</si>
  <si>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</si>
  <si>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</si>
  <si>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</si>
  <si>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</si>
  <si>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</si>
  <si>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</si>
  <si>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</si>
  <si>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</si>
  <si>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</si>
  <si>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</si>
  <si>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</si>
  <si>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</si>
  <si>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</si>
  <si>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</si>
  <si>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</si>
  <si>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</si>
  <si>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</si>
  <si>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</si>
  <si>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</si>
  <si>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</si>
  <si>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</si>
  <si>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</si>
  <si>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</si>
  <si>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</si>
  <si>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</si>
  <si>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</si>
  <si>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</si>
  <si>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</si>
  <si>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</si>
  <si>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</si>
  <si>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</si>
  <si>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</si>
  <si>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</si>
  <si>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</si>
  <si>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</si>
  <si>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</si>
  <si>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</si>
  <si>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</si>
  <si>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</si>
  <si>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</si>
  <si>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</si>
  <si>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</si>
  <si>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</si>
  <si>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</si>
  <si>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</si>
  <si>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</si>
  <si>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</si>
  <si>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</si>
  <si>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</si>
  <si>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</si>
  <si>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</si>
  <si>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</si>
  <si>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</si>
  <si>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</si>
  <si>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</si>
  <si>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</si>
  <si>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</si>
  <si>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</si>
  <si>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</si>
  <si>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</si>
  <si>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</si>
  <si>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</si>
  <si>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</si>
  <si>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</si>
  <si>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</si>
  <si>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</si>
  <si>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</si>
  <si>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</si>
  <si>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</si>
  <si>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</si>
  <si>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</si>
  <si>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</si>
  <si>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</si>
  <si>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</si>
  <si>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</si>
  <si>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</si>
  <si>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</si>
  <si>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</si>
  <si>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</si>
  <si>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</si>
  <si>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</si>
  <si>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</si>
  <si>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</si>
  <si>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</si>
  <si>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</si>
  <si>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</si>
  <si>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</si>
  <si>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</si>
  <si>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</si>
  <si>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</si>
  <si>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</si>
  <si>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</si>
  <si>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</si>
  <si>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</si>
  <si>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</si>
  <si>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</si>
  <si>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</si>
  <si>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</si>
  <si>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</si>
  <si>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</si>
  <si>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</si>
  <si>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</si>
  <si>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</si>
  <si>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</si>
  <si>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</si>
  <si>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</si>
  <si>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</si>
  <si>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</si>
  <si>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</si>
  <si>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</si>
  <si>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</si>
  <si>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</si>
  <si>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</si>
  <si>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</si>
  <si>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</si>
  <si>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</si>
  <si>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</si>
  <si>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</si>
  <si>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</si>
  <si>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</si>
  <si>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</si>
  <si>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</si>
  <si>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</si>
  <si>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</si>
  <si>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</si>
  <si>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</si>
  <si>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</si>
  <si>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</si>
  <si>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</si>
  <si>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</si>
  <si>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</si>
  <si>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</si>
  <si>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</si>
  <si>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</si>
  <si>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</si>
  <si>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</si>
  <si>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</si>
  <si>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</si>
  <si>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</si>
  <si>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</si>
  <si>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</si>
  <si>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</si>
  <si>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</si>
  <si>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</si>
  <si>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</si>
  <si>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</si>
  <si>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</si>
  <si>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</si>
  <si>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</si>
  <si>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</si>
  <si>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</si>
  <si>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</si>
  <si>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</si>
  <si>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</si>
  <si>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</si>
  <si>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</si>
  <si>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</si>
  <si>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</si>
  <si>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</si>
  <si>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</si>
  <si>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</si>
  <si>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</si>
  <si>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</si>
  <si>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</si>
  <si>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</si>
  <si>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</si>
  <si>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</si>
  <si>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</si>
  <si>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</si>
  <si>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</si>
  <si>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</si>
  <si>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</si>
  <si>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</si>
  <si>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</si>
  <si>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</si>
  <si>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</si>
  <si>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</si>
  <si>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</si>
  <si>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</si>
  <si>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</si>
  <si>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</si>
  <si>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</si>
  <si>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</si>
  <si>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</si>
  <si>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</si>
  <si>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</si>
  <si>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</si>
  <si>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</si>
  <si>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</si>
  <si>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</si>
  <si>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</si>
  <si>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</si>
  <si>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</si>
  <si>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</si>
  <si>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</si>
  <si>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</si>
  <si>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</si>
  <si>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</si>
  <si>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</si>
  <si>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</si>
  <si>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</si>
  <si>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</si>
  <si>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</si>
  <si>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</si>
  <si>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</si>
  <si>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</si>
  <si>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</si>
  <si>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</si>
  <si>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</si>
  <si>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</si>
  <si>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</si>
  <si>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</si>
  <si>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</si>
  <si>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</si>
  <si>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</si>
  <si>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</si>
  <si>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</si>
  <si>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</si>
  <si>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</si>
  <si>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</si>
  <si>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</si>
  <si>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</si>
  <si>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</si>
  <si>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</si>
  <si>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</si>
  <si>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</si>
  <si>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</si>
  <si>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</si>
  <si>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</si>
  <si>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</si>
  <si>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</si>
  <si>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</si>
  <si>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</si>
  <si>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</si>
  <si>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</si>
  <si>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</si>
  <si>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</si>
  <si>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</si>
  <si>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</si>
  <si>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</si>
  <si>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</si>
  <si>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</si>
  <si>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</si>
  <si>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</si>
  <si>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</si>
  <si>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</si>
  <si>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</si>
  <si>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</si>
  <si>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</si>
  <si>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</si>
  <si>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</si>
  <si>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</si>
  <si>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</si>
  <si>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</si>
  <si>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</si>
  <si>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</si>
  <si>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</si>
  <si>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</si>
  <si>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</si>
  <si>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</si>
  <si>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</si>
  <si>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</si>
  <si>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</si>
  <si>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</si>
  <si>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</si>
  <si>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</si>
  <si>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</si>
  <si>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</si>
  <si>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</si>
  <si>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</si>
  <si>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</si>
  <si>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</si>
  <si>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</si>
  <si>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</si>
  <si>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</si>
  <si>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</si>
  <si>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</si>
  <si>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</si>
  <si>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</si>
  <si>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</si>
  <si>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</si>
  <si>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</si>
  <si>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</si>
  <si>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</si>
  <si>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</si>
  <si>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</si>
  <si>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</si>
  <si>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</si>
  <si>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</si>
  <si>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</si>
  <si>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</si>
  <si>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</si>
  <si>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</si>
  <si>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</si>
  <si>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</si>
  <si>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</si>
  <si>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</si>
  <si>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</si>
  <si>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</si>
  <si>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</si>
  <si>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</si>
  <si>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</si>
  <si>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</si>
  <si>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</si>
  <si>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</si>
  <si>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</si>
  <si>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</si>
  <si>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</si>
  <si>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</si>
  <si>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</si>
  <si>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</si>
  <si>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</si>
  <si>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</si>
  <si>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</si>
  <si>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</si>
  <si>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</si>
  <si>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</si>
  <si>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</si>
  <si>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</si>
  <si>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</si>
  <si>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</si>
  <si>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</si>
  <si>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</si>
  <si>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</si>
  <si>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</si>
  <si>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</si>
  <si>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</si>
  <si>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</si>
  <si>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</si>
  <si>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</si>
  <si>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</si>
  <si>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</si>
  <si>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</si>
  <si>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</si>
  <si>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</si>
  <si>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</si>
  <si>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</si>
  <si>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</si>
  <si>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</si>
  <si>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</si>
  <si>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</si>
  <si>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</si>
  <si>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</si>
  <si>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</si>
  <si>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</si>
  <si>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</si>
  <si>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</si>
  <si>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</si>
  <si>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</si>
  <si>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</si>
  <si>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</si>
  <si>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</si>
  <si>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</si>
  <si>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</si>
  <si>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</si>
  <si>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</si>
  <si>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</si>
  <si>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</si>
  <si>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</si>
  <si>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</si>
  <si>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</si>
  <si>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</si>
  <si>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</si>
  <si>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</si>
  <si>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</si>
  <si>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</si>
  <si>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</si>
  <si>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</si>
  <si>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</si>
  <si>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</si>
  <si>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</si>
  <si>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</si>
  <si>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</si>
  <si>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</si>
  <si>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</si>
  <si>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</si>
  <si>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</si>
  <si>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</si>
  <si>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</si>
  <si>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</si>
  <si>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</si>
  <si>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</si>
  <si>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</si>
  <si>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</si>
  <si>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</si>
  <si>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</si>
  <si>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</si>
  <si>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</si>
  <si>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</si>
  <si>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</si>
  <si>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</si>
  <si>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</si>
  <si>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</si>
  <si>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</si>
  <si>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</si>
  <si>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</si>
  <si>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</si>
  <si>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</si>
  <si>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</si>
  <si>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</si>
  <si>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</si>
  <si>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</si>
  <si>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</si>
  <si>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</si>
  <si>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</si>
  <si>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</si>
  <si>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</si>
  <si>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</si>
  <si>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</si>
  <si>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</si>
  <si>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</si>
  <si>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</si>
  <si>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</si>
  <si>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</si>
  <si>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</si>
  <si>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</si>
  <si>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</si>
  <si>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</si>
  <si>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</si>
  <si>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</si>
  <si>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</si>
  <si>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</si>
  <si>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</si>
  <si>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</si>
  <si>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</si>
  <si>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</si>
  <si>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</si>
  <si>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</si>
  <si>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</si>
  <si>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</si>
  <si>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</si>
  <si>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</si>
  <si>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</si>
  <si>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</si>
  <si>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</si>
  <si>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</si>
  <si>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</si>
  <si>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</si>
  <si>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</si>
  <si>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</si>
  <si>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</si>
  <si>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</si>
  <si>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</si>
  <si>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</si>
  <si>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</si>
  <si>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</si>
  <si>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</si>
  <si>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</si>
  <si>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</si>
  <si>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</si>
  <si>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</si>
  <si>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</si>
  <si>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</si>
  <si>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</si>
  <si>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</si>
  <si>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</si>
  <si>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</si>
  <si>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</si>
  <si>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</si>
  <si>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</si>
  <si>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</si>
  <si>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</si>
  <si>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</si>
  <si>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</si>
  <si>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</si>
  <si>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</si>
  <si>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</si>
  <si>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</si>
  <si>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</si>
  <si>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</si>
  <si>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</si>
  <si>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</si>
  <si>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</si>
  <si>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</si>
  <si>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</si>
  <si>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</si>
  <si>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</si>
  <si>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</si>
  <si>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</si>
  <si>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</si>
  <si>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</si>
  <si>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</si>
  <si>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</si>
  <si>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</si>
  <si>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</si>
  <si>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</si>
  <si>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</si>
  <si>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</si>
  <si>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</si>
  <si>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</si>
  <si>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</si>
  <si>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</si>
  <si>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</si>
  <si>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</si>
  <si>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</si>
  <si>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</si>
  <si>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</si>
  <si>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</si>
  <si>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</si>
  <si>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</si>
  <si>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</si>
  <si>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</si>
  <si>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</si>
  <si>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</si>
  <si>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</si>
  <si>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</si>
  <si>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</si>
  <si>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</si>
  <si>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</si>
  <si>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</si>
  <si>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</si>
  <si>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</si>
  <si>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</si>
  <si>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</si>
  <si>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</si>
  <si>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</si>
  <si>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</si>
  <si>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</si>
  <si>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</si>
  <si>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</si>
  <si>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</si>
  <si>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</si>
  <si>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</si>
  <si>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</si>
  <si>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</si>
  <si>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</si>
  <si>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</si>
  <si>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</si>
  <si>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</si>
  <si>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</si>
  <si>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</si>
  <si>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</si>
  <si>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</si>
  <si>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</si>
  <si>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</si>
  <si>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</si>
  <si>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</si>
  <si>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</si>
  <si>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</si>
  <si>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</si>
  <si>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</si>
  <si>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</si>
  <si>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</si>
  <si>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</si>
  <si>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</si>
  <si>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</si>
  <si>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</si>
  <si>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</si>
  <si>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</si>
  <si>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</si>
  <si>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</si>
  <si>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</si>
  <si>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</si>
  <si>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</si>
  <si>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</si>
  <si>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</si>
  <si>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</si>
  <si>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</si>
  <si>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</si>
  <si>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</si>
  <si>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</si>
  <si>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</si>
  <si>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</si>
  <si>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</si>
  <si>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</si>
  <si>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</si>
  <si>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</si>
  <si>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</si>
  <si>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</si>
  <si>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</si>
  <si>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</si>
  <si>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</si>
  <si>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</si>
  <si>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</si>
  <si>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</si>
  <si>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</si>
  <si>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</si>
  <si>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</si>
  <si>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</si>
  <si>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</si>
  <si>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</si>
  <si>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</si>
  <si>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</si>
  <si>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</si>
  <si>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</si>
  <si>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</si>
  <si>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</si>
  <si>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</si>
  <si>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</si>
  <si>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</si>
  <si>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</si>
  <si>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</si>
  <si>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</si>
  <si>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</si>
  <si>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</si>
  <si>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</si>
  <si>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</si>
  <si>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</si>
  <si>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</si>
  <si>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</si>
  <si>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</si>
  <si>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</si>
  <si>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</si>
  <si>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</si>
  <si>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</si>
  <si>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</si>
  <si>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</si>
  <si>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</si>
  <si>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</si>
  <si>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</si>
  <si>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</si>
  <si>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</si>
  <si>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</si>
  <si>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</si>
  <si>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</si>
  <si>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</si>
  <si>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</si>
  <si>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</si>
  <si>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</si>
  <si>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</si>
  <si>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</si>
  <si>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</si>
  <si>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</si>
  <si>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</si>
  <si>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</si>
  <si>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</si>
  <si>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</si>
  <si>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</si>
  <si>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</si>
  <si>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</si>
  <si>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</si>
  <si>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</si>
  <si>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</si>
  <si>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</si>
  <si>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</si>
  <si>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</si>
  <si>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</si>
  <si>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</si>
  <si>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</si>
  <si>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</si>
  <si>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</si>
  <si>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</si>
  <si>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</si>
  <si>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</si>
  <si>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</si>
  <si>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</si>
  <si>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</si>
  <si>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</si>
  <si>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</si>
  <si>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</si>
  <si>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</si>
  <si>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</si>
  <si>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</si>
  <si>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</si>
  <si>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</si>
  <si>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</si>
  <si>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</si>
  <si>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</si>
  <si>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</si>
  <si>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</si>
  <si>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</si>
  <si>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</si>
  <si>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</si>
  <si>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</si>
  <si>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</si>
  <si>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</si>
  <si>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</si>
  <si>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</si>
  <si>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</si>
  <si>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</si>
  <si>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</si>
  <si>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</si>
  <si>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</si>
  <si>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</si>
  <si>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</si>
  <si>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</si>
  <si>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</si>
  <si>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</si>
  <si>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</si>
  <si>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</si>
  <si>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</si>
  <si>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</si>
  <si>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</si>
  <si>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</si>
  <si>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</si>
  <si>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</si>
  <si>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</si>
  <si>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</si>
  <si>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</si>
  <si>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</si>
  <si>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</si>
  <si>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</si>
  <si>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</si>
  <si>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</si>
  <si>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</si>
  <si>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</si>
  <si>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</si>
  <si>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</si>
  <si>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</si>
  <si>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</si>
  <si>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</si>
  <si>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</si>
  <si>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</si>
  <si>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</si>
  <si>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</si>
  <si>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</si>
  <si>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</si>
  <si>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</si>
  <si>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</si>
  <si>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</si>
  <si>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</si>
  <si>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</si>
  <si>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</si>
  <si>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</si>
  <si>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</si>
  <si>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</si>
  <si>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</si>
  <si>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</si>
  <si>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</si>
  <si>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</si>
  <si>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</si>
  <si>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</si>
  <si>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</si>
  <si>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</si>
  <si>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</si>
  <si>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</si>
  <si>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</si>
  <si>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</si>
  <si>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</si>
  <si>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</si>
  <si>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</si>
  <si>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</si>
  <si>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</si>
  <si>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</si>
  <si>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</si>
  <si>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</si>
  <si>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</si>
  <si>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</si>
  <si>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</si>
  <si>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</si>
  <si>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</si>
  <si>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</si>
  <si>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</si>
  <si>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</si>
  <si>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</si>
  <si>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</si>
  <si>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</si>
  <si>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</si>
  <si>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</si>
  <si>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</si>
  <si>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</si>
  <si>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</si>
  <si>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</si>
  <si>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</si>
  <si>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</si>
  <si>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</si>
  <si>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</si>
  <si>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</si>
  <si>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</si>
  <si>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</si>
  <si>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</si>
  <si>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</si>
  <si>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</si>
  <si>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</si>
  <si>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</si>
  <si>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</si>
  <si>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</si>
  <si>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</si>
  <si>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</si>
  <si>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</si>
  <si>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</si>
  <si>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</si>
  <si>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</si>
  <si>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</si>
  <si>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</si>
  <si>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</si>
  <si>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</si>
  <si>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</si>
  <si>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</si>
  <si>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</si>
  <si>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</si>
  <si>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</si>
  <si>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</si>
  <si>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</si>
  <si>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</si>
  <si>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</si>
  <si>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</si>
  <si>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</si>
  <si>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</si>
  <si>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</si>
  <si>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</si>
  <si>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</si>
  <si>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</si>
  <si>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</si>
  <si>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</si>
  <si>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</si>
  <si>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</si>
  <si>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</si>
  <si>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</si>
  <si>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</si>
  <si>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</si>
  <si>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</si>
  <si>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</si>
  <si>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</si>
  <si>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</si>
  <si>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</si>
  <si>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</si>
  <si>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</si>
  <si>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</si>
  <si>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</si>
  <si>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</si>
  <si>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</si>
  <si>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</si>
  <si>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</si>
  <si>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</si>
  <si>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</si>
  <si>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</si>
  <si>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</si>
  <si>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</si>
  <si>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</si>
  <si>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</si>
  <si>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</si>
  <si>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</si>
  <si>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</si>
  <si>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</si>
  <si>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</si>
  <si>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</si>
  <si>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</si>
  <si>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</si>
  <si>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</si>
  <si>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</si>
  <si>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</si>
  <si>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</si>
  <si>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</si>
  <si>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</si>
  <si>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</si>
  <si>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</si>
  <si>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</si>
  <si>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</si>
  <si>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</si>
  <si>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</si>
  <si>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</si>
  <si>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</si>
  <si>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</si>
  <si>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</si>
  <si>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</si>
  <si>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</si>
  <si>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</si>
  <si>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</si>
  <si>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</si>
  <si>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</si>
  <si>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</si>
  <si>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</si>
  <si>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</si>
  <si>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</si>
  <si>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</si>
  <si>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</si>
  <si>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</si>
  <si>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</si>
  <si>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</si>
  <si>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</si>
  <si>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</si>
  <si>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</si>
  <si>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</si>
  <si>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</si>
  <si>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</si>
  <si>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</si>
  <si>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</si>
  <si>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</si>
  <si>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</si>
  <si>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</si>
  <si>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</si>
  <si>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</si>
  <si>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</si>
  <si>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</si>
  <si>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</si>
  <si>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</si>
  <si>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</si>
  <si>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</si>
  <si>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</si>
  <si>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</si>
  <si>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</si>
  <si>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</si>
  <si>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</si>
  <si>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</si>
  <si>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</si>
  <si>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</si>
  <si>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</si>
  <si>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</si>
  <si>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</si>
  <si>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</si>
  <si>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</si>
  <si>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</si>
  <si>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</si>
  <si>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</si>
  <si>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</si>
  <si>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</si>
  <si>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</si>
  <si>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</si>
  <si>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</si>
  <si>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</si>
  <si>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</si>
  <si>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</si>
  <si>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</si>
  <si>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</si>
  <si>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</si>
  <si>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</si>
  <si>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</si>
  <si>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</si>
  <si>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</si>
  <si>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</si>
  <si>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</si>
  <si>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</si>
  <si>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</si>
  <si>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</si>
  <si>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</si>
  <si>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</si>
  <si>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</si>
  <si>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</si>
  <si>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</si>
  <si>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</si>
  <si>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</si>
  <si>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</si>
  <si>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</si>
  <si>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</si>
  <si>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</si>
  <si>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</si>
  <si>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</si>
  <si>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</si>
  <si>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</si>
  <si>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</si>
  <si>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</si>
  <si>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</si>
  <si>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</si>
  <si>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</si>
  <si>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</si>
  <si>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</si>
  <si>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</si>
  <si>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</si>
  <si>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</si>
  <si>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</si>
  <si>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</si>
  <si>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</si>
  <si>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</si>
  <si>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</si>
  <si>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</si>
  <si>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</si>
  <si>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</si>
  <si>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</si>
  <si>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</si>
  <si>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</si>
  <si>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</si>
  <si>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</si>
  <si>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</si>
  <si>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</si>
  <si>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</si>
  <si>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</si>
  <si>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</si>
  <si>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</si>
  <si>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</si>
  <si>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</si>
  <si>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</si>
  <si>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</si>
  <si>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</si>
  <si>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</si>
  <si>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</si>
  <si>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</si>
  <si>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</si>
  <si>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</si>
  <si>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</si>
  <si>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</si>
  <si>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</si>
  <si>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</si>
  <si>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</si>
  <si>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</si>
  <si>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</si>
  <si>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</si>
  <si>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</si>
  <si>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</si>
  <si>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</si>
  <si>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</si>
  <si>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</si>
  <si>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</si>
  <si>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</si>
  <si>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</si>
  <si>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</si>
  <si>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</si>
  <si>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</si>
  <si>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</si>
  <si>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</si>
  <si>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</si>
  <si>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</si>
  <si>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</si>
  <si>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</si>
  <si>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</si>
  <si>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</si>
  <si>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</si>
  <si>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</si>
  <si>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</si>
  <si>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</si>
  <si>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</si>
  <si>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</si>
  <si>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</si>
  <si>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</si>
  <si>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</si>
  <si>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</si>
  <si>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</si>
  <si>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</si>
  <si>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</si>
  <si>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</si>
  <si>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</si>
  <si>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</si>
  <si>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</si>
  <si>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</si>
  <si>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</si>
  <si>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</si>
  <si>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</si>
  <si>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</si>
  <si>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</si>
  <si>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</si>
  <si>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</si>
  <si>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</si>
  <si>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</si>
  <si>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</si>
  <si>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</si>
  <si>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</si>
  <si>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</si>
  <si>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</si>
  <si>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</si>
  <si>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</si>
  <si>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</si>
  <si>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</si>
  <si>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</si>
  <si>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</si>
  <si>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</si>
  <si>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</si>
  <si>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</si>
  <si>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</si>
  <si>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</si>
  <si>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</si>
  <si>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</si>
  <si>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</si>
  <si>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</si>
  <si>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</si>
  <si>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</si>
  <si>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</si>
  <si>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</si>
  <si>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</si>
  <si>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</si>
  <si>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</si>
  <si>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</si>
  <si>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</si>
  <si>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</si>
  <si>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</si>
  <si>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</si>
  <si>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</si>
  <si>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</si>
  <si>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</si>
  <si>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</si>
  <si>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</si>
  <si>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</si>
  <si>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</si>
  <si>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</si>
  <si>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</si>
  <si>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</si>
  <si>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</si>
  <si>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</si>
  <si>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</si>
  <si>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</si>
  <si>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</si>
  <si>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</si>
  <si>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</si>
  <si>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</si>
  <si>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</si>
  <si>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</si>
  <si>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</si>
  <si>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</si>
  <si>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</si>
  <si>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</si>
  <si>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</si>
  <si>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</si>
  <si>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</si>
  <si>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</si>
  <si>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</si>
  <si>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</si>
  <si>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</si>
  <si>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</si>
  <si>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</si>
  <si>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</si>
  <si>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</si>
  <si>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</si>
  <si>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</si>
  <si>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</si>
  <si>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</si>
  <si>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</si>
  <si>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</si>
  <si>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</si>
  <si>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</si>
  <si>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</si>
  <si>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</si>
  <si>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</si>
  <si>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</si>
  <si>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</si>
  <si>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</si>
  <si>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</si>
  <si>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</si>
  <si>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</si>
  <si>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</si>
  <si>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</si>
  <si>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</si>
  <si>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</si>
  <si>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</si>
  <si>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</si>
  <si>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</si>
  <si>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</si>
  <si>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</si>
  <si>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</si>
  <si>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</si>
  <si>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</si>
  <si>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</si>
  <si>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</si>
  <si>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</si>
  <si>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</si>
  <si>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</si>
  <si>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</si>
  <si>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</si>
  <si>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</si>
  <si>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</si>
  <si>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</si>
  <si>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</si>
  <si>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</si>
  <si>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</si>
  <si>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</si>
  <si>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</si>
  <si>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</si>
  <si>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</si>
  <si>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</si>
  <si>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</si>
  <si>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</si>
  <si>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</si>
  <si>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</si>
  <si>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</si>
  <si>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</si>
  <si>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</si>
  <si>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</si>
  <si>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</si>
  <si>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</si>
  <si>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</si>
  <si>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</si>
  <si>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</si>
  <si>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</si>
  <si>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</si>
  <si>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</si>
  <si>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</si>
  <si>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</si>
  <si>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</si>
  <si>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</si>
  <si>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</si>
  <si>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</si>
  <si>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</si>
  <si>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</si>
  <si>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</si>
  <si>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</si>
  <si>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</si>
  <si>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</si>
  <si>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</si>
  <si>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</si>
  <si>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</si>
  <si>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</si>
  <si>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</si>
  <si>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</si>
  <si>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</si>
  <si>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</si>
  <si>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</si>
  <si>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</si>
  <si>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</si>
  <si>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</si>
  <si>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</si>
  <si>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</si>
  <si>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</si>
  <si>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</si>
  <si>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</si>
  <si>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</si>
  <si>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</si>
  <si>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</si>
  <si>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</si>
  <si>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</si>
  <si>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</si>
  <si>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</si>
  <si>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</si>
  <si>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</si>
  <si>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</si>
  <si>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</si>
  <si>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</si>
  <si>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</si>
  <si>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</si>
  <si>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</si>
  <si>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</si>
  <si>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</si>
  <si>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</si>
  <si>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</si>
  <si>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</si>
  <si>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</si>
  <si>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</si>
  <si>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</si>
  <si>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</si>
  <si>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</si>
  <si>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</si>
  <si>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</si>
  <si>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</si>
  <si>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</si>
  <si>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</si>
  <si>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</si>
  <si>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</si>
  <si>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</si>
  <si>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</si>
  <si>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</si>
  <si>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</si>
  <si>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</si>
  <si>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</si>
  <si>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</si>
  <si>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</si>
  <si>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</si>
  <si>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</si>
  <si>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</si>
  <si>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</si>
  <si>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</si>
  <si>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</si>
  <si>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</si>
  <si>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</si>
  <si>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</si>
  <si>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</si>
  <si>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</si>
  <si>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</si>
  <si>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</si>
  <si>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</si>
  <si>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</si>
  <si>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</si>
  <si>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</si>
  <si>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</si>
  <si>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</si>
  <si>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</si>
  <si>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</si>
  <si>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</si>
  <si>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</si>
  <si>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</si>
  <si>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</si>
  <si>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</si>
  <si>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</si>
  <si>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</si>
  <si>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</si>
  <si>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</si>
  <si>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</si>
  <si>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Column16377</t>
  </si>
  <si>
    <t>Column16378</t>
  </si>
  <si>
    <t>Column16379</t>
  </si>
  <si>
    <t xml:space="preserve">Source row count </t>
  </si>
  <si>
    <t>Negative reviews values</t>
  </si>
  <si>
    <t>Converted to absolute values</t>
  </si>
  <si>
    <t>Review count canot give negative</t>
  </si>
  <si>
    <t>Source column count</t>
  </si>
  <si>
    <t>Blank Review values</t>
  </si>
  <si>
    <t>Retain as missing</t>
  </si>
  <si>
    <t>Missed values should not automatically be treated as  zero</t>
  </si>
  <si>
    <t>Blank product values</t>
  </si>
  <si>
    <t>Blank rating values</t>
  </si>
  <si>
    <t>Missing rates should not be fabricated</t>
  </si>
  <si>
    <t>Blank Current price values</t>
  </si>
  <si>
    <t xml:space="preserve">Duplicate records </t>
  </si>
  <si>
    <t>Remove value</t>
  </si>
  <si>
    <t>Prevent s duplicate products from inflating reslts</t>
  </si>
  <si>
    <t>Blank old price values</t>
  </si>
  <si>
    <t>Price range</t>
  </si>
  <si>
    <t>Standardize/investigate</t>
  </si>
  <si>
    <t>A range cannot directly be used as one numeric price</t>
  </si>
  <si>
    <t>Blank Discount values</t>
  </si>
  <si>
    <t>Blank Ratingd values</t>
  </si>
  <si>
    <t>Dulpicate rows</t>
  </si>
  <si>
    <t>Nonnumeric current price values</t>
  </si>
  <si>
    <t>Nonnumeric Old price values</t>
  </si>
  <si>
    <t>Nonumeric Discount value</t>
  </si>
  <si>
    <t>Nonumeric Review values</t>
  </si>
  <si>
    <t>Nonnumeric Ratingd values</t>
  </si>
  <si>
    <t>Rating outside 0-5</t>
  </si>
  <si>
    <t>Discounts outside 0-100</t>
  </si>
  <si>
    <t>Negative reviews count</t>
  </si>
  <si>
    <t>Current price &gt;Old price</t>
  </si>
  <si>
    <t>AmbiguousCurrent price values</t>
  </si>
  <si>
    <t>Ambigous Old price values</t>
  </si>
  <si>
    <t>KPI</t>
  </si>
  <si>
    <t>Value</t>
  </si>
  <si>
    <t>quartiles</t>
  </si>
  <si>
    <t>value</t>
  </si>
  <si>
    <t>Strong demand proxy</t>
  </si>
  <si>
    <t>Price marketing</t>
  </si>
  <si>
    <t>many reviews average rate</t>
  </si>
  <si>
    <t>promotion  inefficiency</t>
  </si>
  <si>
    <t>Total Products</t>
  </si>
  <si>
    <t>Price_Q1</t>
  </si>
  <si>
    <t>Average Current price</t>
  </si>
  <si>
    <t>Price_Q3</t>
  </si>
  <si>
    <t>discount vs reviews</t>
  </si>
  <si>
    <t>Average Old price</t>
  </si>
  <si>
    <t>rating vs reviews</t>
  </si>
  <si>
    <t>Average Discount Price</t>
  </si>
  <si>
    <t>current price vs rating</t>
  </si>
  <si>
    <t>Average Rating</t>
  </si>
  <si>
    <t>Total Review</t>
  </si>
  <si>
    <t>Most Expensive Price</t>
  </si>
  <si>
    <t>Leat Expensive price</t>
  </si>
  <si>
    <t>Sum of Review</t>
  </si>
  <si>
    <t>Row Labels</t>
  </si>
  <si>
    <t>Average of Rating</t>
  </si>
  <si>
    <t>Grand Total</t>
  </si>
  <si>
    <t>Count of Product</t>
  </si>
  <si>
    <t>Sum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</si>
</sst>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8"/>
      <name val="Aptos Narrow"/>
      <family val="2"/>
      <scheme val="minor"/>
    </font>
    <font>
      <sz val="10"/>
      <name val="Consolas"/>
      <family val="3"/>
    </font>
    <font>
      <sz val="10"/>
      <color theme="1"/>
      <name val="Consolas"/>
      <family val="3"/>
    </font>
    <font>
      <b/>
      <sz val="11"/>
      <color theme="1"/>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3" tint="0.49998474074526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quotePrefix="1"/>
    <xf numFmtId="0" fontId="2" fillId="0" borderId="0" xfId="0" applyFont="1"/>
    <xf numFmtId="0" fontId="3" fillId="0" borderId="0" xfId="0" applyFont="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4" fillId="3" borderId="0" xfId="0" applyFont="1" applyFill="1"/>
  </cellXfs>
  <cellStyles count="1">
    <cellStyle name="Normal" xfId="0" builtinId="0"/>
  </cellStyles>
  <dxfs count="8">
    <dxf>
      <fill>
        <patternFill patternType="solid">
          <fgColor indexed="64"/>
          <bgColor theme="3" tint="0.49998474074526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t>Total Product by Average of Rating</a:t>
            </a:r>
          </a:p>
        </c:rich>
      </c:tx>
      <c:layout>
        <c:manualLayout>
          <c:xMode val="edge"/>
          <c:yMode val="edge"/>
          <c:x val="0.45542878723152952"/>
          <c:y val="0.162935181265704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0"/>
              <c:pt idx="0">
                <c:v>40cm Gold DIY Acrylic Wall Sticker Clock</c:v>
              </c:pt>
              <c:pt idx="1">
                <c:v>Anti-Skid Absorbent Insulation Coaster  For Home Office</c:v>
              </c:pt>
              <c:pt idx="2">
                <c:v>Bedroom Simple Floor Hanging Clothes Rack Single Pole Hat Rack - White</c:v>
              </c:pt>
              <c:pt idx="3">
                <c:v>Classic Black Cat Cotton Hemp Pillow Case For Home Car</c:v>
              </c:pt>
              <c:pt idx="4">
                <c:v>DIY File Folder, Office Drawer File Holder, Pen Holder, Desktop Storage Rack</c:v>
              </c:pt>
              <c:pt idx="5">
                <c:v>Konka Healty Electric Kettle, 24-hour Heat Preservation,1.5L,800W, White</c:v>
              </c:pt>
              <c:pt idx="6">
                <c:v>LASA Aluminum Folding Truck Hand Cart - 68kg Max</c:v>
              </c:pt>
              <c:pt idx="7">
                <c:v>LASA FOLDING TABLE SERVING STAND</c:v>
              </c:pt>
              <c:pt idx="8">
                <c:v>Peacock  Throw Pillow Cushion Case For Home Car</c:v>
              </c:pt>
              <c:pt idx="9">
                <c:v>Portable Home Small Air Humidifier 3-Speed Fan - Green</c:v>
              </c:pt>
            </c:strLit>
          </c:cat>
          <c:val>
            <c:numLit>
              <c:formatCode>General</c:formatCode>
              <c:ptCount val="10"/>
              <c:pt idx="0">
                <c:v>4.8</c:v>
              </c:pt>
              <c:pt idx="1">
                <c:v>5</c:v>
              </c:pt>
              <c:pt idx="2">
                <c:v>5</c:v>
              </c:pt>
              <c:pt idx="3">
                <c:v>5</c:v>
              </c:pt>
              <c:pt idx="4">
                <c:v>5</c:v>
              </c:pt>
              <c:pt idx="5">
                <c:v>5</c:v>
              </c:pt>
              <c:pt idx="6">
                <c:v>5</c:v>
              </c:pt>
              <c:pt idx="7">
                <c:v>4.8</c:v>
              </c:pt>
              <c:pt idx="8">
                <c:v>5</c:v>
              </c:pt>
              <c:pt idx="9">
                <c:v>4.8</c:v>
              </c:pt>
            </c:numLit>
          </c:val>
          <c:extLst>
            <c:ext xmlns:c16="http://schemas.microsoft.com/office/drawing/2014/chart" uri="{C3380CC4-5D6E-409C-BE32-E72D297353CC}">
              <c16:uniqueId val="{00000000-E98F-4475-BB67-1403F8060B30}"/>
            </c:ext>
          </c:extLst>
        </c:ser>
        <c:dLbls>
          <c:showLegendKey val="0"/>
          <c:showVal val="0"/>
          <c:showCatName val="0"/>
          <c:showSerName val="0"/>
          <c:showPercent val="0"/>
          <c:showBubbleSize val="0"/>
        </c:dLbls>
        <c:gapWidth val="219"/>
        <c:overlap val="-27"/>
        <c:axId val="455385839"/>
        <c:axId val="556063583"/>
      </c:barChart>
      <c:catAx>
        <c:axId val="455385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56063583"/>
        <c:crosses val="autoZero"/>
        <c:auto val="1"/>
        <c:lblAlgn val="ctr"/>
        <c:lblOffset val="100"/>
        <c:noMultiLvlLbl val="0"/>
      </c:catAx>
      <c:valAx>
        <c:axId val="556063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55385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t>TotalProduct by Sum of Review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Lit>
          </c:cat>
          <c:val>
            <c:numLit>
              <c:formatCode>General</c:formatCode>
              <c:ptCount val="10"/>
              <c:pt idx="0">
                <c:v>39</c:v>
              </c:pt>
              <c:pt idx="1">
                <c:v>69</c:v>
              </c:pt>
              <c:pt idx="2">
                <c:v>55</c:v>
              </c:pt>
              <c:pt idx="3">
                <c:v>44</c:v>
              </c:pt>
              <c:pt idx="4">
                <c:v>20</c:v>
              </c:pt>
              <c:pt idx="5">
                <c:v>32</c:v>
              </c:pt>
              <c:pt idx="6">
                <c:v>20</c:v>
              </c:pt>
              <c:pt idx="7">
                <c:v>49</c:v>
              </c:pt>
              <c:pt idx="8">
                <c:v>24</c:v>
              </c:pt>
              <c:pt idx="9">
                <c:v>36</c:v>
              </c:pt>
            </c:numLit>
          </c:val>
          <c:extLst>
            <c:ext xmlns:c16="http://schemas.microsoft.com/office/drawing/2014/chart" uri="{C3380CC4-5D6E-409C-BE32-E72D297353CC}">
              <c16:uniqueId val="{00000000-B388-431C-B07C-B3FF631D320E}"/>
            </c:ext>
          </c:extLst>
        </c:ser>
        <c:dLbls>
          <c:showLegendKey val="0"/>
          <c:showVal val="0"/>
          <c:showCatName val="0"/>
          <c:showSerName val="0"/>
          <c:showPercent val="0"/>
          <c:showBubbleSize val="0"/>
        </c:dLbls>
        <c:gapWidth val="182"/>
        <c:axId val="455433631"/>
        <c:axId val="1506120032"/>
      </c:barChart>
      <c:catAx>
        <c:axId val="455433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06120032"/>
        <c:crosses val="autoZero"/>
        <c:auto val="1"/>
        <c:lblAlgn val="ctr"/>
        <c:lblOffset val="100"/>
        <c:noMultiLvlLbl val="0"/>
      </c:catAx>
      <c:valAx>
        <c:axId val="1506120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5543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t>Total Product by verage of Discount</a:t>
            </a:r>
          </a:p>
        </c:rich>
      </c:tx>
      <c:layout>
        <c:manualLayout>
          <c:xMode val="edge"/>
          <c:yMode val="edge"/>
          <c:x val="0.54460896685470406"/>
          <c:y val="0.1648914400342526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3PCS Single Head Knitting Crochet Sweater Needle Set</c:v>
              </c:pt>
              <c:pt idx="1">
                <c:v>5-PCS Stainless Steel Cooking Pot Set With Steamed Slices</c:v>
              </c:pt>
              <c:pt idx="2">
                <c:v>6 In 1 Bottle Can Opener Multifunctional Easy Opener</c:v>
              </c:pt>
              <c:pt idx="3">
                <c:v>Classic Black Cat Cotton Hemp Pillow Case For Home Car</c:v>
              </c:pt>
              <c:pt idx="4">
                <c:v>Creative Owl Shape Keychain Black</c:v>
              </c:pt>
              <c:pt idx="5">
                <c:v>Exfoliate And Exfoliate Face Towel - Black</c:v>
              </c:pt>
              <c:pt idx="6">
                <c:v>Intelligent  LED Body Sensor Wireless Lighting Night Light USB</c:v>
              </c:pt>
              <c:pt idx="7">
                <c:v>LASA 3 Tier Bamboo Shoe Bench Storage Shelf</c:v>
              </c:pt>
              <c:pt idx="8">
                <c:v>LASA FOLDING TABLE SERVING STAND</c:v>
              </c:pt>
              <c:pt idx="9">
                <c:v>Mythco 120COB Solar Wall Ligt With Motion Sensor And Remote Control 3 Modes</c:v>
              </c:pt>
            </c:strLit>
          </c:cat>
          <c:val>
            <c:numLit>
              <c:formatCode>General</c:formatCode>
              <c:ptCount val="10"/>
              <c:pt idx="0">
                <c:v>0.53</c:v>
              </c:pt>
              <c:pt idx="1">
                <c:v>0.55000000000000004</c:v>
              </c:pt>
              <c:pt idx="2">
                <c:v>0.64</c:v>
              </c:pt>
              <c:pt idx="3">
                <c:v>0.53</c:v>
              </c:pt>
              <c:pt idx="4">
                <c:v>0.55000000000000004</c:v>
              </c:pt>
              <c:pt idx="5">
                <c:v>0.52</c:v>
              </c:pt>
              <c:pt idx="6">
                <c:v>0.52</c:v>
              </c:pt>
              <c:pt idx="7">
                <c:v>0.54</c:v>
              </c:pt>
              <c:pt idx="8">
                <c:v>0.55000000000000004</c:v>
              </c:pt>
              <c:pt idx="9">
                <c:v>0.54</c:v>
              </c:pt>
            </c:numLit>
          </c:val>
          <c:extLst>
            <c:ext xmlns:c16="http://schemas.microsoft.com/office/drawing/2014/chart" uri="{C3380CC4-5D6E-409C-BE32-E72D297353CC}">
              <c16:uniqueId val="{00000000-0DF7-40E0-8BA0-6D71DC5553AF}"/>
            </c:ext>
          </c:extLst>
        </c:ser>
        <c:dLbls>
          <c:showLegendKey val="0"/>
          <c:showVal val="0"/>
          <c:showCatName val="0"/>
          <c:showSerName val="0"/>
          <c:showPercent val="0"/>
          <c:showBubbleSize val="0"/>
        </c:dLbls>
        <c:gapWidth val="182"/>
        <c:axId val="504228479"/>
        <c:axId val="556053503"/>
      </c:barChart>
      <c:catAx>
        <c:axId val="504228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56053503"/>
        <c:crosses val="autoZero"/>
        <c:auto val="1"/>
        <c:lblAlgn val="ctr"/>
        <c:lblOffset val="100"/>
        <c:noMultiLvlLbl val="0"/>
      </c:catAx>
      <c:valAx>
        <c:axId val="556053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0422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t>Discount vs Review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KE"/>
        </a:p>
      </c:txPr>
    </c:title>
    <c:autoTitleDeleted val="0"/>
    <c:plotArea>
      <c:layout/>
      <c:scatterChart>
        <c:scatterStyle val="lineMarker"/>
        <c:varyColors val="0"/>
        <c:ser>
          <c:idx val="0"/>
          <c:order val="0"/>
          <c:tx>
            <c:strRef>
              <c:f>cleaned!$E$1</c:f>
              <c:strCache>
                <c:ptCount val="1"/>
                <c:pt idx="0">
                  <c:v>Review</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trendlineLbl>
          </c:trendline>
          <c:xVal>
            <c:numRef>
              <c:f>cleaned!$D$2:$D$116</c:f>
              <c:numCache>
                <c:formatCode>General</c:formatCode>
                <c:ptCount val="115"/>
                <c:pt idx="0">
                  <c:v>0.49</c:v>
                </c:pt>
                <c:pt idx="1">
                  <c:v>0.24</c:v>
                </c:pt>
                <c:pt idx="2">
                  <c:v>0.35</c:v>
                </c:pt>
                <c:pt idx="3">
                  <c:v>0.49</c:v>
                </c:pt>
                <c:pt idx="4">
                  <c:v>0.34</c:v>
                </c:pt>
                <c:pt idx="5">
                  <c:v>0.41</c:v>
                </c:pt>
                <c:pt idx="6">
                  <c:v>0.27</c:v>
                </c:pt>
                <c:pt idx="7">
                  <c:v>0.25</c:v>
                </c:pt>
                <c:pt idx="8">
                  <c:v>0.3</c:v>
                </c:pt>
                <c:pt idx="9">
                  <c:v>0.27</c:v>
                </c:pt>
                <c:pt idx="10">
                  <c:v>0.45</c:v>
                </c:pt>
                <c:pt idx="11">
                  <c:v>0.22</c:v>
                </c:pt>
                <c:pt idx="12">
                  <c:v>0.09</c:v>
                </c:pt>
                <c:pt idx="13">
                  <c:v>0.52</c:v>
                </c:pt>
                <c:pt idx="14">
                  <c:v>0.47</c:v>
                </c:pt>
                <c:pt idx="15">
                  <c:v>0.23</c:v>
                </c:pt>
                <c:pt idx="16">
                  <c:v>0.53</c:v>
                </c:pt>
                <c:pt idx="17">
                  <c:v>0.32</c:v>
                </c:pt>
                <c:pt idx="18">
                  <c:v>0.55000000000000004</c:v>
                </c:pt>
                <c:pt idx="19">
                  <c:v>0.2</c:v>
                </c:pt>
                <c:pt idx="20">
                  <c:v>0.47</c:v>
                </c:pt>
                <c:pt idx="21">
                  <c:v>0.18</c:v>
                </c:pt>
                <c:pt idx="22">
                  <c:v>0.34</c:v>
                </c:pt>
                <c:pt idx="23">
                  <c:v>0.54</c:v>
                </c:pt>
                <c:pt idx="24">
                  <c:v>0.33</c:v>
                </c:pt>
                <c:pt idx="25">
                  <c:v>0.52</c:v>
                </c:pt>
                <c:pt idx="26">
                  <c:v>0.48</c:v>
                </c:pt>
                <c:pt idx="27">
                  <c:v>0.37</c:v>
                </c:pt>
                <c:pt idx="28">
                  <c:v>0.54</c:v>
                </c:pt>
                <c:pt idx="29">
                  <c:v>0.5</c:v>
                </c:pt>
                <c:pt idx="30">
                  <c:v>0.47</c:v>
                </c:pt>
                <c:pt idx="31">
                  <c:v>0.42</c:v>
                </c:pt>
                <c:pt idx="32">
                  <c:v>0.35</c:v>
                </c:pt>
                <c:pt idx="33">
                  <c:v>0.13</c:v>
                </c:pt>
                <c:pt idx="34">
                  <c:v>0.45</c:v>
                </c:pt>
                <c:pt idx="35">
                  <c:v>0.43</c:v>
                </c:pt>
                <c:pt idx="36">
                  <c:v>0.47</c:v>
                </c:pt>
                <c:pt idx="37">
                  <c:v>0.26</c:v>
                </c:pt>
                <c:pt idx="38">
                  <c:v>0.55000000000000004</c:v>
                </c:pt>
                <c:pt idx="39">
                  <c:v>0.45</c:v>
                </c:pt>
                <c:pt idx="40">
                  <c:v>0.19</c:v>
                </c:pt>
                <c:pt idx="41">
                  <c:v>0.39</c:v>
                </c:pt>
                <c:pt idx="42">
                  <c:v>0.28999999999999998</c:v>
                </c:pt>
                <c:pt idx="43">
                  <c:v>0.43</c:v>
                </c:pt>
                <c:pt idx="44">
                  <c:v>0.49</c:v>
                </c:pt>
                <c:pt idx="45">
                  <c:v>0.38</c:v>
                </c:pt>
                <c:pt idx="46">
                  <c:v>0.37</c:v>
                </c:pt>
                <c:pt idx="47">
                  <c:v>0.51</c:v>
                </c:pt>
                <c:pt idx="48">
                  <c:v>0.46</c:v>
                </c:pt>
                <c:pt idx="49">
                  <c:v>0.53</c:v>
                </c:pt>
                <c:pt idx="50">
                  <c:v>0.4</c:v>
                </c:pt>
                <c:pt idx="51">
                  <c:v>0.46</c:v>
                </c:pt>
                <c:pt idx="52">
                  <c:v>0.49</c:v>
                </c:pt>
                <c:pt idx="53">
                  <c:v>0.49</c:v>
                </c:pt>
                <c:pt idx="54">
                  <c:v>0.21</c:v>
                </c:pt>
                <c:pt idx="55">
                  <c:v>0.5</c:v>
                </c:pt>
                <c:pt idx="56">
                  <c:v>0.42</c:v>
                </c:pt>
                <c:pt idx="57">
                  <c:v>0.46</c:v>
                </c:pt>
                <c:pt idx="58">
                  <c:v>0.38</c:v>
                </c:pt>
                <c:pt idx="59">
                  <c:v>0.49</c:v>
                </c:pt>
                <c:pt idx="60">
                  <c:v>0.5</c:v>
                </c:pt>
                <c:pt idx="61">
                  <c:v>0.42</c:v>
                </c:pt>
                <c:pt idx="62">
                  <c:v>0.02</c:v>
                </c:pt>
                <c:pt idx="63">
                  <c:v>0.5</c:v>
                </c:pt>
                <c:pt idx="64">
                  <c:v>0.33</c:v>
                </c:pt>
                <c:pt idx="65">
                  <c:v>0.49</c:v>
                </c:pt>
                <c:pt idx="66">
                  <c:v>0.38</c:v>
                </c:pt>
                <c:pt idx="67">
                  <c:v>0.61</c:v>
                </c:pt>
                <c:pt idx="68">
                  <c:v>0.5</c:v>
                </c:pt>
                <c:pt idx="69">
                  <c:v>0.02</c:v>
                </c:pt>
                <c:pt idx="70">
                  <c:v>0.22</c:v>
                </c:pt>
                <c:pt idx="71">
                  <c:v>0.03</c:v>
                </c:pt>
                <c:pt idx="72">
                  <c:v>0.41</c:v>
                </c:pt>
                <c:pt idx="73">
                  <c:v>0.45</c:v>
                </c:pt>
                <c:pt idx="74">
                  <c:v>0.48</c:v>
                </c:pt>
                <c:pt idx="75">
                  <c:v>0.49</c:v>
                </c:pt>
                <c:pt idx="76">
                  <c:v>0.27</c:v>
                </c:pt>
                <c:pt idx="77">
                  <c:v>0.55000000000000004</c:v>
                </c:pt>
                <c:pt idx="78">
                  <c:v>0.47</c:v>
                </c:pt>
                <c:pt idx="79">
                  <c:v>0.43</c:v>
                </c:pt>
                <c:pt idx="80">
                  <c:v>0.04</c:v>
                </c:pt>
                <c:pt idx="81">
                  <c:v>0.49</c:v>
                </c:pt>
                <c:pt idx="82">
                  <c:v>0.36</c:v>
                </c:pt>
                <c:pt idx="83">
                  <c:v>0.02</c:v>
                </c:pt>
                <c:pt idx="84">
                  <c:v>0.49</c:v>
                </c:pt>
                <c:pt idx="85">
                  <c:v>0.14000000000000001</c:v>
                </c:pt>
                <c:pt idx="86">
                  <c:v>0.49</c:v>
                </c:pt>
                <c:pt idx="87">
                  <c:v>0.11</c:v>
                </c:pt>
                <c:pt idx="88">
                  <c:v>0.49</c:v>
                </c:pt>
                <c:pt idx="89">
                  <c:v>0.14000000000000001</c:v>
                </c:pt>
                <c:pt idx="90">
                  <c:v>0.43</c:v>
                </c:pt>
                <c:pt idx="91">
                  <c:v>0.5</c:v>
                </c:pt>
                <c:pt idx="92">
                  <c:v>0.48</c:v>
                </c:pt>
                <c:pt idx="93">
                  <c:v>0.48</c:v>
                </c:pt>
                <c:pt idx="94">
                  <c:v>0.47</c:v>
                </c:pt>
                <c:pt idx="95">
                  <c:v>0.5</c:v>
                </c:pt>
                <c:pt idx="96">
                  <c:v>0.08</c:v>
                </c:pt>
                <c:pt idx="97">
                  <c:v>0.02</c:v>
                </c:pt>
                <c:pt idx="98">
                  <c:v>0.49</c:v>
                </c:pt>
                <c:pt idx="99">
                  <c:v>0.04</c:v>
                </c:pt>
                <c:pt idx="100">
                  <c:v>0.49</c:v>
                </c:pt>
                <c:pt idx="101">
                  <c:v>0.42</c:v>
                </c:pt>
                <c:pt idx="102">
                  <c:v>0.41</c:v>
                </c:pt>
                <c:pt idx="103">
                  <c:v>0.01</c:v>
                </c:pt>
                <c:pt idx="104">
                  <c:v>0.24</c:v>
                </c:pt>
                <c:pt idx="105">
                  <c:v>0.34</c:v>
                </c:pt>
                <c:pt idx="106">
                  <c:v>0.34</c:v>
                </c:pt>
                <c:pt idx="107">
                  <c:v>0.02</c:v>
                </c:pt>
                <c:pt idx="108">
                  <c:v>0.02</c:v>
                </c:pt>
                <c:pt idx="109">
                  <c:v>0.64</c:v>
                </c:pt>
                <c:pt idx="110">
                  <c:v>0.47</c:v>
                </c:pt>
              </c:numCache>
            </c:numRef>
          </c:xVal>
          <c:yVal>
            <c:numRef>
              <c:f>cleaned!$E$2:$E$116</c:f>
              <c:numCache>
                <c:formatCode>General</c:formatCode>
                <c:ptCount val="115"/>
                <c:pt idx="0">
                  <c:v>69</c:v>
                </c:pt>
                <c:pt idx="1">
                  <c:v>55</c:v>
                </c:pt>
                <c:pt idx="2">
                  <c:v>49</c:v>
                </c:pt>
                <c:pt idx="3">
                  <c:v>44</c:v>
                </c:pt>
                <c:pt idx="4">
                  <c:v>39</c:v>
                </c:pt>
                <c:pt idx="5">
                  <c:v>36</c:v>
                </c:pt>
                <c:pt idx="6">
                  <c:v>32</c:v>
                </c:pt>
                <c:pt idx="7">
                  <c:v>24</c:v>
                </c:pt>
                <c:pt idx="8">
                  <c:v>20</c:v>
                </c:pt>
                <c:pt idx="9">
                  <c:v>20</c:v>
                </c:pt>
                <c:pt idx="10">
                  <c:v>17</c:v>
                </c:pt>
                <c:pt idx="11">
                  <c:v>16</c:v>
                </c:pt>
                <c:pt idx="12">
                  <c:v>15</c:v>
                </c:pt>
                <c:pt idx="13">
                  <c:v>15</c:v>
                </c:pt>
                <c:pt idx="14">
                  <c:v>14</c:v>
                </c:pt>
                <c:pt idx="15">
                  <c:v>14</c:v>
                </c:pt>
                <c:pt idx="16">
                  <c:v>13</c:v>
                </c:pt>
                <c:pt idx="17">
                  <c:v>13</c:v>
                </c:pt>
                <c:pt idx="18">
                  <c:v>13</c:v>
                </c:pt>
                <c:pt idx="19">
                  <c:v>12</c:v>
                </c:pt>
                <c:pt idx="20">
                  <c:v>12</c:v>
                </c:pt>
                <c:pt idx="21">
                  <c:v>12</c:v>
                </c:pt>
                <c:pt idx="22">
                  <c:v>12</c:v>
                </c:pt>
                <c:pt idx="23">
                  <c:v>10</c:v>
                </c:pt>
                <c:pt idx="24">
                  <c:v>9</c:v>
                </c:pt>
                <c:pt idx="25">
                  <c:v>9</c:v>
                </c:pt>
                <c:pt idx="26">
                  <c:v>9</c:v>
                </c:pt>
                <c:pt idx="27">
                  <c:v>7</c:v>
                </c:pt>
                <c:pt idx="28">
                  <c:v>7</c:v>
                </c:pt>
                <c:pt idx="29">
                  <c:v>7</c:v>
                </c:pt>
                <c:pt idx="30">
                  <c:v>7</c:v>
                </c:pt>
                <c:pt idx="31">
                  <c:v>6</c:v>
                </c:pt>
                <c:pt idx="32">
                  <c:v>6</c:v>
                </c:pt>
                <c:pt idx="33">
                  <c:v>6</c:v>
                </c:pt>
                <c:pt idx="34">
                  <c:v>6</c:v>
                </c:pt>
                <c:pt idx="35">
                  <c:v>6</c:v>
                </c:pt>
                <c:pt idx="36">
                  <c:v>6</c:v>
                </c:pt>
                <c:pt idx="37">
                  <c:v>5</c:v>
                </c:pt>
                <c:pt idx="38">
                  <c:v>5</c:v>
                </c:pt>
                <c:pt idx="39">
                  <c:v>5</c:v>
                </c:pt>
                <c:pt idx="40">
                  <c:v>5</c:v>
                </c:pt>
                <c:pt idx="41">
                  <c:v>5</c:v>
                </c:pt>
                <c:pt idx="42">
                  <c:v>5</c:v>
                </c:pt>
                <c:pt idx="43">
                  <c:v>5</c:v>
                </c:pt>
                <c:pt idx="44">
                  <c:v>3</c:v>
                </c:pt>
                <c:pt idx="45">
                  <c:v>2</c:v>
                </c:pt>
                <c:pt idx="46">
                  <c:v>2</c:v>
                </c:pt>
                <c:pt idx="47">
                  <c:v>2</c:v>
                </c:pt>
                <c:pt idx="48">
                  <c:v>2</c:v>
                </c:pt>
                <c:pt idx="49">
                  <c:v>2</c:v>
                </c:pt>
                <c:pt idx="50">
                  <c:v>1</c:v>
                </c:pt>
                <c:pt idx="51">
                  <c:v>1</c:v>
                </c:pt>
                <c:pt idx="52">
                  <c:v>1</c:v>
                </c:pt>
                <c:pt idx="53">
                  <c:v>1</c:v>
                </c:pt>
                <c:pt idx="54">
                  <c:v>1</c:v>
                </c:pt>
                <c:pt idx="55">
                  <c:v>1</c:v>
                </c:pt>
              </c:numCache>
            </c:numRef>
          </c:yVal>
          <c:smooth val="0"/>
          <c:extLst>
            <c:ext xmlns:c16="http://schemas.microsoft.com/office/drawing/2014/chart" uri="{C3380CC4-5D6E-409C-BE32-E72D297353CC}">
              <c16:uniqueId val="{00000003-BA03-4A1C-89B9-E8A3E42EC661}"/>
            </c:ext>
          </c:extLst>
        </c:ser>
        <c:dLbls>
          <c:showLegendKey val="0"/>
          <c:showVal val="0"/>
          <c:showCatName val="0"/>
          <c:showSerName val="0"/>
          <c:showPercent val="0"/>
          <c:showBubbleSize val="0"/>
        </c:dLbls>
        <c:axId val="866515264"/>
        <c:axId val="1568490048"/>
      </c:scatterChart>
      <c:valAx>
        <c:axId val="866515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68490048"/>
        <c:crosses val="autoZero"/>
        <c:crossBetween val="midCat"/>
      </c:valAx>
      <c:valAx>
        <c:axId val="1568490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665152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t>Review vs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KE"/>
        </a:p>
      </c:txPr>
    </c:title>
    <c:autoTitleDeleted val="0"/>
    <c:plotArea>
      <c:layout/>
      <c:scatterChart>
        <c:scatterStyle val="lineMarker"/>
        <c:varyColors val="0"/>
        <c:ser>
          <c:idx val="0"/>
          <c:order val="0"/>
          <c:tx>
            <c:strRef>
              <c:f>cleaned!$F$1</c:f>
              <c:strCache>
                <c:ptCount val="1"/>
                <c:pt idx="0">
                  <c:v>Rating</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trendlineLbl>
          </c:trendline>
          <c:xVal>
            <c:numRef>
              <c:f>cleaned!$E$2:$E$116</c:f>
              <c:numCache>
                <c:formatCode>General</c:formatCode>
                <c:ptCount val="115"/>
                <c:pt idx="0">
                  <c:v>69</c:v>
                </c:pt>
                <c:pt idx="1">
                  <c:v>55</c:v>
                </c:pt>
                <c:pt idx="2">
                  <c:v>49</c:v>
                </c:pt>
                <c:pt idx="3">
                  <c:v>44</c:v>
                </c:pt>
                <c:pt idx="4">
                  <c:v>39</c:v>
                </c:pt>
                <c:pt idx="5">
                  <c:v>36</c:v>
                </c:pt>
                <c:pt idx="6">
                  <c:v>32</c:v>
                </c:pt>
                <c:pt idx="7">
                  <c:v>24</c:v>
                </c:pt>
                <c:pt idx="8">
                  <c:v>20</c:v>
                </c:pt>
                <c:pt idx="9">
                  <c:v>20</c:v>
                </c:pt>
                <c:pt idx="10">
                  <c:v>17</c:v>
                </c:pt>
                <c:pt idx="11">
                  <c:v>16</c:v>
                </c:pt>
                <c:pt idx="12">
                  <c:v>15</c:v>
                </c:pt>
                <c:pt idx="13">
                  <c:v>15</c:v>
                </c:pt>
                <c:pt idx="14">
                  <c:v>14</c:v>
                </c:pt>
                <c:pt idx="15">
                  <c:v>14</c:v>
                </c:pt>
                <c:pt idx="16">
                  <c:v>13</c:v>
                </c:pt>
                <c:pt idx="17">
                  <c:v>13</c:v>
                </c:pt>
                <c:pt idx="18">
                  <c:v>13</c:v>
                </c:pt>
                <c:pt idx="19">
                  <c:v>12</c:v>
                </c:pt>
                <c:pt idx="20">
                  <c:v>12</c:v>
                </c:pt>
                <c:pt idx="21">
                  <c:v>12</c:v>
                </c:pt>
                <c:pt idx="22">
                  <c:v>12</c:v>
                </c:pt>
                <c:pt idx="23">
                  <c:v>10</c:v>
                </c:pt>
                <c:pt idx="24">
                  <c:v>9</c:v>
                </c:pt>
                <c:pt idx="25">
                  <c:v>9</c:v>
                </c:pt>
                <c:pt idx="26">
                  <c:v>9</c:v>
                </c:pt>
                <c:pt idx="27">
                  <c:v>7</c:v>
                </c:pt>
                <c:pt idx="28">
                  <c:v>7</c:v>
                </c:pt>
                <c:pt idx="29">
                  <c:v>7</c:v>
                </c:pt>
                <c:pt idx="30">
                  <c:v>7</c:v>
                </c:pt>
                <c:pt idx="31">
                  <c:v>6</c:v>
                </c:pt>
                <c:pt idx="32">
                  <c:v>6</c:v>
                </c:pt>
                <c:pt idx="33">
                  <c:v>6</c:v>
                </c:pt>
                <c:pt idx="34">
                  <c:v>6</c:v>
                </c:pt>
                <c:pt idx="35">
                  <c:v>6</c:v>
                </c:pt>
                <c:pt idx="36">
                  <c:v>6</c:v>
                </c:pt>
                <c:pt idx="37">
                  <c:v>5</c:v>
                </c:pt>
                <c:pt idx="38">
                  <c:v>5</c:v>
                </c:pt>
                <c:pt idx="39">
                  <c:v>5</c:v>
                </c:pt>
                <c:pt idx="40">
                  <c:v>5</c:v>
                </c:pt>
                <c:pt idx="41">
                  <c:v>5</c:v>
                </c:pt>
                <c:pt idx="42">
                  <c:v>5</c:v>
                </c:pt>
                <c:pt idx="43">
                  <c:v>5</c:v>
                </c:pt>
                <c:pt idx="44">
                  <c:v>3</c:v>
                </c:pt>
                <c:pt idx="45">
                  <c:v>2</c:v>
                </c:pt>
                <c:pt idx="46">
                  <c:v>2</c:v>
                </c:pt>
                <c:pt idx="47">
                  <c:v>2</c:v>
                </c:pt>
                <c:pt idx="48">
                  <c:v>2</c:v>
                </c:pt>
                <c:pt idx="49">
                  <c:v>2</c:v>
                </c:pt>
                <c:pt idx="50">
                  <c:v>1</c:v>
                </c:pt>
                <c:pt idx="51">
                  <c:v>1</c:v>
                </c:pt>
                <c:pt idx="52">
                  <c:v>1</c:v>
                </c:pt>
                <c:pt idx="53">
                  <c:v>1</c:v>
                </c:pt>
                <c:pt idx="54">
                  <c:v>1</c:v>
                </c:pt>
                <c:pt idx="55">
                  <c:v>1</c:v>
                </c:pt>
              </c:numCache>
            </c:numRef>
          </c:xVal>
          <c:yVal>
            <c:numRef>
              <c:f>cleaned!$F$2:$F$116</c:f>
              <c:numCache>
                <c:formatCode>General</c:formatCode>
                <c:ptCount val="115"/>
                <c:pt idx="0">
                  <c:v>2.8</c:v>
                </c:pt>
                <c:pt idx="1">
                  <c:v>4.5999999999999996</c:v>
                </c:pt>
                <c:pt idx="2">
                  <c:v>4.5999999999999996</c:v>
                </c:pt>
                <c:pt idx="3">
                  <c:v>4.5999999999999996</c:v>
                </c:pt>
                <c:pt idx="4">
                  <c:v>4.7</c:v>
                </c:pt>
                <c:pt idx="5">
                  <c:v>4.3</c:v>
                </c:pt>
                <c:pt idx="6">
                  <c:v>4.5</c:v>
                </c:pt>
                <c:pt idx="7">
                  <c:v>4.5999999999999996</c:v>
                </c:pt>
                <c:pt idx="8">
                  <c:v>4.0999999999999996</c:v>
                </c:pt>
                <c:pt idx="9">
                  <c:v>4.7</c:v>
                </c:pt>
                <c:pt idx="10">
                  <c:v>2.6</c:v>
                </c:pt>
                <c:pt idx="11">
                  <c:v>2.9</c:v>
                </c:pt>
                <c:pt idx="12">
                  <c:v>4</c:v>
                </c:pt>
                <c:pt idx="13">
                  <c:v>2.7</c:v>
                </c:pt>
                <c:pt idx="14">
                  <c:v>4.0999999999999996</c:v>
                </c:pt>
                <c:pt idx="15">
                  <c:v>4.4000000000000004</c:v>
                </c:pt>
                <c:pt idx="16">
                  <c:v>3.3</c:v>
                </c:pt>
                <c:pt idx="17">
                  <c:v>3.8</c:v>
                </c:pt>
                <c:pt idx="18">
                  <c:v>2.1</c:v>
                </c:pt>
                <c:pt idx="19">
                  <c:v>4.0999999999999996</c:v>
                </c:pt>
                <c:pt idx="20">
                  <c:v>4.8</c:v>
                </c:pt>
                <c:pt idx="21">
                  <c:v>3.8</c:v>
                </c:pt>
                <c:pt idx="22">
                  <c:v>4.7</c:v>
                </c:pt>
                <c:pt idx="23">
                  <c:v>3</c:v>
                </c:pt>
                <c:pt idx="24">
                  <c:v>4.2</c:v>
                </c:pt>
                <c:pt idx="25">
                  <c:v>4.3</c:v>
                </c:pt>
                <c:pt idx="26">
                  <c:v>4.3</c:v>
                </c:pt>
                <c:pt idx="27">
                  <c:v>4.7</c:v>
                </c:pt>
                <c:pt idx="28">
                  <c:v>4.3</c:v>
                </c:pt>
                <c:pt idx="29">
                  <c:v>2.2999999999999998</c:v>
                </c:pt>
                <c:pt idx="30">
                  <c:v>2.1</c:v>
                </c:pt>
                <c:pt idx="31">
                  <c:v>4.5</c:v>
                </c:pt>
                <c:pt idx="32">
                  <c:v>4</c:v>
                </c:pt>
                <c:pt idx="33">
                  <c:v>2.5</c:v>
                </c:pt>
                <c:pt idx="34">
                  <c:v>2.2000000000000002</c:v>
                </c:pt>
                <c:pt idx="35">
                  <c:v>2.2999999999999998</c:v>
                </c:pt>
                <c:pt idx="36">
                  <c:v>2.2000000000000002</c:v>
                </c:pt>
                <c:pt idx="37">
                  <c:v>4.8</c:v>
                </c:pt>
                <c:pt idx="38">
                  <c:v>4.8</c:v>
                </c:pt>
                <c:pt idx="39">
                  <c:v>3.8</c:v>
                </c:pt>
                <c:pt idx="40">
                  <c:v>4.5999999999999996</c:v>
                </c:pt>
                <c:pt idx="41">
                  <c:v>3</c:v>
                </c:pt>
                <c:pt idx="42">
                  <c:v>3</c:v>
                </c:pt>
                <c:pt idx="43">
                  <c:v>3</c:v>
                </c:pt>
                <c:pt idx="44">
                  <c:v>5</c:v>
                </c:pt>
                <c:pt idx="45">
                  <c:v>4.5</c:v>
                </c:pt>
                <c:pt idx="46">
                  <c:v>4</c:v>
                </c:pt>
                <c:pt idx="47">
                  <c:v>5</c:v>
                </c:pt>
                <c:pt idx="48">
                  <c:v>5</c:v>
                </c:pt>
                <c:pt idx="49">
                  <c:v>5</c:v>
                </c:pt>
                <c:pt idx="50">
                  <c:v>5</c:v>
                </c:pt>
                <c:pt idx="51">
                  <c:v>3</c:v>
                </c:pt>
                <c:pt idx="52">
                  <c:v>5</c:v>
                </c:pt>
                <c:pt idx="53">
                  <c:v>4</c:v>
                </c:pt>
                <c:pt idx="54">
                  <c:v>5</c:v>
                </c:pt>
                <c:pt idx="55">
                  <c:v>2</c:v>
                </c:pt>
              </c:numCache>
            </c:numRef>
          </c:yVal>
          <c:smooth val="0"/>
          <c:extLst>
            <c:ext xmlns:c16="http://schemas.microsoft.com/office/drawing/2014/chart" uri="{C3380CC4-5D6E-409C-BE32-E72D297353CC}">
              <c16:uniqueId val="{00000001-C3F8-465B-ABB2-3507DF4C3AC8}"/>
            </c:ext>
          </c:extLst>
        </c:ser>
        <c:dLbls>
          <c:showLegendKey val="0"/>
          <c:showVal val="0"/>
          <c:showCatName val="0"/>
          <c:showSerName val="0"/>
          <c:showPercent val="0"/>
          <c:showBubbleSize val="0"/>
        </c:dLbls>
        <c:axId val="866586256"/>
        <c:axId val="556027583"/>
      </c:scatterChart>
      <c:valAx>
        <c:axId val="866586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56027583"/>
        <c:crosses val="autoZero"/>
        <c:crossBetween val="midCat"/>
      </c:valAx>
      <c:valAx>
        <c:axId val="556027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665862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t>Current Price vs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KE"/>
        </a:p>
      </c:txPr>
    </c:title>
    <c:autoTitleDeleted val="0"/>
    <c:plotArea>
      <c:layout>
        <c:manualLayout>
          <c:layoutTarget val="inner"/>
          <c:xMode val="edge"/>
          <c:yMode val="edge"/>
          <c:x val="6.4914260717410327E-2"/>
          <c:y val="0.17171296296296298"/>
          <c:w val="0.89030796150481195"/>
          <c:h val="0.72125801983085447"/>
        </c:manualLayout>
      </c:layout>
      <c:scatterChart>
        <c:scatterStyle val="lineMarker"/>
        <c:varyColors val="0"/>
        <c:ser>
          <c:idx val="0"/>
          <c:order val="0"/>
          <c:tx>
            <c:strRef>
              <c:f>cleaned!$F$1</c:f>
              <c:strCache>
                <c:ptCount val="1"/>
                <c:pt idx="0">
                  <c:v>Rating</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trendlineLbl>
          </c:trendline>
          <c:xVal>
            <c:numRef>
              <c:f>cleaned!$B$2:$B$116</c:f>
              <c:numCache>
                <c:formatCode>General</c:formatCode>
                <c:ptCount val="115"/>
                <c:pt idx="0">
                  <c:v>445</c:v>
                </c:pt>
                <c:pt idx="1">
                  <c:v>2319</c:v>
                </c:pt>
                <c:pt idx="2">
                  <c:v>420</c:v>
                </c:pt>
                <c:pt idx="3">
                  <c:v>998</c:v>
                </c:pt>
                <c:pt idx="4">
                  <c:v>990</c:v>
                </c:pt>
                <c:pt idx="5">
                  <c:v>389</c:v>
                </c:pt>
                <c:pt idx="6">
                  <c:v>1980</c:v>
                </c:pt>
                <c:pt idx="7">
                  <c:v>2199</c:v>
                </c:pt>
                <c:pt idx="8">
                  <c:v>1758</c:v>
                </c:pt>
                <c:pt idx="9">
                  <c:v>1940</c:v>
                </c:pt>
                <c:pt idx="10">
                  <c:v>382</c:v>
                </c:pt>
                <c:pt idx="11">
                  <c:v>1220</c:v>
                </c:pt>
                <c:pt idx="12">
                  <c:v>2999</c:v>
                </c:pt>
                <c:pt idx="13">
                  <c:v>325</c:v>
                </c:pt>
                <c:pt idx="14">
                  <c:v>527</c:v>
                </c:pt>
                <c:pt idx="15">
                  <c:v>1650</c:v>
                </c:pt>
                <c:pt idx="16">
                  <c:v>38</c:v>
                </c:pt>
                <c:pt idx="17">
                  <c:v>1350</c:v>
                </c:pt>
                <c:pt idx="18">
                  <c:v>2115</c:v>
                </c:pt>
                <c:pt idx="19">
                  <c:v>799</c:v>
                </c:pt>
                <c:pt idx="20">
                  <c:v>552</c:v>
                </c:pt>
                <c:pt idx="21">
                  <c:v>2880</c:v>
                </c:pt>
                <c:pt idx="22">
                  <c:v>980</c:v>
                </c:pt>
                <c:pt idx="23">
                  <c:v>458</c:v>
                </c:pt>
                <c:pt idx="24">
                  <c:v>1680</c:v>
                </c:pt>
                <c:pt idx="25">
                  <c:v>185</c:v>
                </c:pt>
                <c:pt idx="26">
                  <c:v>1820</c:v>
                </c:pt>
                <c:pt idx="27">
                  <c:v>1580</c:v>
                </c:pt>
                <c:pt idx="28">
                  <c:v>2048</c:v>
                </c:pt>
                <c:pt idx="29">
                  <c:v>1000</c:v>
                </c:pt>
                <c:pt idx="30">
                  <c:v>1570</c:v>
                </c:pt>
                <c:pt idx="31">
                  <c:v>501</c:v>
                </c:pt>
                <c:pt idx="32">
                  <c:v>880</c:v>
                </c:pt>
                <c:pt idx="33">
                  <c:v>2170</c:v>
                </c:pt>
                <c:pt idx="34">
                  <c:v>990</c:v>
                </c:pt>
                <c:pt idx="35">
                  <c:v>345</c:v>
                </c:pt>
                <c:pt idx="36">
                  <c:v>968</c:v>
                </c:pt>
                <c:pt idx="37">
                  <c:v>1740</c:v>
                </c:pt>
                <c:pt idx="38">
                  <c:v>1274</c:v>
                </c:pt>
                <c:pt idx="39">
                  <c:v>1600</c:v>
                </c:pt>
                <c:pt idx="40">
                  <c:v>2999</c:v>
                </c:pt>
                <c:pt idx="41">
                  <c:v>3750</c:v>
                </c:pt>
                <c:pt idx="42">
                  <c:v>2300</c:v>
                </c:pt>
                <c:pt idx="43">
                  <c:v>509</c:v>
                </c:pt>
                <c:pt idx="44">
                  <c:v>2025</c:v>
                </c:pt>
                <c:pt idx="45">
                  <c:v>950</c:v>
                </c:pt>
                <c:pt idx="46">
                  <c:v>988</c:v>
                </c:pt>
                <c:pt idx="47">
                  <c:v>332</c:v>
                </c:pt>
                <c:pt idx="48">
                  <c:v>195</c:v>
                </c:pt>
                <c:pt idx="49">
                  <c:v>171</c:v>
                </c:pt>
                <c:pt idx="50">
                  <c:v>1620</c:v>
                </c:pt>
                <c:pt idx="51">
                  <c:v>1189</c:v>
                </c:pt>
                <c:pt idx="52">
                  <c:v>979</c:v>
                </c:pt>
                <c:pt idx="53">
                  <c:v>330</c:v>
                </c:pt>
                <c:pt idx="54">
                  <c:v>3640</c:v>
                </c:pt>
                <c:pt idx="55">
                  <c:v>450</c:v>
                </c:pt>
                <c:pt idx="56">
                  <c:v>1860</c:v>
                </c:pt>
                <c:pt idx="57">
                  <c:v>2200</c:v>
                </c:pt>
                <c:pt idx="58">
                  <c:v>2750</c:v>
                </c:pt>
                <c:pt idx="59">
                  <c:v>475</c:v>
                </c:pt>
                <c:pt idx="60">
                  <c:v>238</c:v>
                </c:pt>
                <c:pt idx="61">
                  <c:v>610</c:v>
                </c:pt>
                <c:pt idx="62">
                  <c:v>2132</c:v>
                </c:pt>
                <c:pt idx="63">
                  <c:v>999</c:v>
                </c:pt>
                <c:pt idx="64">
                  <c:v>1190</c:v>
                </c:pt>
                <c:pt idx="65">
                  <c:v>671</c:v>
                </c:pt>
                <c:pt idx="66">
                  <c:v>1200</c:v>
                </c:pt>
                <c:pt idx="67">
                  <c:v>199</c:v>
                </c:pt>
                <c:pt idx="68">
                  <c:v>299</c:v>
                </c:pt>
                <c:pt idx="69">
                  <c:v>1660</c:v>
                </c:pt>
                <c:pt idx="70">
                  <c:v>299</c:v>
                </c:pt>
                <c:pt idx="71">
                  <c:v>1459</c:v>
                </c:pt>
                <c:pt idx="72">
                  <c:v>799</c:v>
                </c:pt>
                <c:pt idx="73">
                  <c:v>499</c:v>
                </c:pt>
                <c:pt idx="74">
                  <c:v>699</c:v>
                </c:pt>
                <c:pt idx="75">
                  <c:v>799</c:v>
                </c:pt>
                <c:pt idx="76">
                  <c:v>2799</c:v>
                </c:pt>
                <c:pt idx="77">
                  <c:v>399</c:v>
                </c:pt>
                <c:pt idx="78">
                  <c:v>790</c:v>
                </c:pt>
                <c:pt idx="79">
                  <c:v>690</c:v>
                </c:pt>
                <c:pt idx="80">
                  <c:v>1732</c:v>
                </c:pt>
                <c:pt idx="81">
                  <c:v>230</c:v>
                </c:pt>
                <c:pt idx="82">
                  <c:v>1460</c:v>
                </c:pt>
                <c:pt idx="83">
                  <c:v>1666</c:v>
                </c:pt>
                <c:pt idx="84">
                  <c:v>176</c:v>
                </c:pt>
                <c:pt idx="85">
                  <c:v>1466</c:v>
                </c:pt>
                <c:pt idx="86">
                  <c:v>274</c:v>
                </c:pt>
                <c:pt idx="87">
                  <c:v>799</c:v>
                </c:pt>
                <c:pt idx="88">
                  <c:v>657</c:v>
                </c:pt>
                <c:pt idx="89">
                  <c:v>1468</c:v>
                </c:pt>
                <c:pt idx="90">
                  <c:v>630</c:v>
                </c:pt>
                <c:pt idx="91">
                  <c:v>850</c:v>
                </c:pt>
                <c:pt idx="92">
                  <c:v>1300</c:v>
                </c:pt>
                <c:pt idx="93">
                  <c:v>105</c:v>
                </c:pt>
                <c:pt idx="94">
                  <c:v>899</c:v>
                </c:pt>
                <c:pt idx="95">
                  <c:v>1200</c:v>
                </c:pt>
                <c:pt idx="96">
                  <c:v>1526</c:v>
                </c:pt>
                <c:pt idx="97">
                  <c:v>1462</c:v>
                </c:pt>
                <c:pt idx="98">
                  <c:v>248</c:v>
                </c:pt>
                <c:pt idx="99">
                  <c:v>3546</c:v>
                </c:pt>
                <c:pt idx="100">
                  <c:v>525</c:v>
                </c:pt>
                <c:pt idx="101">
                  <c:v>1080</c:v>
                </c:pt>
                <c:pt idx="102">
                  <c:v>1420</c:v>
                </c:pt>
                <c:pt idx="103">
                  <c:v>1875</c:v>
                </c:pt>
                <c:pt idx="104">
                  <c:v>198</c:v>
                </c:pt>
                <c:pt idx="105">
                  <c:v>1150</c:v>
                </c:pt>
                <c:pt idx="106">
                  <c:v>1190</c:v>
                </c:pt>
                <c:pt idx="107">
                  <c:v>1658</c:v>
                </c:pt>
                <c:pt idx="108">
                  <c:v>1768</c:v>
                </c:pt>
                <c:pt idx="109">
                  <c:v>199</c:v>
                </c:pt>
                <c:pt idx="110">
                  <c:v>169</c:v>
                </c:pt>
              </c:numCache>
            </c:numRef>
          </c:xVal>
          <c:yVal>
            <c:numRef>
              <c:f>cleaned!$F$2:$F$116</c:f>
              <c:numCache>
                <c:formatCode>General</c:formatCode>
                <c:ptCount val="115"/>
                <c:pt idx="0">
                  <c:v>2.8</c:v>
                </c:pt>
                <c:pt idx="1">
                  <c:v>4.5999999999999996</c:v>
                </c:pt>
                <c:pt idx="2">
                  <c:v>4.5999999999999996</c:v>
                </c:pt>
                <c:pt idx="3">
                  <c:v>4.5999999999999996</c:v>
                </c:pt>
                <c:pt idx="4">
                  <c:v>4.7</c:v>
                </c:pt>
                <c:pt idx="5">
                  <c:v>4.3</c:v>
                </c:pt>
                <c:pt idx="6">
                  <c:v>4.5</c:v>
                </c:pt>
                <c:pt idx="7">
                  <c:v>4.5999999999999996</c:v>
                </c:pt>
                <c:pt idx="8">
                  <c:v>4.0999999999999996</c:v>
                </c:pt>
                <c:pt idx="9">
                  <c:v>4.7</c:v>
                </c:pt>
                <c:pt idx="10">
                  <c:v>2.6</c:v>
                </c:pt>
                <c:pt idx="11">
                  <c:v>2.9</c:v>
                </c:pt>
                <c:pt idx="12">
                  <c:v>4</c:v>
                </c:pt>
                <c:pt idx="13">
                  <c:v>2.7</c:v>
                </c:pt>
                <c:pt idx="14">
                  <c:v>4.0999999999999996</c:v>
                </c:pt>
                <c:pt idx="15">
                  <c:v>4.4000000000000004</c:v>
                </c:pt>
                <c:pt idx="16">
                  <c:v>3.3</c:v>
                </c:pt>
                <c:pt idx="17">
                  <c:v>3.8</c:v>
                </c:pt>
                <c:pt idx="18">
                  <c:v>2.1</c:v>
                </c:pt>
                <c:pt idx="19">
                  <c:v>4.0999999999999996</c:v>
                </c:pt>
                <c:pt idx="20">
                  <c:v>4.8</c:v>
                </c:pt>
                <c:pt idx="21">
                  <c:v>3.8</c:v>
                </c:pt>
                <c:pt idx="22">
                  <c:v>4.7</c:v>
                </c:pt>
                <c:pt idx="23">
                  <c:v>3</c:v>
                </c:pt>
                <c:pt idx="24">
                  <c:v>4.2</c:v>
                </c:pt>
                <c:pt idx="25">
                  <c:v>4.3</c:v>
                </c:pt>
                <c:pt idx="26">
                  <c:v>4.3</c:v>
                </c:pt>
                <c:pt idx="27">
                  <c:v>4.7</c:v>
                </c:pt>
                <c:pt idx="28">
                  <c:v>4.3</c:v>
                </c:pt>
                <c:pt idx="29">
                  <c:v>2.2999999999999998</c:v>
                </c:pt>
                <c:pt idx="30">
                  <c:v>2.1</c:v>
                </c:pt>
                <c:pt idx="31">
                  <c:v>4.5</c:v>
                </c:pt>
                <c:pt idx="32">
                  <c:v>4</c:v>
                </c:pt>
                <c:pt idx="33">
                  <c:v>2.5</c:v>
                </c:pt>
                <c:pt idx="34">
                  <c:v>2.2000000000000002</c:v>
                </c:pt>
                <c:pt idx="35">
                  <c:v>2.2999999999999998</c:v>
                </c:pt>
                <c:pt idx="36">
                  <c:v>2.2000000000000002</c:v>
                </c:pt>
                <c:pt idx="37">
                  <c:v>4.8</c:v>
                </c:pt>
                <c:pt idx="38">
                  <c:v>4.8</c:v>
                </c:pt>
                <c:pt idx="39">
                  <c:v>3.8</c:v>
                </c:pt>
                <c:pt idx="40">
                  <c:v>4.5999999999999996</c:v>
                </c:pt>
                <c:pt idx="41">
                  <c:v>3</c:v>
                </c:pt>
                <c:pt idx="42">
                  <c:v>3</c:v>
                </c:pt>
                <c:pt idx="43">
                  <c:v>3</c:v>
                </c:pt>
                <c:pt idx="44">
                  <c:v>5</c:v>
                </c:pt>
                <c:pt idx="45">
                  <c:v>4.5</c:v>
                </c:pt>
                <c:pt idx="46">
                  <c:v>4</c:v>
                </c:pt>
                <c:pt idx="47">
                  <c:v>5</c:v>
                </c:pt>
                <c:pt idx="48">
                  <c:v>5</c:v>
                </c:pt>
                <c:pt idx="49">
                  <c:v>5</c:v>
                </c:pt>
                <c:pt idx="50">
                  <c:v>5</c:v>
                </c:pt>
                <c:pt idx="51">
                  <c:v>3</c:v>
                </c:pt>
                <c:pt idx="52">
                  <c:v>5</c:v>
                </c:pt>
                <c:pt idx="53">
                  <c:v>4</c:v>
                </c:pt>
                <c:pt idx="54">
                  <c:v>5</c:v>
                </c:pt>
                <c:pt idx="55">
                  <c:v>2</c:v>
                </c:pt>
              </c:numCache>
            </c:numRef>
          </c:yVal>
          <c:smooth val="0"/>
          <c:extLst>
            <c:ext xmlns:c16="http://schemas.microsoft.com/office/drawing/2014/chart" uri="{C3380CC4-5D6E-409C-BE32-E72D297353CC}">
              <c16:uniqueId val="{00000001-4D30-4198-A07D-130B2B1F3246}"/>
            </c:ext>
          </c:extLst>
        </c:ser>
        <c:dLbls>
          <c:showLegendKey val="0"/>
          <c:showVal val="0"/>
          <c:showCatName val="0"/>
          <c:showSerName val="0"/>
          <c:showPercent val="0"/>
          <c:showBubbleSize val="0"/>
        </c:dLbls>
        <c:axId val="866638224"/>
        <c:axId val="1568446368"/>
      </c:scatterChart>
      <c:valAx>
        <c:axId val="866638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68446368"/>
        <c:crosses val="autoZero"/>
        <c:crossBetween val="midCat"/>
      </c:valAx>
      <c:valAx>
        <c:axId val="1568446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666382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t>Total Rating category vs Count of Product</a:t>
            </a:r>
          </a:p>
        </c:rich>
      </c:tx>
      <c:layout>
        <c:manualLayout>
          <c:xMode val="edge"/>
          <c:yMode val="edge"/>
          <c:x val="0.44581059290184305"/>
          <c:y val="0.1385296731052713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strLit>
              <c:ptCount val="4"/>
              <c:pt idx="0">
                <c:v>Average</c:v>
              </c:pt>
              <c:pt idx="1">
                <c:v>Excellent</c:v>
              </c:pt>
              <c:pt idx="2">
                <c:v>Missing</c:v>
              </c:pt>
              <c:pt idx="3">
                <c:v>Poor</c:v>
              </c:pt>
            </c:strLit>
          </c:cat>
          <c:val>
            <c:numLit>
              <c:formatCode>General</c:formatCode>
              <c:ptCount val="4"/>
              <c:pt idx="0">
                <c:v>25</c:v>
              </c:pt>
              <c:pt idx="1">
                <c:v>19</c:v>
              </c:pt>
              <c:pt idx="2">
                <c:v>55</c:v>
              </c:pt>
              <c:pt idx="3">
                <c:v>12</c:v>
              </c:pt>
            </c:numLit>
          </c:val>
          <c:extLst>
            <c:ext xmlns:c16="http://schemas.microsoft.com/office/drawing/2014/chart" uri="{C3380CC4-5D6E-409C-BE32-E72D297353CC}">
              <c16:uniqueId val="{00000000-DA2C-4892-9B6A-80FF69C394CD}"/>
            </c:ext>
          </c:extLst>
        </c:ser>
        <c:dLbls>
          <c:showLegendKey val="0"/>
          <c:showVal val="0"/>
          <c:showCatName val="0"/>
          <c:showSerName val="0"/>
          <c:showPercent val="0"/>
          <c:showBubbleSize val="0"/>
        </c:dLbls>
        <c:gapWidth val="219"/>
        <c:overlap val="-27"/>
        <c:axId val="866484640"/>
        <c:axId val="556034303"/>
      </c:barChart>
      <c:catAx>
        <c:axId val="86648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56034303"/>
        <c:crosses val="autoZero"/>
        <c:auto val="1"/>
        <c:lblAlgn val="ctr"/>
        <c:lblOffset val="100"/>
        <c:noMultiLvlLbl val="0"/>
      </c:catAx>
      <c:valAx>
        <c:axId val="556034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6648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t>Total Discount Category by Count of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strLit>
              <c:ptCount val="3"/>
              <c:pt idx="0">
                <c:v>High Discount</c:v>
              </c:pt>
              <c:pt idx="1">
                <c:v>Low Discount</c:v>
              </c:pt>
              <c:pt idx="2">
                <c:v>Medium Discount</c:v>
              </c:pt>
            </c:strLit>
          </c:cat>
          <c:val>
            <c:numLit>
              <c:formatCode>General</c:formatCode>
              <c:ptCount val="3"/>
              <c:pt idx="0">
                <c:v>62</c:v>
              </c:pt>
              <c:pt idx="1">
                <c:v>18</c:v>
              </c:pt>
              <c:pt idx="2">
                <c:v>31</c:v>
              </c:pt>
            </c:numLit>
          </c:val>
          <c:extLst>
            <c:ext xmlns:c16="http://schemas.microsoft.com/office/drawing/2014/chart" uri="{C3380CC4-5D6E-409C-BE32-E72D297353CC}">
              <c16:uniqueId val="{00000000-DF4A-43CA-A1D3-2929391EB8D9}"/>
            </c:ext>
          </c:extLst>
        </c:ser>
        <c:dLbls>
          <c:showLegendKey val="0"/>
          <c:showVal val="0"/>
          <c:showCatName val="0"/>
          <c:showSerName val="0"/>
          <c:showPercent val="0"/>
          <c:showBubbleSize val="0"/>
        </c:dLbls>
        <c:gapWidth val="219"/>
        <c:overlap val="-27"/>
        <c:axId val="504250751"/>
        <c:axId val="1568498208"/>
      </c:barChart>
      <c:catAx>
        <c:axId val="50425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68498208"/>
        <c:crosses val="autoZero"/>
        <c:auto val="1"/>
        <c:lblAlgn val="ctr"/>
        <c:lblOffset val="100"/>
        <c:noMultiLvlLbl val="0"/>
      </c:catAx>
      <c:valAx>
        <c:axId val="1568498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0425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t>Total Product by Average of Rating</a:t>
            </a:r>
          </a:p>
        </c:rich>
      </c:tx>
      <c:layout>
        <c:manualLayout>
          <c:xMode val="edge"/>
          <c:yMode val="edge"/>
          <c:x val="0.45542878723152952"/>
          <c:y val="0.162935181265704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strLit>
              <c:ptCount val="10"/>
              <c:pt idx="0">
                <c:v>40cm Gold DIY Acrylic Wall Sticker Clock</c:v>
              </c:pt>
              <c:pt idx="1">
                <c:v>Anti-Skid Absorbent Insulation Coaster  For Home Office</c:v>
              </c:pt>
              <c:pt idx="2">
                <c:v>Bedroom Simple Floor Hanging Clothes Rack Single Pole Hat Rack - White</c:v>
              </c:pt>
              <c:pt idx="3">
                <c:v>Classic Black Cat Cotton Hemp Pillow Case For Home Car</c:v>
              </c:pt>
              <c:pt idx="4">
                <c:v>DIY File Folder, Office Drawer File Holder, Pen Holder, Desktop Storage Rack</c:v>
              </c:pt>
              <c:pt idx="5">
                <c:v>Konka Healty Electric Kettle, 24-hour Heat Preservation,1.5L,800W, White</c:v>
              </c:pt>
              <c:pt idx="6">
                <c:v>LASA Aluminum Folding Truck Hand Cart - 68kg Max</c:v>
              </c:pt>
              <c:pt idx="7">
                <c:v>LASA FOLDING TABLE SERVING STAND</c:v>
              </c:pt>
              <c:pt idx="8">
                <c:v>Peacock  Throw Pillow Cushion Case For Home Car</c:v>
              </c:pt>
              <c:pt idx="9">
                <c:v>Portable Home Small Air Humidifier 3-Speed Fan - Green</c:v>
              </c:pt>
            </c:strLit>
          </c:cat>
          <c:val>
            <c:numLit>
              <c:formatCode>General</c:formatCode>
              <c:ptCount val="10"/>
              <c:pt idx="0">
                <c:v>4.8</c:v>
              </c:pt>
              <c:pt idx="1">
                <c:v>5</c:v>
              </c:pt>
              <c:pt idx="2">
                <c:v>5</c:v>
              </c:pt>
              <c:pt idx="3">
                <c:v>5</c:v>
              </c:pt>
              <c:pt idx="4">
                <c:v>5</c:v>
              </c:pt>
              <c:pt idx="5">
                <c:v>5</c:v>
              </c:pt>
              <c:pt idx="6">
                <c:v>5</c:v>
              </c:pt>
              <c:pt idx="7">
                <c:v>4.8</c:v>
              </c:pt>
              <c:pt idx="8">
                <c:v>5</c:v>
              </c:pt>
              <c:pt idx="9">
                <c:v>4.8</c:v>
              </c:pt>
            </c:numLit>
          </c:val>
          <c:extLst>
            <c:ext xmlns:c16="http://schemas.microsoft.com/office/drawing/2014/chart" uri="{C3380CC4-5D6E-409C-BE32-E72D297353CC}">
              <c16:uniqueId val="{00000000-3413-459E-8E1D-2CB7E4BD7213}"/>
            </c:ext>
          </c:extLst>
        </c:ser>
        <c:dLbls>
          <c:showLegendKey val="0"/>
          <c:showVal val="0"/>
          <c:showCatName val="0"/>
          <c:showSerName val="0"/>
          <c:showPercent val="0"/>
          <c:showBubbleSize val="0"/>
        </c:dLbls>
        <c:gapWidth val="219"/>
        <c:overlap val="-27"/>
        <c:axId val="455385839"/>
        <c:axId val="556063583"/>
      </c:barChart>
      <c:catAx>
        <c:axId val="455385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56063583"/>
        <c:crosses val="autoZero"/>
        <c:auto val="1"/>
        <c:lblAlgn val="ctr"/>
        <c:lblOffset val="100"/>
        <c:noMultiLvlLbl val="0"/>
      </c:catAx>
      <c:valAx>
        <c:axId val="556063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55385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t>TotalProduct by Sum of Review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1"/>
            </a:solidFill>
            <a:ln>
              <a:noFill/>
            </a:ln>
            <a:effectLst/>
          </c:spPr>
          <c:invertIfNegative val="0"/>
          <c:cat>
            <c:strLit>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Lit>
          </c:cat>
          <c:val>
            <c:numLit>
              <c:formatCode>General</c:formatCode>
              <c:ptCount val="10"/>
              <c:pt idx="0">
                <c:v>39</c:v>
              </c:pt>
              <c:pt idx="1">
                <c:v>69</c:v>
              </c:pt>
              <c:pt idx="2">
                <c:v>55</c:v>
              </c:pt>
              <c:pt idx="3">
                <c:v>44</c:v>
              </c:pt>
              <c:pt idx="4">
                <c:v>20</c:v>
              </c:pt>
              <c:pt idx="5">
                <c:v>32</c:v>
              </c:pt>
              <c:pt idx="6">
                <c:v>20</c:v>
              </c:pt>
              <c:pt idx="7">
                <c:v>49</c:v>
              </c:pt>
              <c:pt idx="8">
                <c:v>24</c:v>
              </c:pt>
              <c:pt idx="9">
                <c:v>36</c:v>
              </c:pt>
            </c:numLit>
          </c:val>
          <c:extLst>
            <c:ext xmlns:c16="http://schemas.microsoft.com/office/drawing/2014/chart" uri="{C3380CC4-5D6E-409C-BE32-E72D297353CC}">
              <c16:uniqueId val="{00000000-F2BF-430E-B624-EF695B3F7648}"/>
            </c:ext>
          </c:extLst>
        </c:ser>
        <c:dLbls>
          <c:showLegendKey val="0"/>
          <c:showVal val="0"/>
          <c:showCatName val="0"/>
          <c:showSerName val="0"/>
          <c:showPercent val="0"/>
          <c:showBubbleSize val="0"/>
        </c:dLbls>
        <c:gapWidth val="182"/>
        <c:axId val="455433631"/>
        <c:axId val="1506120032"/>
      </c:barChart>
      <c:catAx>
        <c:axId val="455433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06120032"/>
        <c:crosses val="autoZero"/>
        <c:auto val="1"/>
        <c:lblAlgn val="ctr"/>
        <c:lblOffset val="100"/>
        <c:noMultiLvlLbl val="0"/>
      </c:catAx>
      <c:valAx>
        <c:axId val="1506120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5543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t>Total Product by verage of Discount</a:t>
            </a:r>
          </a:p>
        </c:rich>
      </c:tx>
      <c:layout>
        <c:manualLayout>
          <c:xMode val="edge"/>
          <c:yMode val="edge"/>
          <c:x val="0.54460896685470406"/>
          <c:y val="0.1648914400342526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1"/>
            </a:solidFill>
            <a:ln>
              <a:noFill/>
            </a:ln>
            <a:effectLst/>
          </c:spPr>
          <c:invertIfNegative val="0"/>
          <c:cat>
            <c:strLit>
              <c:ptCount val="10"/>
              <c:pt idx="0">
                <c:v>3PCS Single Head Knitting Crochet Sweater Needle Set</c:v>
              </c:pt>
              <c:pt idx="1">
                <c:v>5-PCS Stainless Steel Cooking Pot Set With Steamed Slices</c:v>
              </c:pt>
              <c:pt idx="2">
                <c:v>6 In 1 Bottle Can Opener Multifunctional Easy Opener</c:v>
              </c:pt>
              <c:pt idx="3">
                <c:v>Classic Black Cat Cotton Hemp Pillow Case For Home Car</c:v>
              </c:pt>
              <c:pt idx="4">
                <c:v>Creative Owl Shape Keychain Black</c:v>
              </c:pt>
              <c:pt idx="5">
                <c:v>Exfoliate And Exfoliate Face Towel - Black</c:v>
              </c:pt>
              <c:pt idx="6">
                <c:v>Intelligent  LED Body Sensor Wireless Lighting Night Light USB</c:v>
              </c:pt>
              <c:pt idx="7">
                <c:v>LASA 3 Tier Bamboo Shoe Bench Storage Shelf</c:v>
              </c:pt>
              <c:pt idx="8">
                <c:v>LASA FOLDING TABLE SERVING STAND</c:v>
              </c:pt>
              <c:pt idx="9">
                <c:v>Mythco 120COB Solar Wall Ligt With Motion Sensor And Remote Control 3 Modes</c:v>
              </c:pt>
            </c:strLit>
          </c:cat>
          <c:val>
            <c:numLit>
              <c:formatCode>General</c:formatCode>
              <c:ptCount val="10"/>
              <c:pt idx="0">
                <c:v>0.53</c:v>
              </c:pt>
              <c:pt idx="1">
                <c:v>0.55000000000000004</c:v>
              </c:pt>
              <c:pt idx="2">
                <c:v>0.64</c:v>
              </c:pt>
              <c:pt idx="3">
                <c:v>0.53</c:v>
              </c:pt>
              <c:pt idx="4">
                <c:v>0.55000000000000004</c:v>
              </c:pt>
              <c:pt idx="5">
                <c:v>0.52</c:v>
              </c:pt>
              <c:pt idx="6">
                <c:v>0.52</c:v>
              </c:pt>
              <c:pt idx="7">
                <c:v>0.54</c:v>
              </c:pt>
              <c:pt idx="8">
                <c:v>0.55000000000000004</c:v>
              </c:pt>
              <c:pt idx="9">
                <c:v>0.54</c:v>
              </c:pt>
            </c:numLit>
          </c:val>
          <c:extLst>
            <c:ext xmlns:c16="http://schemas.microsoft.com/office/drawing/2014/chart" uri="{C3380CC4-5D6E-409C-BE32-E72D297353CC}">
              <c16:uniqueId val="{00000000-2D33-4D14-80D8-0D3B15C7E8DC}"/>
            </c:ext>
          </c:extLst>
        </c:ser>
        <c:dLbls>
          <c:showLegendKey val="0"/>
          <c:showVal val="0"/>
          <c:showCatName val="0"/>
          <c:showSerName val="0"/>
          <c:showPercent val="0"/>
          <c:showBubbleSize val="0"/>
        </c:dLbls>
        <c:gapWidth val="182"/>
        <c:axId val="504228479"/>
        <c:axId val="556053503"/>
      </c:barChart>
      <c:catAx>
        <c:axId val="504228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56053503"/>
        <c:crosses val="autoZero"/>
        <c:auto val="1"/>
        <c:lblAlgn val="ctr"/>
        <c:lblOffset val="100"/>
        <c:noMultiLvlLbl val="0"/>
      </c:catAx>
      <c:valAx>
        <c:axId val="556053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0422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t>Total Rating category vs Count of Product</a:t>
            </a:r>
          </a:p>
        </c:rich>
      </c:tx>
      <c:layout>
        <c:manualLayout>
          <c:xMode val="edge"/>
          <c:yMode val="edge"/>
          <c:x val="0.44581059290184305"/>
          <c:y val="0.1385296731052713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strLit>
              <c:ptCount val="4"/>
              <c:pt idx="0">
                <c:v>Average</c:v>
              </c:pt>
              <c:pt idx="1">
                <c:v>Excellent</c:v>
              </c:pt>
              <c:pt idx="2">
                <c:v>Missing</c:v>
              </c:pt>
              <c:pt idx="3">
                <c:v>Poor</c:v>
              </c:pt>
            </c:strLit>
          </c:cat>
          <c:val>
            <c:numLit>
              <c:formatCode>General</c:formatCode>
              <c:ptCount val="4"/>
              <c:pt idx="0">
                <c:v>25</c:v>
              </c:pt>
              <c:pt idx="1">
                <c:v>19</c:v>
              </c:pt>
              <c:pt idx="2">
                <c:v>55</c:v>
              </c:pt>
              <c:pt idx="3">
                <c:v>12</c:v>
              </c:pt>
            </c:numLit>
          </c:val>
          <c:extLst>
            <c:ext xmlns:c16="http://schemas.microsoft.com/office/drawing/2014/chart" uri="{C3380CC4-5D6E-409C-BE32-E72D297353CC}">
              <c16:uniqueId val="{00000000-7D02-4CEB-9C55-EEFEBAEAF613}"/>
            </c:ext>
          </c:extLst>
        </c:ser>
        <c:dLbls>
          <c:showLegendKey val="0"/>
          <c:showVal val="0"/>
          <c:showCatName val="0"/>
          <c:showSerName val="0"/>
          <c:showPercent val="0"/>
          <c:showBubbleSize val="0"/>
        </c:dLbls>
        <c:gapWidth val="219"/>
        <c:overlap val="-27"/>
        <c:axId val="866484640"/>
        <c:axId val="556034303"/>
      </c:barChart>
      <c:catAx>
        <c:axId val="86648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56034303"/>
        <c:crosses val="autoZero"/>
        <c:auto val="1"/>
        <c:lblAlgn val="ctr"/>
        <c:lblOffset val="100"/>
        <c:noMultiLvlLbl val="0"/>
      </c:catAx>
      <c:valAx>
        <c:axId val="556034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6648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t>Total Discount Category by Count of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strLit>
              <c:ptCount val="3"/>
              <c:pt idx="0">
                <c:v>High Discount</c:v>
              </c:pt>
              <c:pt idx="1">
                <c:v>Low Discount</c:v>
              </c:pt>
              <c:pt idx="2">
                <c:v>Medium Discount</c:v>
              </c:pt>
            </c:strLit>
          </c:cat>
          <c:val>
            <c:numLit>
              <c:formatCode>General</c:formatCode>
              <c:ptCount val="3"/>
              <c:pt idx="0">
                <c:v>62</c:v>
              </c:pt>
              <c:pt idx="1">
                <c:v>18</c:v>
              </c:pt>
              <c:pt idx="2">
                <c:v>31</c:v>
              </c:pt>
            </c:numLit>
          </c:val>
          <c:extLst>
            <c:ext xmlns:c16="http://schemas.microsoft.com/office/drawing/2014/chart" uri="{C3380CC4-5D6E-409C-BE32-E72D297353CC}">
              <c16:uniqueId val="{00000000-D157-4447-A90A-6D9E8DE29BB1}"/>
            </c:ext>
          </c:extLst>
        </c:ser>
        <c:dLbls>
          <c:showLegendKey val="0"/>
          <c:showVal val="0"/>
          <c:showCatName val="0"/>
          <c:showSerName val="0"/>
          <c:showPercent val="0"/>
          <c:showBubbleSize val="0"/>
        </c:dLbls>
        <c:gapWidth val="219"/>
        <c:overlap val="-27"/>
        <c:axId val="504250751"/>
        <c:axId val="1568498208"/>
      </c:barChart>
      <c:catAx>
        <c:axId val="50425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68498208"/>
        <c:crosses val="autoZero"/>
        <c:auto val="1"/>
        <c:lblAlgn val="ctr"/>
        <c:lblOffset val="100"/>
        <c:noMultiLvlLbl val="0"/>
      </c:catAx>
      <c:valAx>
        <c:axId val="1568498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0425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260040</xdr:colOff>
      <xdr:row>0</xdr:row>
      <xdr:rowOff>1504</xdr:rowOff>
    </xdr:from>
    <xdr:to>
      <xdr:col>13</xdr:col>
      <xdr:colOff>279091</xdr:colOff>
      <xdr:row>1</xdr:row>
      <xdr:rowOff>153904</xdr:rowOff>
    </xdr:to>
    <xdr:sp macro="" textlink="">
      <xdr:nvSpPr>
        <xdr:cNvPr id="2" name="Rectangle: Rounded Corners 1">
          <a:extLst>
            <a:ext uri="{FF2B5EF4-FFF2-40B4-BE49-F238E27FC236}">
              <a16:creationId xmlns:a16="http://schemas.microsoft.com/office/drawing/2014/main" id="{6025C88D-7BEF-F6FA-81DE-AD207CAA3A1C}"/>
            </a:ext>
          </a:extLst>
        </xdr:cNvPr>
        <xdr:cNvSpPr/>
      </xdr:nvSpPr>
      <xdr:spPr>
        <a:xfrm>
          <a:off x="2088840" y="1504"/>
          <a:ext cx="6115051" cy="342900"/>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r>
            <a:rPr lang="en-US" sz="1100" b="0" cap="none" spc="0">
              <a:ln w="0"/>
              <a:solidFill>
                <a:schemeClr val="tx1"/>
              </a:solidFill>
              <a:effectLst>
                <a:outerShdw blurRad="38100" dist="19050" dir="2700000" algn="tl" rotWithShape="0">
                  <a:schemeClr val="dk1">
                    <a:alpha val="40000"/>
                  </a:schemeClr>
                </a:outerShdw>
              </a:effectLst>
            </a:rPr>
            <a:t>		</a:t>
          </a:r>
          <a:r>
            <a:rPr lang="en-US" sz="1800" b="0" cap="none" spc="0">
              <a:ln w="0"/>
              <a:solidFill>
                <a:schemeClr val="tx1"/>
              </a:solidFill>
              <a:effectLst>
                <a:outerShdw blurRad="38100" dist="19050" dir="2700000" algn="tl" rotWithShape="0">
                  <a:schemeClr val="dk1">
                    <a:alpha val="40000"/>
                  </a:schemeClr>
                </a:outerShdw>
              </a:effectLst>
            </a:rPr>
            <a:t>Sellers</a:t>
          </a:r>
          <a:r>
            <a:rPr lang="en-US" sz="1600" b="0" cap="none" spc="0" baseline="0">
              <a:ln w="0"/>
              <a:solidFill>
                <a:schemeClr val="tx1"/>
              </a:solidFill>
              <a:effectLst>
                <a:outerShdw blurRad="38100" dist="19050" dir="2700000" algn="tl" rotWithShape="0">
                  <a:schemeClr val="dk1">
                    <a:alpha val="40000"/>
                  </a:schemeClr>
                </a:outerShdw>
              </a:effectLst>
            </a:rPr>
            <a:t> </a:t>
          </a:r>
          <a:r>
            <a:rPr lang="en-US" sz="1800" b="0" cap="none" spc="0" baseline="0">
              <a:ln w="0"/>
              <a:solidFill>
                <a:schemeClr val="tx1"/>
              </a:solidFill>
              <a:effectLst>
                <a:outerShdw blurRad="38100" dist="19050" dir="2700000" algn="tl" rotWithShape="0">
                  <a:schemeClr val="dk1">
                    <a:alpha val="40000"/>
                  </a:schemeClr>
                </a:outerShdw>
              </a:effectLst>
            </a:rPr>
            <a:t>Performance</a:t>
          </a:r>
          <a:r>
            <a:rPr lang="en-US" sz="1600" b="0" cap="none" spc="0" baseline="0">
              <a:ln w="0"/>
              <a:solidFill>
                <a:schemeClr val="tx1"/>
              </a:solidFill>
              <a:effectLst>
                <a:outerShdw blurRad="38100" dist="19050" dir="2700000" algn="tl" rotWithShape="0">
                  <a:schemeClr val="dk1">
                    <a:alpha val="40000"/>
                  </a:schemeClr>
                </a:outerShdw>
              </a:effectLst>
            </a:rPr>
            <a:t> </a:t>
          </a:r>
          <a:r>
            <a:rPr lang="en-US" sz="1800" b="0" cap="none" spc="0" baseline="0">
              <a:ln w="0"/>
              <a:solidFill>
                <a:schemeClr val="tx1"/>
              </a:solidFill>
              <a:effectLst>
                <a:outerShdw blurRad="38100" dist="19050" dir="2700000" algn="tl" rotWithShape="0">
                  <a:schemeClr val="dk1">
                    <a:alpha val="40000"/>
                  </a:schemeClr>
                </a:outerShdw>
              </a:effectLst>
            </a:rPr>
            <a:t>Dashboard</a:t>
          </a:r>
          <a:endParaRPr lang="en-KE"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190210</xdr:colOff>
      <xdr:row>1</xdr:row>
      <xdr:rowOff>148034</xdr:rowOff>
    </xdr:from>
    <xdr:to>
      <xdr:col>5</xdr:col>
      <xdr:colOff>605874</xdr:colOff>
      <xdr:row>3</xdr:row>
      <xdr:rowOff>175703</xdr:rowOff>
    </xdr:to>
    <xdr:sp macro="" textlink="">
      <xdr:nvSpPr>
        <xdr:cNvPr id="3" name="Rectangle: Rounded Corners 2">
          <a:extLst>
            <a:ext uri="{FF2B5EF4-FFF2-40B4-BE49-F238E27FC236}">
              <a16:creationId xmlns:a16="http://schemas.microsoft.com/office/drawing/2014/main" id="{E1421741-00A3-12F2-C8FE-DE513BAC0028}"/>
            </a:ext>
            <a:ext uri="{147F2762-F138-4A5C-976F-8EAC2B608ADB}">
              <a16:predDERef xmlns:a16="http://schemas.microsoft.com/office/drawing/2014/main" pred="{6025C88D-7BEF-F6FA-81DE-AD207CAA3A1C}"/>
            </a:ext>
          </a:extLst>
        </xdr:cNvPr>
        <xdr:cNvSpPr/>
      </xdr:nvSpPr>
      <xdr:spPr>
        <a:xfrm>
          <a:off x="2628610" y="338534"/>
          <a:ext cx="1025264" cy="408669"/>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1100">
              <a:solidFill>
                <a:srgbClr val="FF0000"/>
              </a:solidFill>
            </a:rPr>
            <a:t>Total</a:t>
          </a:r>
          <a:r>
            <a:rPr lang="en-US" sz="1100" baseline="0">
              <a:solidFill>
                <a:srgbClr val="FF0000"/>
              </a:solidFill>
            </a:rPr>
            <a:t> Products </a:t>
          </a:r>
          <a:r>
            <a:rPr lang="en-US" sz="1100" baseline="0"/>
            <a:t>112</a:t>
          </a:r>
        </a:p>
        <a:p>
          <a:pPr algn="l"/>
          <a:endParaRPr lang="en-US" sz="1100"/>
        </a:p>
        <a:p>
          <a:pPr algn="l"/>
          <a:endParaRPr lang="en-KE" sz="1100"/>
        </a:p>
      </xdr:txBody>
    </xdr:sp>
    <xdr:clientData/>
  </xdr:twoCellAnchor>
  <xdr:twoCellAnchor>
    <xdr:from>
      <xdr:col>6</xdr:col>
      <xdr:colOff>99034</xdr:colOff>
      <xdr:row>1</xdr:row>
      <xdr:rowOff>182088</xdr:rowOff>
    </xdr:from>
    <xdr:to>
      <xdr:col>7</xdr:col>
      <xdr:colOff>426776</xdr:colOff>
      <xdr:row>3</xdr:row>
      <xdr:rowOff>177554</xdr:rowOff>
    </xdr:to>
    <xdr:sp macro="" textlink="">
      <xdr:nvSpPr>
        <xdr:cNvPr id="4" name="Rectangle: Rounded Corners 3">
          <a:extLst>
            <a:ext uri="{FF2B5EF4-FFF2-40B4-BE49-F238E27FC236}">
              <a16:creationId xmlns:a16="http://schemas.microsoft.com/office/drawing/2014/main" id="{395DB720-C4E0-3455-DE8B-C4F4090CEFE9}"/>
            </a:ext>
            <a:ext uri="{147F2762-F138-4A5C-976F-8EAC2B608ADB}">
              <a16:predDERef xmlns:a16="http://schemas.microsoft.com/office/drawing/2014/main" pred="{E1421741-00A3-12F2-C8FE-DE513BAC0028}"/>
            </a:ext>
          </a:extLst>
        </xdr:cNvPr>
        <xdr:cNvSpPr/>
      </xdr:nvSpPr>
      <xdr:spPr>
        <a:xfrm>
          <a:off x="3768666" y="372588"/>
          <a:ext cx="939347" cy="376466"/>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lang="en-US" sz="1100">
              <a:solidFill>
                <a:srgbClr val="FF0000"/>
              </a:solidFill>
              <a:latin typeface="+mn-lt"/>
              <a:ea typeface="+mn-lt"/>
              <a:cs typeface="+mn-lt"/>
            </a:rPr>
            <a:t>Avg price</a:t>
          </a:r>
          <a:endParaRPr lang="en-US" sz="1100">
            <a:solidFill>
              <a:schemeClr val="lt1"/>
            </a:solidFill>
            <a:latin typeface="+mn-lt"/>
            <a:ea typeface="+mn-lt"/>
            <a:cs typeface="+mn-lt"/>
          </a:endParaRPr>
        </a:p>
        <a:p>
          <a:pPr marL="0" indent="0" algn="l"/>
          <a:endParaRPr lang="en-US" sz="1100">
            <a:solidFill>
              <a:schemeClr val="lt1"/>
            </a:solidFill>
            <a:latin typeface="+mn-lt"/>
            <a:ea typeface="+mn-lt"/>
            <a:cs typeface="+mn-lt"/>
          </a:endParaRPr>
        </a:p>
      </xdr:txBody>
    </xdr:sp>
    <xdr:clientData/>
  </xdr:twoCellAnchor>
  <xdr:twoCellAnchor>
    <xdr:from>
      <xdr:col>7</xdr:col>
      <xdr:colOff>489993</xdr:colOff>
      <xdr:row>1</xdr:row>
      <xdr:rowOff>171670</xdr:rowOff>
    </xdr:from>
    <xdr:to>
      <xdr:col>9</xdr:col>
      <xdr:colOff>307278</xdr:colOff>
      <xdr:row>3</xdr:row>
      <xdr:rowOff>174845</xdr:rowOff>
    </xdr:to>
    <xdr:sp macro="" textlink="">
      <xdr:nvSpPr>
        <xdr:cNvPr id="5" name="Rectangle: Rounded Corners 4">
          <a:extLst>
            <a:ext uri="{FF2B5EF4-FFF2-40B4-BE49-F238E27FC236}">
              <a16:creationId xmlns:a16="http://schemas.microsoft.com/office/drawing/2014/main" id="{BE8AFB63-48C0-4B29-897C-3CE6D86F6BF9}"/>
            </a:ext>
            <a:ext uri="{147F2762-F138-4A5C-976F-8EAC2B608ADB}">
              <a16:predDERef xmlns:a16="http://schemas.microsoft.com/office/drawing/2014/main" pred="{395DB720-C4E0-3455-DE8B-C4F4090CEFE9}"/>
            </a:ext>
          </a:extLst>
        </xdr:cNvPr>
        <xdr:cNvSpPr/>
      </xdr:nvSpPr>
      <xdr:spPr>
        <a:xfrm>
          <a:off x="4771230" y="362170"/>
          <a:ext cx="1040495" cy="384175"/>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lang="en-US" sz="1100">
              <a:solidFill>
                <a:srgbClr val="FF0000"/>
              </a:solidFill>
              <a:latin typeface="+mn-lt"/>
              <a:ea typeface="+mn-lt"/>
              <a:cs typeface="+mn-lt"/>
            </a:rPr>
            <a:t>Avg Discount</a:t>
          </a:r>
          <a:endParaRPr lang="en-US" sz="1100">
            <a:solidFill>
              <a:schemeClr val="lt1"/>
            </a:solidFill>
            <a:latin typeface="+mn-lt"/>
            <a:ea typeface="+mn-lt"/>
            <a:cs typeface="+mn-lt"/>
          </a:endParaRPr>
        </a:p>
        <a:p>
          <a:pPr marL="0" indent="0" algn="l"/>
          <a:endParaRPr lang="en-US" sz="1100">
            <a:solidFill>
              <a:schemeClr val="lt1"/>
            </a:solidFill>
            <a:latin typeface="+mn-lt"/>
            <a:ea typeface="+mn-lt"/>
            <a:cs typeface="+mn-lt"/>
          </a:endParaRPr>
        </a:p>
      </xdr:txBody>
    </xdr:sp>
    <xdr:clientData/>
  </xdr:twoCellAnchor>
  <xdr:twoCellAnchor>
    <xdr:from>
      <xdr:col>9</xdr:col>
      <xdr:colOff>433995</xdr:colOff>
      <xdr:row>1</xdr:row>
      <xdr:rowOff>160793</xdr:rowOff>
    </xdr:from>
    <xdr:to>
      <xdr:col>11</xdr:col>
      <xdr:colOff>165100</xdr:colOff>
      <xdr:row>3</xdr:row>
      <xdr:rowOff>160793</xdr:rowOff>
    </xdr:to>
    <xdr:sp macro="" textlink="">
      <xdr:nvSpPr>
        <xdr:cNvPr id="6" name="Rectangle: Rounded Corners 5">
          <a:extLst>
            <a:ext uri="{FF2B5EF4-FFF2-40B4-BE49-F238E27FC236}">
              <a16:creationId xmlns:a16="http://schemas.microsoft.com/office/drawing/2014/main" id="{168FF601-6A61-9AFB-753D-719926EABA19}"/>
            </a:ext>
            <a:ext uri="{147F2762-F138-4A5C-976F-8EAC2B608ADB}">
              <a16:predDERef xmlns:a16="http://schemas.microsoft.com/office/drawing/2014/main" pred="{BE8AFB63-48C0-4B29-897C-3CE6D86F6BF9}"/>
            </a:ext>
          </a:extLst>
        </xdr:cNvPr>
        <xdr:cNvSpPr/>
      </xdr:nvSpPr>
      <xdr:spPr>
        <a:xfrm>
          <a:off x="5938442" y="351293"/>
          <a:ext cx="954316" cy="381000"/>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lang="en-US" sz="1100">
              <a:solidFill>
                <a:srgbClr val="FF0000"/>
              </a:solidFill>
              <a:latin typeface="+mn-lt"/>
              <a:ea typeface="+mn-lt"/>
              <a:cs typeface="+mn-lt"/>
            </a:rPr>
            <a:t>Avg Rating</a:t>
          </a:r>
        </a:p>
        <a:p>
          <a:pPr marL="0" indent="0" algn="l"/>
          <a:endParaRPr lang="en-US" sz="1100">
            <a:solidFill>
              <a:schemeClr val="lt1"/>
            </a:solidFill>
            <a:latin typeface="+mn-lt"/>
            <a:ea typeface="+mn-lt"/>
            <a:cs typeface="+mn-lt"/>
          </a:endParaRPr>
        </a:p>
      </xdr:txBody>
    </xdr:sp>
    <xdr:clientData/>
  </xdr:twoCellAnchor>
  <xdr:twoCellAnchor>
    <xdr:from>
      <xdr:col>11</xdr:col>
      <xdr:colOff>299751</xdr:colOff>
      <xdr:row>1</xdr:row>
      <xdr:rowOff>158655</xdr:rowOff>
    </xdr:from>
    <xdr:to>
      <xdr:col>12</xdr:col>
      <xdr:colOff>589775</xdr:colOff>
      <xdr:row>3</xdr:row>
      <xdr:rowOff>125545</xdr:rowOff>
    </xdr:to>
    <xdr:sp macro="" textlink="">
      <xdr:nvSpPr>
        <xdr:cNvPr id="8" name="Rectangle: Rounded Corners 7">
          <a:extLst>
            <a:ext uri="{FF2B5EF4-FFF2-40B4-BE49-F238E27FC236}">
              <a16:creationId xmlns:a16="http://schemas.microsoft.com/office/drawing/2014/main" id="{3064522D-98F9-CCDB-8213-355D484B7EA6}"/>
            </a:ext>
            <a:ext uri="{147F2762-F138-4A5C-976F-8EAC2B608ADB}">
              <a16:predDERef xmlns:a16="http://schemas.microsoft.com/office/drawing/2014/main" pred="{168FF601-6A61-9AFB-753D-719926EABA19}"/>
            </a:ext>
          </a:extLst>
        </xdr:cNvPr>
        <xdr:cNvSpPr/>
      </xdr:nvSpPr>
      <xdr:spPr>
        <a:xfrm>
          <a:off x="7005351" y="349155"/>
          <a:ext cx="899624" cy="347890"/>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lang="en-US" sz="1100">
              <a:solidFill>
                <a:srgbClr val="FF0000"/>
              </a:solidFill>
              <a:latin typeface="+mn-lt"/>
              <a:ea typeface="+mn-lt"/>
              <a:cs typeface="+mn-lt"/>
            </a:rPr>
            <a:t>Reviews</a:t>
          </a:r>
        </a:p>
        <a:p>
          <a:pPr marL="0" indent="0" algn="l"/>
          <a:endParaRPr lang="en-US" sz="1100">
            <a:solidFill>
              <a:schemeClr val="lt1"/>
            </a:solidFill>
            <a:latin typeface="+mn-lt"/>
            <a:ea typeface="+mn-lt"/>
            <a:cs typeface="+mn-lt"/>
          </a:endParaRPr>
        </a:p>
      </xdr:txBody>
    </xdr:sp>
    <xdr:clientData/>
  </xdr:twoCellAnchor>
  <xdr:twoCellAnchor editAs="oneCell">
    <xdr:from>
      <xdr:col>0</xdr:col>
      <xdr:colOff>0</xdr:colOff>
      <xdr:row>6</xdr:row>
      <xdr:rowOff>56005</xdr:rowOff>
    </xdr:from>
    <xdr:to>
      <xdr:col>2</xdr:col>
      <xdr:colOff>468538</xdr:colOff>
      <xdr:row>13</xdr:row>
      <xdr:rowOff>185727</xdr:rowOff>
    </xdr:to>
    <mc:AlternateContent xmlns:mc="http://schemas.openxmlformats.org/markup-compatibility/2006" xmlns:a14="http://schemas.microsoft.com/office/drawing/2010/main">
      <mc:Choice Requires="a14">
        <xdr:graphicFrame macro="">
          <xdr:nvGraphicFramePr>
            <xdr:cNvPr id="10" name="Price Category 1">
              <a:extLst>
                <a:ext uri="{FF2B5EF4-FFF2-40B4-BE49-F238E27FC236}">
                  <a16:creationId xmlns:a16="http://schemas.microsoft.com/office/drawing/2014/main" id="{B6FE0839-6D80-487B-AC4E-92A7A20826F0}"/>
                </a:ext>
              </a:extLst>
            </xdr:cNvPr>
            <xdr:cNvGraphicFramePr/>
          </xdr:nvGraphicFramePr>
          <xdr:xfrm>
            <a:off x="0" y="0"/>
            <a:ext cx="0" cy="0"/>
          </xdr:xfrm>
          <a:graphic>
            <a:graphicData uri="http://schemas.microsoft.com/office/drawing/2010/slicer">
              <sle:slicer xmlns:sle="http://schemas.microsoft.com/office/drawing/2010/slicer" name="Price Category 1"/>
            </a:graphicData>
          </a:graphic>
        </xdr:graphicFrame>
      </mc:Choice>
      <mc:Fallback xmlns="">
        <xdr:sp macro="" textlink="">
          <xdr:nvSpPr>
            <xdr:cNvPr id="0" name=""/>
            <xdr:cNvSpPr>
              <a:spLocks noTextEdit="1"/>
            </xdr:cNvSpPr>
          </xdr:nvSpPr>
          <xdr:spPr>
            <a:xfrm>
              <a:off x="0" y="1199005"/>
              <a:ext cx="1691749" cy="146322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1031</xdr:colOff>
      <xdr:row>13</xdr:row>
      <xdr:rowOff>89068</xdr:rowOff>
    </xdr:from>
    <xdr:to>
      <xdr:col>2</xdr:col>
      <xdr:colOff>464911</xdr:colOff>
      <xdr:row>20</xdr:row>
      <xdr:rowOff>158751</xdr:rowOff>
    </xdr:to>
    <mc:AlternateContent xmlns:mc="http://schemas.openxmlformats.org/markup-compatibility/2006" xmlns:a14="http://schemas.microsoft.com/office/drawing/2010/main">
      <mc:Choice Requires="a14">
        <xdr:graphicFrame macro="">
          <xdr:nvGraphicFramePr>
            <xdr:cNvPr id="12" name="Discount Category 1">
              <a:extLst>
                <a:ext uri="{FF2B5EF4-FFF2-40B4-BE49-F238E27FC236}">
                  <a16:creationId xmlns:a16="http://schemas.microsoft.com/office/drawing/2014/main" id="{67DB0216-FEA4-4694-A08C-9A0B5C70C109}"/>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1031" y="2659021"/>
              <a:ext cx="1685955" cy="1453504"/>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20</xdr:row>
      <xdr:rowOff>184521</xdr:rowOff>
    </xdr:from>
    <xdr:to>
      <xdr:col>2</xdr:col>
      <xdr:colOff>487590</xdr:colOff>
      <xdr:row>30</xdr:row>
      <xdr:rowOff>34017</xdr:rowOff>
    </xdr:to>
    <mc:AlternateContent xmlns:mc="http://schemas.openxmlformats.org/markup-compatibility/2006" xmlns:a14="http://schemas.microsoft.com/office/drawing/2010/main">
      <mc:Choice Requires="a14">
        <xdr:graphicFrame macro="">
          <xdr:nvGraphicFramePr>
            <xdr:cNvPr id="13" name="Rating category 1">
              <a:extLst>
                <a:ext uri="{FF2B5EF4-FFF2-40B4-BE49-F238E27FC236}">
                  <a16:creationId xmlns:a16="http://schemas.microsoft.com/office/drawing/2014/main" id="{DE2B0B7F-D46C-4CB8-8DC0-165778800B33}"/>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1" y="4138295"/>
              <a:ext cx="1709664" cy="182638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144236</xdr:rowOff>
    </xdr:from>
    <xdr:to>
      <xdr:col>2</xdr:col>
      <xdr:colOff>510268</xdr:colOff>
      <xdr:row>39</xdr:row>
      <xdr:rowOff>144237</xdr:rowOff>
    </xdr:to>
    <mc:AlternateContent xmlns:mc="http://schemas.openxmlformats.org/markup-compatibility/2006" xmlns:a14="http://schemas.microsoft.com/office/drawing/2010/main">
      <mc:Choice Requires="a14">
        <xdr:graphicFrame macro="">
          <xdr:nvGraphicFramePr>
            <xdr:cNvPr id="14" name="Rating category 2">
              <a:extLst>
                <a:ext uri="{FF2B5EF4-FFF2-40B4-BE49-F238E27FC236}">
                  <a16:creationId xmlns:a16="http://schemas.microsoft.com/office/drawing/2014/main" id="{BE1AFAAA-0878-404E-9A0E-024DF52819E7}"/>
                </a:ext>
                <a:ext uri="{147F2762-F138-4A5C-976F-8EAC2B608ADB}">
                  <a16:predDERef xmlns:a16="http://schemas.microsoft.com/office/drawing/2014/main" pred="{DE2B0B7F-D46C-4CB8-8DC0-165778800B33}"/>
                </a:ext>
              </a:extLst>
            </xdr:cNvPr>
            <xdr:cNvGraphicFramePr/>
          </xdr:nvGraphicFramePr>
          <xdr:xfrm>
            <a:off x="0" y="0"/>
            <a:ext cx="0" cy="0"/>
          </xdr:xfrm>
          <a:graphic>
            <a:graphicData uri="http://schemas.microsoft.com/office/drawing/2010/slicer">
              <sle:slicer xmlns:sle="http://schemas.microsoft.com/office/drawing/2010/slicer" name="Rating category 2"/>
            </a:graphicData>
          </a:graphic>
        </xdr:graphicFrame>
      </mc:Choice>
      <mc:Fallback xmlns="">
        <xdr:sp macro="" textlink="">
          <xdr:nvSpPr>
            <xdr:cNvPr id="0" name=""/>
            <xdr:cNvSpPr>
              <a:spLocks noTextEdit="1"/>
            </xdr:cNvSpPr>
          </xdr:nvSpPr>
          <xdr:spPr>
            <a:xfrm>
              <a:off x="0" y="5998696"/>
              <a:ext cx="1732343" cy="177919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45359</xdr:colOff>
      <xdr:row>5</xdr:row>
      <xdr:rowOff>147413</xdr:rowOff>
    </xdr:from>
    <xdr:to>
      <xdr:col>9</xdr:col>
      <xdr:colOff>11339</xdr:colOff>
      <xdr:row>16</xdr:row>
      <xdr:rowOff>45358</xdr:rowOff>
    </xdr:to>
    <xdr:graphicFrame macro="">
      <xdr:nvGraphicFramePr>
        <xdr:cNvPr id="17" name="Chart 16">
          <a:extLst>
            <a:ext uri="{FF2B5EF4-FFF2-40B4-BE49-F238E27FC236}">
              <a16:creationId xmlns:a16="http://schemas.microsoft.com/office/drawing/2014/main" id="{048E3E5A-3C0C-4DEA-937F-ADC2D1DAF690}"/>
            </a:ext>
            <a:ext uri="{147F2762-F138-4A5C-976F-8EAC2B608ADB}">
              <a16:predDERef xmlns:a16="http://schemas.microsoft.com/office/drawing/2014/main" pred="{BE1AFAAA-0878-404E-9A0E-024DF5281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549355</xdr:colOff>
      <xdr:row>5</xdr:row>
      <xdr:rowOff>106082</xdr:rowOff>
    </xdr:from>
    <xdr:to>
      <xdr:col>14</xdr:col>
      <xdr:colOff>585641</xdr:colOff>
      <xdr:row>16</xdr:row>
      <xdr:rowOff>15367</xdr:rowOff>
    </xdr:to>
    <xdr:graphicFrame macro="">
      <xdr:nvGraphicFramePr>
        <xdr:cNvPr id="18" name="Chart 17">
          <a:extLst>
            <a:ext uri="{FF2B5EF4-FFF2-40B4-BE49-F238E27FC236}">
              <a16:creationId xmlns:a16="http://schemas.microsoft.com/office/drawing/2014/main" id="{34538FC8-F3C6-46CB-9D3B-67B0E3F49F19}"/>
            </a:ext>
            <a:ext uri="{147F2762-F138-4A5C-976F-8EAC2B608ADB}">
              <a16:predDERef xmlns:a16="http://schemas.microsoft.com/office/drawing/2014/main" pred="{048E3E5A-3C0C-4DEA-937F-ADC2D1DAF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28575</xdr:colOff>
      <xdr:row>5</xdr:row>
      <xdr:rowOff>75638</xdr:rowOff>
    </xdr:from>
    <xdr:to>
      <xdr:col>21</xdr:col>
      <xdr:colOff>70598</xdr:colOff>
      <xdr:row>15</xdr:row>
      <xdr:rowOff>173690</xdr:rowOff>
    </xdr:to>
    <xdr:graphicFrame macro="">
      <xdr:nvGraphicFramePr>
        <xdr:cNvPr id="22" name="Chart 21">
          <a:extLst>
            <a:ext uri="{FF2B5EF4-FFF2-40B4-BE49-F238E27FC236}">
              <a16:creationId xmlns:a16="http://schemas.microsoft.com/office/drawing/2014/main" id="{64EA93F4-62A4-4577-B242-9857015B6A66}"/>
            </a:ext>
            <a:ext uri="{147F2762-F138-4A5C-976F-8EAC2B608ADB}">
              <a16:predDERef xmlns:a16="http://schemas.microsoft.com/office/drawing/2014/main" pred="{34538FC8-F3C6-46CB-9D3B-67B0E3F49F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28016</xdr:colOff>
      <xdr:row>16</xdr:row>
      <xdr:rowOff>112059</xdr:rowOff>
    </xdr:from>
    <xdr:to>
      <xdr:col>9</xdr:col>
      <xdr:colOff>28014</xdr:colOff>
      <xdr:row>28</xdr:row>
      <xdr:rowOff>154081</xdr:rowOff>
    </xdr:to>
    <xdr:graphicFrame macro="">
      <xdr:nvGraphicFramePr>
        <xdr:cNvPr id="26" name="Chart 25">
          <a:extLst>
            <a:ext uri="{FF2B5EF4-FFF2-40B4-BE49-F238E27FC236}">
              <a16:creationId xmlns:a16="http://schemas.microsoft.com/office/drawing/2014/main" id="{709C59A9-8C01-4286-810E-5CC8AE4319CA}"/>
            </a:ext>
            <a:ext uri="{147F2762-F138-4A5C-976F-8EAC2B608ADB}">
              <a16:predDERef xmlns:a16="http://schemas.microsoft.com/office/drawing/2014/main" pred="{64EA93F4-62A4-4577-B242-9857015B6A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140074</xdr:colOff>
      <xdr:row>16</xdr:row>
      <xdr:rowOff>196102</xdr:rowOff>
    </xdr:from>
    <xdr:to>
      <xdr:col>15</xdr:col>
      <xdr:colOff>168089</xdr:colOff>
      <xdr:row>28</xdr:row>
      <xdr:rowOff>182095</xdr:rowOff>
    </xdr:to>
    <xdr:graphicFrame macro="">
      <xdr:nvGraphicFramePr>
        <xdr:cNvPr id="28" name="Chart 27">
          <a:extLst>
            <a:ext uri="{FF2B5EF4-FFF2-40B4-BE49-F238E27FC236}">
              <a16:creationId xmlns:a16="http://schemas.microsoft.com/office/drawing/2014/main" id="{7F0A64B9-D315-4A6D-983A-4691F04803A2}"/>
            </a:ext>
            <a:ext uri="{147F2762-F138-4A5C-976F-8EAC2B608ADB}">
              <a16:predDERef xmlns:a16="http://schemas.microsoft.com/office/drawing/2014/main" pred="{709C59A9-8C01-4286-810E-5CC8AE4319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238124</xdr:colOff>
      <xdr:row>17</xdr:row>
      <xdr:rowOff>2</xdr:rowOff>
    </xdr:from>
    <xdr:to>
      <xdr:col>21</xdr:col>
      <xdr:colOff>238125</xdr:colOff>
      <xdr:row>29</xdr:row>
      <xdr:rowOff>14008</xdr:rowOff>
    </xdr:to>
    <xdr:graphicFrame macro="">
      <xdr:nvGraphicFramePr>
        <xdr:cNvPr id="30" name="Chart 29">
          <a:extLst>
            <a:ext uri="{FF2B5EF4-FFF2-40B4-BE49-F238E27FC236}">
              <a16:creationId xmlns:a16="http://schemas.microsoft.com/office/drawing/2014/main" id="{F7163C61-FCC8-47C5-9447-76286AEF105F}"/>
            </a:ext>
            <a:ext uri="{147F2762-F138-4A5C-976F-8EAC2B608ADB}">
              <a16:predDERef xmlns:a16="http://schemas.microsoft.com/office/drawing/2014/main" pred="{7F0A64B9-D315-4A6D-983A-4691F0480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71437</xdr:colOff>
      <xdr:row>29</xdr:row>
      <xdr:rowOff>71438</xdr:rowOff>
    </xdr:from>
    <xdr:to>
      <xdr:col>9</xdr:col>
      <xdr:colOff>47625</xdr:colOff>
      <xdr:row>42</xdr:row>
      <xdr:rowOff>166687</xdr:rowOff>
    </xdr:to>
    <xdr:graphicFrame macro="">
      <xdr:nvGraphicFramePr>
        <xdr:cNvPr id="32" name="Chart 31">
          <a:extLst>
            <a:ext uri="{FF2B5EF4-FFF2-40B4-BE49-F238E27FC236}">
              <a16:creationId xmlns:a16="http://schemas.microsoft.com/office/drawing/2014/main" id="{93E55E63-0451-45AB-931D-AD23E56F6A73}"/>
            </a:ext>
            <a:ext uri="{147F2762-F138-4A5C-976F-8EAC2B608ADB}">
              <a16:predDERef xmlns:a16="http://schemas.microsoft.com/office/drawing/2014/main" pred="{F7163C61-FCC8-47C5-9447-76286AEF1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171450</xdr:colOff>
      <xdr:row>29</xdr:row>
      <xdr:rowOff>95251</xdr:rowOff>
    </xdr:from>
    <xdr:to>
      <xdr:col>15</xdr:col>
      <xdr:colOff>76200</xdr:colOff>
      <xdr:row>43</xdr:row>
      <xdr:rowOff>171451</xdr:rowOff>
    </xdr:to>
    <xdr:graphicFrame macro="">
      <xdr:nvGraphicFramePr>
        <xdr:cNvPr id="34" name="Chart 33">
          <a:extLst>
            <a:ext uri="{FF2B5EF4-FFF2-40B4-BE49-F238E27FC236}">
              <a16:creationId xmlns:a16="http://schemas.microsoft.com/office/drawing/2014/main" id="{E4B25FC7-9237-49C5-ABC2-CBE047B7A447}"/>
            </a:ext>
            <a:ext uri="{147F2762-F138-4A5C-976F-8EAC2B608ADB}">
              <a16:predDERef xmlns:a16="http://schemas.microsoft.com/office/drawing/2014/main" pred="{93E55E63-0451-45AB-931D-AD23E56F6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310816</xdr:colOff>
      <xdr:row>3</xdr:row>
      <xdr:rowOff>160421</xdr:rowOff>
    </xdr:from>
    <xdr:to>
      <xdr:col>13</xdr:col>
      <xdr:colOff>2006</xdr:colOff>
      <xdr:row>5</xdr:row>
      <xdr:rowOff>20052</xdr:rowOff>
    </xdr:to>
    <xdr:sp macro="" textlink="">
      <xdr:nvSpPr>
        <xdr:cNvPr id="7" name="Rectangle 6">
          <a:extLst>
            <a:ext uri="{FF2B5EF4-FFF2-40B4-BE49-F238E27FC236}">
              <a16:creationId xmlns:a16="http://schemas.microsoft.com/office/drawing/2014/main" id="{2B5FF938-035A-9001-2206-3D47E2E32445}"/>
            </a:ext>
            <a:ext uri="{147F2762-F138-4A5C-976F-8EAC2B608ADB}">
              <a16:predDERef xmlns:a16="http://schemas.microsoft.com/office/drawing/2014/main" pred="{E4B25FC7-9237-49C5-ABC2-CBE047B7A447}"/>
            </a:ext>
          </a:extLst>
        </xdr:cNvPr>
        <xdr:cNvSpPr/>
      </xdr:nvSpPr>
      <xdr:spPr>
        <a:xfrm>
          <a:off x="7038474" y="731921"/>
          <a:ext cx="914400" cy="240631"/>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1100">
              <a:solidFill>
                <a:srgbClr val="FF0000"/>
              </a:solidFill>
            </a:rPr>
            <a:t>3.9</a:t>
          </a:r>
        </a:p>
        <a:p>
          <a:pPr algn="l"/>
          <a:endParaRPr lang="en-KE" sz="1100"/>
        </a:p>
      </xdr:txBody>
    </xdr:sp>
    <xdr:clientData/>
  </xdr:twoCellAnchor>
  <xdr:twoCellAnchor>
    <xdr:from>
      <xdr:col>9</xdr:col>
      <xdr:colOff>481264</xdr:colOff>
      <xdr:row>3</xdr:row>
      <xdr:rowOff>170446</xdr:rowOff>
    </xdr:from>
    <xdr:to>
      <xdr:col>11</xdr:col>
      <xdr:colOff>172453</xdr:colOff>
      <xdr:row>5</xdr:row>
      <xdr:rowOff>60156</xdr:rowOff>
    </xdr:to>
    <xdr:sp macro="" textlink="">
      <xdr:nvSpPr>
        <xdr:cNvPr id="9" name="Rectangle 8">
          <a:extLst>
            <a:ext uri="{FF2B5EF4-FFF2-40B4-BE49-F238E27FC236}">
              <a16:creationId xmlns:a16="http://schemas.microsoft.com/office/drawing/2014/main" id="{255245B6-28B1-1D7F-5CEE-D7773563943F}"/>
            </a:ext>
            <a:ext uri="{147F2762-F138-4A5C-976F-8EAC2B608ADB}">
              <a16:predDERef xmlns:a16="http://schemas.microsoft.com/office/drawing/2014/main" pred="{2B5FF938-035A-9001-2206-3D47E2E32445}"/>
            </a:ext>
          </a:extLst>
        </xdr:cNvPr>
        <xdr:cNvSpPr/>
      </xdr:nvSpPr>
      <xdr:spPr>
        <a:xfrm>
          <a:off x="5985711" y="741946"/>
          <a:ext cx="914400" cy="27071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1100">
              <a:solidFill>
                <a:srgbClr val="FF0000"/>
              </a:solidFill>
            </a:rPr>
            <a:t>723</a:t>
          </a:r>
        </a:p>
        <a:p>
          <a:pPr algn="l"/>
          <a:endParaRPr lang="en-KE" sz="1100"/>
        </a:p>
      </xdr:txBody>
    </xdr:sp>
    <xdr:clientData/>
  </xdr:twoCellAnchor>
  <xdr:twoCellAnchor>
    <xdr:from>
      <xdr:col>7</xdr:col>
      <xdr:colOff>541419</xdr:colOff>
      <xdr:row>3</xdr:row>
      <xdr:rowOff>170449</xdr:rowOff>
    </xdr:from>
    <xdr:to>
      <xdr:col>9</xdr:col>
      <xdr:colOff>232609</xdr:colOff>
      <xdr:row>5</xdr:row>
      <xdr:rowOff>80212</xdr:rowOff>
    </xdr:to>
    <xdr:sp macro="" textlink="">
      <xdr:nvSpPr>
        <xdr:cNvPr id="11" name="Rectangle 10">
          <a:extLst>
            <a:ext uri="{FF2B5EF4-FFF2-40B4-BE49-F238E27FC236}">
              <a16:creationId xmlns:a16="http://schemas.microsoft.com/office/drawing/2014/main" id="{7368FFEE-432F-C35F-4570-F074A1FC4BA2}"/>
            </a:ext>
            <a:ext uri="{147F2762-F138-4A5C-976F-8EAC2B608ADB}">
              <a16:predDERef xmlns:a16="http://schemas.microsoft.com/office/drawing/2014/main" pred="{255245B6-28B1-1D7F-5CEE-D7773563943F}"/>
            </a:ext>
          </a:extLst>
        </xdr:cNvPr>
        <xdr:cNvSpPr/>
      </xdr:nvSpPr>
      <xdr:spPr>
        <a:xfrm>
          <a:off x="4822656" y="741949"/>
          <a:ext cx="914400" cy="290763"/>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1100">
              <a:solidFill>
                <a:srgbClr val="FF0000"/>
              </a:solidFill>
            </a:rPr>
            <a:t>37%</a:t>
          </a:r>
        </a:p>
        <a:p>
          <a:pPr algn="l"/>
          <a:endParaRPr lang="en-KE" sz="1100"/>
        </a:p>
      </xdr:txBody>
    </xdr:sp>
    <xdr:clientData/>
  </xdr:twoCellAnchor>
  <xdr:twoCellAnchor>
    <xdr:from>
      <xdr:col>6</xdr:col>
      <xdr:colOff>100263</xdr:colOff>
      <xdr:row>3</xdr:row>
      <xdr:rowOff>170447</xdr:rowOff>
    </xdr:from>
    <xdr:to>
      <xdr:col>7</xdr:col>
      <xdr:colOff>403058</xdr:colOff>
      <xdr:row>5</xdr:row>
      <xdr:rowOff>80210</xdr:rowOff>
    </xdr:to>
    <xdr:sp macro="" textlink="">
      <xdr:nvSpPr>
        <xdr:cNvPr id="15" name="Rectangle 14">
          <a:extLst>
            <a:ext uri="{FF2B5EF4-FFF2-40B4-BE49-F238E27FC236}">
              <a16:creationId xmlns:a16="http://schemas.microsoft.com/office/drawing/2014/main" id="{0D370892-5579-CB57-F59A-070105A84C98}"/>
            </a:ext>
            <a:ext uri="{147F2762-F138-4A5C-976F-8EAC2B608ADB}">
              <a16:predDERef xmlns:a16="http://schemas.microsoft.com/office/drawing/2014/main" pred="{7368FFEE-432F-C35F-4570-F074A1FC4BA2}"/>
            </a:ext>
          </a:extLst>
        </xdr:cNvPr>
        <xdr:cNvSpPr/>
      </xdr:nvSpPr>
      <xdr:spPr>
        <a:xfrm>
          <a:off x="3769895" y="741947"/>
          <a:ext cx="914400" cy="290763"/>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1100">
              <a:solidFill>
                <a:srgbClr val="FF0000"/>
              </a:solidFill>
            </a:rPr>
            <a:t>ksh 1,186.9</a:t>
          </a:r>
        </a:p>
        <a:p>
          <a:pPr algn="l"/>
          <a:endParaRPr lang="en-KE" sz="1100"/>
        </a:p>
      </xdr:txBody>
    </xdr:sp>
    <xdr:clientData/>
  </xdr:twoCellAnchor>
  <xdr:twoCellAnchor>
    <xdr:from>
      <xdr:col>4</xdr:col>
      <xdr:colOff>333375</xdr:colOff>
      <xdr:row>4</xdr:row>
      <xdr:rowOff>9525</xdr:rowOff>
    </xdr:from>
    <xdr:to>
      <xdr:col>5</xdr:col>
      <xdr:colOff>561975</xdr:colOff>
      <xdr:row>5</xdr:row>
      <xdr:rowOff>66675</xdr:rowOff>
    </xdr:to>
    <xdr:sp macro="" textlink="">
      <xdr:nvSpPr>
        <xdr:cNvPr id="16" name="Rectangle 15">
          <a:extLst>
            <a:ext uri="{FF2B5EF4-FFF2-40B4-BE49-F238E27FC236}">
              <a16:creationId xmlns:a16="http://schemas.microsoft.com/office/drawing/2014/main" id="{030F0357-8446-2DA3-0B08-EFEDDB7A252B}"/>
            </a:ext>
            <a:ext uri="{147F2762-F138-4A5C-976F-8EAC2B608ADB}">
              <a16:predDERef xmlns:a16="http://schemas.microsoft.com/office/drawing/2014/main" pred="{0D370892-5579-CB57-F59A-070105A84C98}"/>
            </a:ext>
          </a:extLst>
        </xdr:cNvPr>
        <xdr:cNvSpPr/>
      </xdr:nvSpPr>
      <xdr:spPr>
        <a:xfrm>
          <a:off x="2771775" y="771525"/>
          <a:ext cx="838200" cy="24765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lang="en-US" sz="1100">
              <a:solidFill>
                <a:srgbClr val="FF0000"/>
              </a:solidFill>
              <a:latin typeface="+mn-lt"/>
              <a:ea typeface="+mn-lt"/>
              <a:cs typeface="+mn-lt"/>
            </a:rPr>
            <a:t>112</a:t>
          </a:r>
        </a:p>
        <a:p>
          <a:pPr marL="0" indent="0" algn="l"/>
          <a:endParaRPr lang="en-US" sz="1100">
            <a:solidFill>
              <a:schemeClr val="lt1"/>
            </a:solidFill>
            <a:latin typeface="+mn-lt"/>
            <a:ea typeface="+mn-lt"/>
            <a:cs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276225</xdr:colOff>
      <xdr:row>0</xdr:row>
      <xdr:rowOff>161925</xdr:rowOff>
    </xdr:from>
    <xdr:to>
      <xdr:col>6</xdr:col>
      <xdr:colOff>242205</xdr:colOff>
      <xdr:row>11</xdr:row>
      <xdr:rowOff>59870</xdr:rowOff>
    </xdr:to>
    <xdr:graphicFrame macro="">
      <xdr:nvGraphicFramePr>
        <xdr:cNvPr id="2" name="Chart 16">
          <a:extLst>
            <a:ext uri="{FF2B5EF4-FFF2-40B4-BE49-F238E27FC236}">
              <a16:creationId xmlns:a16="http://schemas.microsoft.com/office/drawing/2014/main" id="{833EB0E1-59FB-49A8-8E05-9AB768518F91}"/>
            </a:ext>
            <a:ext uri="{147F2762-F138-4A5C-976F-8EAC2B608ADB}">
              <a16:predDERef xmlns:a16="http://schemas.microsoft.com/office/drawing/2014/main" pred="{BE1AFAAA-0878-404E-9A0E-024DF5281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561975</xdr:colOff>
      <xdr:row>0</xdr:row>
      <xdr:rowOff>114300</xdr:rowOff>
    </xdr:from>
    <xdr:to>
      <xdr:col>12</xdr:col>
      <xdr:colOff>598261</xdr:colOff>
      <xdr:row>11</xdr:row>
      <xdr:rowOff>23585</xdr:rowOff>
    </xdr:to>
    <xdr:graphicFrame macro="">
      <xdr:nvGraphicFramePr>
        <xdr:cNvPr id="3" name="Chart 17">
          <a:extLst>
            <a:ext uri="{FF2B5EF4-FFF2-40B4-BE49-F238E27FC236}">
              <a16:creationId xmlns:a16="http://schemas.microsoft.com/office/drawing/2014/main" id="{0A3FF3ED-1A70-41D6-9E44-32F0BC2D9ACF}"/>
            </a:ext>
            <a:ext uri="{147F2762-F138-4A5C-976F-8EAC2B608ADB}">
              <a16:predDERef xmlns:a16="http://schemas.microsoft.com/office/drawing/2014/main" pred="{833EB0E1-59FB-49A8-8E05-9AB768518F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142875</xdr:colOff>
      <xdr:row>0</xdr:row>
      <xdr:rowOff>104775</xdr:rowOff>
    </xdr:from>
    <xdr:to>
      <xdr:col>19</xdr:col>
      <xdr:colOff>175373</xdr:colOff>
      <xdr:row>11</xdr:row>
      <xdr:rowOff>12327</xdr:rowOff>
    </xdr:to>
    <xdr:graphicFrame macro="">
      <xdr:nvGraphicFramePr>
        <xdr:cNvPr id="4" name="Chart 21">
          <a:extLst>
            <a:ext uri="{FF2B5EF4-FFF2-40B4-BE49-F238E27FC236}">
              <a16:creationId xmlns:a16="http://schemas.microsoft.com/office/drawing/2014/main" id="{688E44F4-51EE-4C97-8EDE-3DFAFBD76961}"/>
            </a:ext>
            <a:ext uri="{147F2762-F138-4A5C-976F-8EAC2B608ADB}">
              <a16:predDERef xmlns:a16="http://schemas.microsoft.com/office/drawing/2014/main" pred="{0A3FF3ED-1A70-41D6-9E44-32F0BC2D9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133350</xdr:colOff>
      <xdr:row>11</xdr:row>
      <xdr:rowOff>133350</xdr:rowOff>
    </xdr:from>
    <xdr:to>
      <xdr:col>6</xdr:col>
      <xdr:colOff>109538</xdr:colOff>
      <xdr:row>25</xdr:row>
      <xdr:rowOff>38099</xdr:rowOff>
    </xdr:to>
    <xdr:graphicFrame macro="">
      <xdr:nvGraphicFramePr>
        <xdr:cNvPr id="6" name="Chart 31">
          <a:extLst>
            <a:ext uri="{FF2B5EF4-FFF2-40B4-BE49-F238E27FC236}">
              <a16:creationId xmlns:a16="http://schemas.microsoft.com/office/drawing/2014/main" id="{B8DB0124-37A9-4B18-9553-C9BD82F9338D}"/>
            </a:ext>
            <a:ext uri="{147F2762-F138-4A5C-976F-8EAC2B608ADB}">
              <a16:predDERef xmlns:a16="http://schemas.microsoft.com/office/drawing/2014/main" pred="{688E44F4-51EE-4C97-8EDE-3DFAFBD76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66675</xdr:colOff>
      <xdr:row>11</xdr:row>
      <xdr:rowOff>123825</xdr:rowOff>
    </xdr:from>
    <xdr:to>
      <xdr:col>12</xdr:col>
      <xdr:colOff>581025</xdr:colOff>
      <xdr:row>26</xdr:row>
      <xdr:rowOff>9525</xdr:rowOff>
    </xdr:to>
    <xdr:graphicFrame macro="">
      <xdr:nvGraphicFramePr>
        <xdr:cNvPr id="7" name="Chart 33">
          <a:extLst>
            <a:ext uri="{FF2B5EF4-FFF2-40B4-BE49-F238E27FC236}">
              <a16:creationId xmlns:a16="http://schemas.microsoft.com/office/drawing/2014/main" id="{7C4DB5FD-F2A1-43EA-A9A0-87464A656668}"/>
            </a:ext>
            <a:ext uri="{147F2762-F138-4A5C-976F-8EAC2B608ADB}">
              <a16:predDERef xmlns:a16="http://schemas.microsoft.com/office/drawing/2014/main" pred="{B8DB0124-37A9-4B18-9553-C9BD82F933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el mwangi" refreshedDate="46269.546769675922" createdVersion="8" refreshedVersion="8" minRefreshableVersion="3" recordCount="111" xr:uid="{478721A3-895D-42C3-B625-40FFC91DEF50}">
  <cacheSource type="worksheet">
    <worksheetSource name="Excel_jumia_dataset__4"/>
  </cacheSource>
  <cacheFields count="21">
    <cacheField name="Product" numFmtId="0">
      <sharedItems count="108">
        <s v="120W Cordless Vacuum Cleaners Handheld Electric Vacuum Cleaner"/>
        <s v="137 Pieces Cake Decorating Tool Set Baking Supplies"/>
        <s v="Electronic Digital Display Vernier Caliper"/>
        <s v="3D Waterproof EVA Plastic Shower Curtain 1.8*2Mtrs"/>
        <s v="100 Pcs Crochet Hook Tool Set Knitting Hook Set With Box"/>
        <s v="Punch-free Great Load Bearing Bathroom Storage Rack Wall Shelf-White"/>
        <s v="53 Pieces/Set Yarn Knitting Crochet Hooks With Bag - Pansies"/>
        <s v="Portable Mini Cordless Car Vacuum Cleaner - Blue"/>
        <s v="52 Pieces Cake Decorating Tool Set Gift Kit Baking Supplies"/>
        <s v="53Pcs/Set Yarn Knitting Crochet Hooks With Bag - Fortune Cat"/>
        <s v="Agapeon Toothbrush Holder And Toothpaste Dispenser"/>
        <s v="VIC Wireless Vacuum Cleaner Dual Use For Home And Car 120W High Power Powerful"/>
        <s v="220V 60W Electric Soldering Iron Kits With Tools, Tips, And Multimeter"/>
        <s v="Intelligent  LED Body Sensor Wireless Lighting Night Light USB"/>
        <s v="Metal Decorative Hooks Key Hangers Entryway Wall Hooks Towel Hooks - Home"/>
        <s v="Foldable Overbed Table/Desk"/>
        <s v="3PCS Single Head Knitting Crochet Sweater Needle Set"/>
        <s v="12 Litre Black Insulated Lunch Box"/>
        <s v="5-PCS Stainless Steel Cooking Pot Set With Steamed Slices"/>
        <s v="Genebre 115 In 1 Screwdriver Repairing Tool Set For IPhone Cellphone Hand Tool"/>
        <s v="40cm Gold DIY Acrylic Wall Sticker Clock"/>
        <s v="Portable Wardrobe Nonwoven With 3 Hanging Rods And 6 Storage Shelves"/>
        <s v="12 Litre Insulated Lunch Box Grey"/>
        <s v="Mythco 120COB Solar Wall Ligt With Motion Sensor And Remote Control 3 Modes"/>
        <s v="Multifunction Laser Level With Adjustment Tripod"/>
        <s v="Exfoliate And Exfoliate Face Towel - Black"/>
        <s v="LED Eye Protection  Desk Lamp , Study, Reading, USB Fan - Double Pen Holder"/>
        <s v="Weighing Scale Digital Bathroom Body Fat Scale USB-Black"/>
        <s v="LASA 3 Tier Bamboo Shoe Bench Storage Shelf"/>
        <s v="380ML USB Rechargeable Portable Small Blenders And Juicers"/>
        <s v="Electric LED UV Mosquito Killer Lamp, Outdoor/Indoor Fly Killer Trap Light -USB"/>
        <s v="LASA Digital Thermometer And Hydrometer"/>
        <s v="LED Romantic Spaceship Starry Sky Projector,Children's Bedroom Night Light-Blue"/>
        <s v="5 Pieces/set Of Stainless Steel Induction Cooker Pots"/>
        <s v="Artificial Potted Flowers Room Decorative Flowers (2 Pieces)"/>
        <s v="Watercolour Gold Foil Textured Print Pillow Cover"/>
        <s v="7-piece Set Of Storage Bags, Travel Storage Bags, Shoe Bags"/>
        <s v="Portable Home Small Air Humidifier 3-Speed Fan - Green"/>
        <s v="LASA FOLDING TABLE SERVING STAND"/>
        <s v="13 In 1 Home Repair Tools Box Kit Set"/>
        <s v="LED Wall Digital Alarm Clock Study Home 12 / 24H Clock Calendar"/>
        <s v="32PCS Portable Cordless Drill Set With Cyclic Battery Drive -26 Variable Speed"/>
        <s v="Large Lazy Inflatable Sofa Chairs PVC Lounger Seat Bag"/>
        <s v="Wrought Iron Bathroom Shelf Wall Mounted Free Punch Toilet Rack"/>
        <s v="LASA Aluminum Folding Truck Hand Cart - 68kg Max"/>
        <s v="115  Piece Set Of Multifunctional Precision Screwdrivers"/>
        <s v="Desk Foldable Fan Adjustable Fan Strong Wind 3 Gear Usb"/>
        <s v="Anti-Skid Absorbent Insulation Coaster  For Home Office"/>
        <s v="Peacock  Throw Pillow Cushion Case For Home Car"/>
        <s v="Classic Black Cat Cotton Hemp Pillow Case For Home Car"/>
        <s v="DIY File Folder, Office Drawer File Holder, Pen Holder, Desktop Storage Rack"/>
        <s v="Memory Foam Neck Pillow Cover, With Pillow Core - 50*30cm"/>
        <s v="Bedroom Simple Floor Hanging Clothes Rack Single Pole Hat Rack - White"/>
        <s v="Household Pineapple Peeler Peeler"/>
        <s v="Konka Healty Electric Kettle, 24-hour Heat Preservation,1.5L,800W, White"/>
        <s v="Wall-mounted Sticker Punch-free Plug Fixer"/>
        <s v="4pcs Bathroom/Kitchen Towel Rack,Roll Paper Holder,Towel Bars,Hook"/>
        <s v="MultiFunctional Storage Rack Multi-layer Bookshelf"/>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2PCS/LOT Solar LED Outdoor Intelligent Light Controlled Wall Lamp"/>
        <s v="3PCS Rotary Scraper Thermomix For Kitchen"/>
        <s v="Cushion Silicone Butt Cushion Summer Ice Cushion Honeycomb Gel Cushion"/>
        <s v="7PCS Silicone Thumb Knife Finger Protector Vegetable Harvesting Knife"/>
        <s v="5m Waterproof Spherical LED String Lights Outdoor Ball Chain Lights Party Lighting Decoration Adjustable"/>
        <s v="2 Pairs Cowhide Split Leather Work Gloves.32℉ Or Above Welding Gloves"/>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Black Simple Water Cup Wine Coaster Anti Slip Absorbent"/>
      </sharedItems>
    </cacheField>
    <cacheField name="Current price" numFmtId="0">
      <sharedItems containsSemiMixedTypes="0" containsString="0" containsNumber="1" containsInteger="1" minValue="38" maxValue="3750"/>
    </cacheField>
    <cacheField name="old price" numFmtId="0">
      <sharedItems containsSemiMixedTypes="0" containsString="0" containsNumber="1" containsInteger="1" minValue="80" maxValue="6143"/>
    </cacheField>
    <cacheField name="Discount" numFmtId="0">
      <sharedItems containsSemiMixedTypes="0" containsString="0" containsNumber="1" minValue="0.01" maxValue="0.64" count="46">
        <n v="0.49"/>
        <n v="0.24"/>
        <n v="0.35"/>
        <n v="0.34"/>
        <n v="0.41"/>
        <n v="0.27"/>
        <n v="0.25"/>
        <n v="0.3"/>
        <n v="0.45"/>
        <n v="0.22"/>
        <n v="0.09"/>
        <n v="0.52"/>
        <n v="0.47"/>
        <n v="0.23"/>
        <n v="0.53"/>
        <n v="0.32"/>
        <n v="0.55000000000000004"/>
        <n v="0.2"/>
        <n v="0.18"/>
        <n v="0.54"/>
        <n v="0.33"/>
        <n v="0.48"/>
        <n v="0.37"/>
        <n v="0.5"/>
        <n v="0.42"/>
        <n v="0.13"/>
        <n v="0.43"/>
        <n v="0.26"/>
        <n v="0.19"/>
        <n v="0.39"/>
        <n v="0.28999999999999998"/>
        <n v="0.38"/>
        <n v="0.51"/>
        <n v="0.46"/>
        <n v="0.4"/>
        <n v="0.21"/>
        <n v="0.02"/>
        <n v="0.61"/>
        <n v="0.03"/>
        <n v="0.04"/>
        <n v="0.36"/>
        <n v="0.14000000000000001"/>
        <n v="0.11"/>
        <n v="0.08"/>
        <n v="0.01"/>
        <n v="0.64"/>
      </sharedItems>
    </cacheField>
    <cacheField name="Review" numFmtId="0">
      <sharedItems containsString="0" containsBlank="1" containsNumber="1" containsInteger="1" minValue="1" maxValue="69"/>
    </cacheField>
    <cacheField name="Rating" numFmtId="0">
      <sharedItems containsString="0" containsBlank="1" containsNumber="1" minValue="2" maxValue="5"/>
    </cacheField>
    <cacheField name="Current price midpoint" numFmtId="0">
      <sharedItems containsNonDate="0" containsString="0" containsBlank="1"/>
    </cacheField>
    <cacheField name="Old price midpoint" numFmtId="0">
      <sharedItems containsNonDate="0" containsString="0" containsBlank="1"/>
    </cacheField>
    <cacheField name="Rating Check" numFmtId="0">
      <sharedItems containsBlank="1"/>
    </cacheField>
    <cacheField name="Price Check" numFmtId="0">
      <sharedItems containsNonDate="0" containsString="0" containsBlank="1"/>
    </cacheField>
    <cacheField name="Discount Check" numFmtId="0">
      <sharedItems containsNonDate="0" containsString="0" containsBlank="1"/>
    </cacheField>
    <cacheField name="Discount check 1" numFmtId="0">
      <sharedItems/>
    </cacheField>
    <cacheField name="Dscount amouunt" numFmtId="0">
      <sharedItems containsSemiMixedTypes="0" containsString="0" containsNumber="1" containsInteger="1" minValue="24" maxValue="2585"/>
    </cacheField>
    <cacheField name="Rating category" numFmtId="0">
      <sharedItems count="4">
        <s v="Poor"/>
        <s v="Excellent"/>
        <s v="Average"/>
        <s v="Missing"/>
      </sharedItems>
    </cacheField>
    <cacheField name="Discount Category" numFmtId="0">
      <sharedItems count="3">
        <s v="High Discount"/>
        <s v="Medium Discount"/>
        <s v="Low Discount"/>
      </sharedItems>
    </cacheField>
    <cacheField name="Price Category" numFmtId="0">
      <sharedItems count="3">
        <s v="Low Price"/>
        <s v="High Price"/>
        <s v="Medium Price"/>
      </sharedItems>
    </cacheField>
    <cacheField name="Strong Engagement" numFmtId="0">
      <sharedItems/>
    </cacheField>
    <cacheField name="High Discount Low Rating" numFmtId="0">
      <sharedItems count="3">
        <s v="Yes"/>
        <s v="No"/>
        <s v="Missing"/>
      </sharedItems>
    </cacheField>
    <cacheField name="High Discount LowEngagement" numFmtId="0">
      <sharedItems count="3">
        <s v="No"/>
        <s v="Yes"/>
        <s v="Missing"/>
      </sharedItems>
    </cacheField>
    <cacheField name="Strong Engagement Excellent Rating" numFmtId="0">
      <sharedItems/>
    </cacheField>
    <cacheField name="Many Reviews Average Rating" numFmtId="0">
      <sharedItems count="3">
        <s v="No"/>
        <s v="Yes"/>
        <s v="Missing"/>
      </sharedItems>
    </cacheField>
  </cacheFields>
  <extLst>
    <ext xmlns:x14="http://schemas.microsoft.com/office/spreadsheetml/2009/9/main" uri="{725AE2AE-9491-48be-B2B4-4EB974FC3084}">
      <x14:pivotCacheDefinition pivotCacheId="8321505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
  <r>
    <x v="0"/>
    <n v="445"/>
    <n v="873"/>
    <x v="0"/>
    <n v="69"/>
    <n v="2.8"/>
    <m/>
    <m/>
    <s v="OK"/>
    <m/>
    <m/>
    <s v="OK"/>
    <n v="428"/>
    <x v="0"/>
    <x v="0"/>
    <x v="0"/>
    <s v="Strong Engagement"/>
    <x v="0"/>
    <x v="0"/>
    <s v="No"/>
    <x v="0"/>
  </r>
  <r>
    <x v="1"/>
    <n v="2319"/>
    <n v="3032"/>
    <x v="1"/>
    <n v="55"/>
    <n v="4.5999999999999996"/>
    <m/>
    <m/>
    <s v="OK"/>
    <m/>
    <m/>
    <s v="OK"/>
    <n v="713"/>
    <x v="1"/>
    <x v="1"/>
    <x v="1"/>
    <s v="Strong Engagement"/>
    <x v="1"/>
    <x v="0"/>
    <s v="Yes"/>
    <x v="0"/>
  </r>
  <r>
    <x v="2"/>
    <n v="420"/>
    <n v="647"/>
    <x v="2"/>
    <n v="49"/>
    <n v="4.5999999999999996"/>
    <m/>
    <m/>
    <s v="OK"/>
    <m/>
    <m/>
    <s v="OK"/>
    <n v="227"/>
    <x v="1"/>
    <x v="1"/>
    <x v="0"/>
    <s v="Strong Engagement"/>
    <x v="1"/>
    <x v="0"/>
    <s v="Yes"/>
    <x v="0"/>
  </r>
  <r>
    <x v="3"/>
    <n v="998"/>
    <n v="1966"/>
    <x v="0"/>
    <n v="44"/>
    <n v="4.5999999999999996"/>
    <m/>
    <m/>
    <s v="OK"/>
    <m/>
    <m/>
    <s v="OK"/>
    <n v="968"/>
    <x v="1"/>
    <x v="0"/>
    <x v="2"/>
    <s v="Strong Engagement"/>
    <x v="1"/>
    <x v="0"/>
    <s v="Yes"/>
    <x v="0"/>
  </r>
  <r>
    <x v="4"/>
    <n v="990"/>
    <n v="1500"/>
    <x v="3"/>
    <n v="39"/>
    <n v="4.7"/>
    <m/>
    <m/>
    <s v="OK"/>
    <m/>
    <m/>
    <s v="OK"/>
    <n v="510"/>
    <x v="1"/>
    <x v="1"/>
    <x v="2"/>
    <s v="Strong Engagement"/>
    <x v="1"/>
    <x v="0"/>
    <s v="Yes"/>
    <x v="0"/>
  </r>
  <r>
    <x v="5"/>
    <n v="389"/>
    <n v="656"/>
    <x v="4"/>
    <n v="36"/>
    <n v="4.3"/>
    <m/>
    <m/>
    <s v="OK"/>
    <m/>
    <m/>
    <s v="OK"/>
    <n v="267"/>
    <x v="2"/>
    <x v="0"/>
    <x v="0"/>
    <s v="Strong Engagement"/>
    <x v="1"/>
    <x v="0"/>
    <s v="No"/>
    <x v="1"/>
  </r>
  <r>
    <x v="6"/>
    <n v="1980"/>
    <n v="2699"/>
    <x v="5"/>
    <n v="32"/>
    <n v="4.5"/>
    <m/>
    <m/>
    <s v="OK"/>
    <m/>
    <m/>
    <s v="OK"/>
    <n v="719"/>
    <x v="2"/>
    <x v="1"/>
    <x v="1"/>
    <s v="Strong Engagement"/>
    <x v="1"/>
    <x v="0"/>
    <s v="No"/>
    <x v="1"/>
  </r>
  <r>
    <x v="7"/>
    <n v="2199"/>
    <n v="2923"/>
    <x v="6"/>
    <n v="24"/>
    <n v="4.5999999999999996"/>
    <m/>
    <m/>
    <s v="OK"/>
    <m/>
    <m/>
    <s v="OK"/>
    <n v="724"/>
    <x v="1"/>
    <x v="1"/>
    <x v="1"/>
    <s v="Strong Engagement"/>
    <x v="1"/>
    <x v="0"/>
    <s v="Yes"/>
    <x v="0"/>
  </r>
  <r>
    <x v="8"/>
    <n v="1758"/>
    <n v="2499"/>
    <x v="7"/>
    <n v="20"/>
    <n v="4.0999999999999996"/>
    <m/>
    <m/>
    <s v="OK"/>
    <m/>
    <m/>
    <s v="OK"/>
    <n v="741"/>
    <x v="2"/>
    <x v="1"/>
    <x v="1"/>
    <s v="Strong Engagement"/>
    <x v="1"/>
    <x v="0"/>
    <s v="No"/>
    <x v="1"/>
  </r>
  <r>
    <x v="9"/>
    <n v="1940"/>
    <n v="2650"/>
    <x v="5"/>
    <n v="20"/>
    <n v="4.7"/>
    <m/>
    <m/>
    <s v="OK"/>
    <m/>
    <m/>
    <s v="OK"/>
    <n v="710"/>
    <x v="1"/>
    <x v="1"/>
    <x v="1"/>
    <s v="Strong Engagement"/>
    <x v="1"/>
    <x v="0"/>
    <s v="Yes"/>
    <x v="0"/>
  </r>
  <r>
    <x v="10"/>
    <n v="382"/>
    <n v="700"/>
    <x v="8"/>
    <n v="17"/>
    <n v="2.6"/>
    <m/>
    <m/>
    <s v="OK"/>
    <m/>
    <m/>
    <s v="OK"/>
    <n v="318"/>
    <x v="0"/>
    <x v="0"/>
    <x v="0"/>
    <s v="Strong Engagement"/>
    <x v="0"/>
    <x v="0"/>
    <s v="No"/>
    <x v="0"/>
  </r>
  <r>
    <x v="11"/>
    <n v="1220"/>
    <n v="1555"/>
    <x v="9"/>
    <n v="16"/>
    <n v="2.9"/>
    <m/>
    <m/>
    <s v="OK"/>
    <m/>
    <m/>
    <s v="OK"/>
    <n v="335"/>
    <x v="0"/>
    <x v="1"/>
    <x v="2"/>
    <s v="Strong Engagement"/>
    <x v="1"/>
    <x v="0"/>
    <s v="No"/>
    <x v="0"/>
  </r>
  <r>
    <x v="12"/>
    <n v="2999"/>
    <n v="3290"/>
    <x v="10"/>
    <n v="15"/>
    <n v="4"/>
    <m/>
    <m/>
    <s v="OK"/>
    <m/>
    <m/>
    <s v="OK"/>
    <n v="291"/>
    <x v="2"/>
    <x v="2"/>
    <x v="1"/>
    <s v="Strong Engagement"/>
    <x v="1"/>
    <x v="0"/>
    <s v="No"/>
    <x v="1"/>
  </r>
  <r>
    <x v="13"/>
    <n v="325"/>
    <n v="680"/>
    <x v="11"/>
    <n v="15"/>
    <n v="2.7"/>
    <m/>
    <m/>
    <s v="OK"/>
    <m/>
    <m/>
    <s v="OK"/>
    <n v="355"/>
    <x v="0"/>
    <x v="0"/>
    <x v="0"/>
    <s v="Strong Engagement"/>
    <x v="0"/>
    <x v="0"/>
    <s v="No"/>
    <x v="0"/>
  </r>
  <r>
    <x v="14"/>
    <n v="527"/>
    <n v="999"/>
    <x v="12"/>
    <n v="14"/>
    <n v="4.0999999999999996"/>
    <m/>
    <m/>
    <s v="OK"/>
    <m/>
    <m/>
    <s v="OK"/>
    <n v="472"/>
    <x v="2"/>
    <x v="0"/>
    <x v="2"/>
    <s v="Low Engagement"/>
    <x v="1"/>
    <x v="1"/>
    <s v="No"/>
    <x v="0"/>
  </r>
  <r>
    <x v="15"/>
    <n v="1650"/>
    <n v="2150"/>
    <x v="13"/>
    <n v="14"/>
    <n v="4.4000000000000004"/>
    <m/>
    <m/>
    <s v="OK"/>
    <m/>
    <m/>
    <s v="OK"/>
    <n v="500"/>
    <x v="2"/>
    <x v="1"/>
    <x v="2"/>
    <s v="Low Engagement"/>
    <x v="1"/>
    <x v="0"/>
    <s v="No"/>
    <x v="0"/>
  </r>
  <r>
    <x v="16"/>
    <n v="38"/>
    <n v="80"/>
    <x v="14"/>
    <n v="13"/>
    <n v="3.3"/>
    <m/>
    <m/>
    <s v="OK"/>
    <m/>
    <m/>
    <s v="OK"/>
    <n v="42"/>
    <x v="2"/>
    <x v="0"/>
    <x v="0"/>
    <s v="Low Engagement"/>
    <x v="1"/>
    <x v="1"/>
    <s v="No"/>
    <x v="0"/>
  </r>
  <r>
    <x v="17"/>
    <n v="1350"/>
    <n v="1990"/>
    <x v="15"/>
    <n v="13"/>
    <n v="3.8"/>
    <m/>
    <m/>
    <s v="OK"/>
    <m/>
    <m/>
    <s v="OK"/>
    <n v="640"/>
    <x v="2"/>
    <x v="1"/>
    <x v="2"/>
    <s v="Low Engagement"/>
    <x v="1"/>
    <x v="0"/>
    <s v="No"/>
    <x v="0"/>
  </r>
  <r>
    <x v="18"/>
    <n v="2115"/>
    <n v="4700"/>
    <x v="16"/>
    <n v="13"/>
    <n v="2.1"/>
    <m/>
    <m/>
    <s v="OK"/>
    <m/>
    <m/>
    <s v="OK"/>
    <n v="2585"/>
    <x v="0"/>
    <x v="0"/>
    <x v="1"/>
    <s v="Low Engagement"/>
    <x v="0"/>
    <x v="1"/>
    <s v="No"/>
    <x v="0"/>
  </r>
  <r>
    <x v="19"/>
    <n v="799"/>
    <n v="999"/>
    <x v="17"/>
    <n v="12"/>
    <n v="4.0999999999999996"/>
    <m/>
    <m/>
    <s v="OK"/>
    <m/>
    <m/>
    <s v="OK"/>
    <n v="200"/>
    <x v="2"/>
    <x v="1"/>
    <x v="2"/>
    <s v="Low Engagement"/>
    <x v="1"/>
    <x v="0"/>
    <s v="No"/>
    <x v="0"/>
  </r>
  <r>
    <x v="20"/>
    <n v="552"/>
    <n v="1035"/>
    <x v="12"/>
    <n v="12"/>
    <n v="4.8"/>
    <m/>
    <m/>
    <s v="OK"/>
    <m/>
    <m/>
    <s v="OK"/>
    <n v="483"/>
    <x v="1"/>
    <x v="0"/>
    <x v="2"/>
    <s v="Low Engagement"/>
    <x v="1"/>
    <x v="1"/>
    <s v="No"/>
    <x v="0"/>
  </r>
  <r>
    <x v="21"/>
    <n v="2880"/>
    <n v="3520"/>
    <x v="18"/>
    <n v="12"/>
    <n v="3.8"/>
    <m/>
    <m/>
    <s v="OK"/>
    <m/>
    <m/>
    <s v="OK"/>
    <n v="640"/>
    <x v="2"/>
    <x v="2"/>
    <x v="1"/>
    <s v="Low Engagement"/>
    <x v="1"/>
    <x v="0"/>
    <s v="No"/>
    <x v="0"/>
  </r>
  <r>
    <x v="22"/>
    <n v="980"/>
    <n v="1490"/>
    <x v="3"/>
    <n v="12"/>
    <n v="4.7"/>
    <m/>
    <m/>
    <s v="OK"/>
    <m/>
    <m/>
    <s v="OK"/>
    <n v="510"/>
    <x v="1"/>
    <x v="1"/>
    <x v="2"/>
    <s v="Low Engagement"/>
    <x v="1"/>
    <x v="0"/>
    <s v="No"/>
    <x v="0"/>
  </r>
  <r>
    <x v="23"/>
    <n v="458"/>
    <n v="986"/>
    <x v="19"/>
    <n v="10"/>
    <n v="3"/>
    <m/>
    <m/>
    <s v="OK"/>
    <m/>
    <m/>
    <s v="OK"/>
    <n v="528"/>
    <x v="2"/>
    <x v="0"/>
    <x v="0"/>
    <s v="Low Engagement"/>
    <x v="1"/>
    <x v="1"/>
    <s v="No"/>
    <x v="0"/>
  </r>
  <r>
    <x v="24"/>
    <n v="1680"/>
    <n v="2499"/>
    <x v="20"/>
    <n v="9"/>
    <n v="4.2"/>
    <m/>
    <m/>
    <s v="OK"/>
    <m/>
    <m/>
    <s v="OK"/>
    <n v="819"/>
    <x v="2"/>
    <x v="1"/>
    <x v="1"/>
    <s v="Low Engagement"/>
    <x v="1"/>
    <x v="0"/>
    <s v="No"/>
    <x v="0"/>
  </r>
  <r>
    <x v="25"/>
    <n v="185"/>
    <n v="382"/>
    <x v="11"/>
    <n v="9"/>
    <n v="4.3"/>
    <m/>
    <m/>
    <s v="OK"/>
    <m/>
    <m/>
    <s v="OK"/>
    <n v="197"/>
    <x v="2"/>
    <x v="0"/>
    <x v="0"/>
    <s v="Low Engagement"/>
    <x v="1"/>
    <x v="1"/>
    <s v="No"/>
    <x v="0"/>
  </r>
  <r>
    <x v="26"/>
    <n v="1820"/>
    <n v="3490"/>
    <x v="21"/>
    <n v="9"/>
    <n v="4.3"/>
    <m/>
    <m/>
    <s v="OK"/>
    <m/>
    <m/>
    <s v="OK"/>
    <n v="1670"/>
    <x v="2"/>
    <x v="0"/>
    <x v="1"/>
    <s v="Low Engagement"/>
    <x v="1"/>
    <x v="1"/>
    <s v="No"/>
    <x v="0"/>
  </r>
  <r>
    <x v="27"/>
    <n v="1580"/>
    <n v="2499"/>
    <x v="22"/>
    <n v="7"/>
    <n v="4.7"/>
    <m/>
    <m/>
    <s v="OK"/>
    <m/>
    <m/>
    <s v="OK"/>
    <n v="919"/>
    <x v="1"/>
    <x v="1"/>
    <x v="2"/>
    <s v="Low Engagement"/>
    <x v="1"/>
    <x v="0"/>
    <s v="No"/>
    <x v="0"/>
  </r>
  <r>
    <x v="28"/>
    <n v="2048"/>
    <n v="4500"/>
    <x v="19"/>
    <n v="7"/>
    <n v="4.3"/>
    <m/>
    <m/>
    <s v="OK"/>
    <m/>
    <m/>
    <s v="OK"/>
    <n v="2452"/>
    <x v="2"/>
    <x v="0"/>
    <x v="1"/>
    <s v="Low Engagement"/>
    <x v="1"/>
    <x v="1"/>
    <s v="No"/>
    <x v="0"/>
  </r>
  <r>
    <x v="29"/>
    <n v="1000"/>
    <n v="2000"/>
    <x v="23"/>
    <n v="7"/>
    <n v="2.2999999999999998"/>
    <m/>
    <m/>
    <s v="OK"/>
    <m/>
    <m/>
    <s v="OK"/>
    <n v="1000"/>
    <x v="0"/>
    <x v="0"/>
    <x v="2"/>
    <s v="Low Engagement"/>
    <x v="0"/>
    <x v="1"/>
    <s v="No"/>
    <x v="0"/>
  </r>
  <r>
    <x v="30"/>
    <n v="1570"/>
    <n v="2988"/>
    <x v="12"/>
    <n v="7"/>
    <n v="2.1"/>
    <m/>
    <m/>
    <s v="OK"/>
    <m/>
    <m/>
    <s v="OK"/>
    <n v="1418"/>
    <x v="0"/>
    <x v="0"/>
    <x v="2"/>
    <s v="Low Engagement"/>
    <x v="0"/>
    <x v="1"/>
    <s v="No"/>
    <x v="0"/>
  </r>
  <r>
    <x v="31"/>
    <n v="501"/>
    <n v="860"/>
    <x v="24"/>
    <n v="6"/>
    <n v="4.5"/>
    <m/>
    <m/>
    <s v="OK"/>
    <m/>
    <m/>
    <s v="OK"/>
    <n v="359"/>
    <x v="2"/>
    <x v="0"/>
    <x v="2"/>
    <s v="Low Engagement"/>
    <x v="1"/>
    <x v="1"/>
    <s v="No"/>
    <x v="0"/>
  </r>
  <r>
    <x v="32"/>
    <n v="880"/>
    <n v="1350"/>
    <x v="2"/>
    <n v="6"/>
    <n v="4"/>
    <m/>
    <m/>
    <s v="OK"/>
    <m/>
    <m/>
    <s v="OK"/>
    <n v="470"/>
    <x v="2"/>
    <x v="1"/>
    <x v="2"/>
    <s v="Low Engagement"/>
    <x v="1"/>
    <x v="0"/>
    <s v="No"/>
    <x v="0"/>
  </r>
  <r>
    <x v="33"/>
    <n v="2170"/>
    <n v="2500"/>
    <x v="25"/>
    <n v="6"/>
    <n v="2.5"/>
    <m/>
    <m/>
    <s v="OK"/>
    <m/>
    <m/>
    <s v="OK"/>
    <n v="330"/>
    <x v="0"/>
    <x v="2"/>
    <x v="1"/>
    <s v="Low Engagement"/>
    <x v="1"/>
    <x v="0"/>
    <s v="No"/>
    <x v="0"/>
  </r>
  <r>
    <x v="34"/>
    <n v="990"/>
    <n v="1814"/>
    <x v="8"/>
    <n v="6"/>
    <n v="2.2000000000000002"/>
    <m/>
    <m/>
    <s v="OK"/>
    <m/>
    <m/>
    <s v="OK"/>
    <n v="824"/>
    <x v="0"/>
    <x v="0"/>
    <x v="2"/>
    <s v="Low Engagement"/>
    <x v="0"/>
    <x v="1"/>
    <s v="No"/>
    <x v="0"/>
  </r>
  <r>
    <x v="35"/>
    <n v="345"/>
    <n v="602"/>
    <x v="26"/>
    <n v="6"/>
    <n v="2.2999999999999998"/>
    <m/>
    <m/>
    <s v="OK"/>
    <m/>
    <m/>
    <s v="OK"/>
    <n v="257"/>
    <x v="0"/>
    <x v="0"/>
    <x v="0"/>
    <s v="Low Engagement"/>
    <x v="0"/>
    <x v="1"/>
    <s v="No"/>
    <x v="0"/>
  </r>
  <r>
    <x v="36"/>
    <n v="968"/>
    <n v="1814"/>
    <x v="12"/>
    <n v="6"/>
    <n v="2.2000000000000002"/>
    <m/>
    <m/>
    <s v="OK"/>
    <m/>
    <m/>
    <s v="OK"/>
    <n v="846"/>
    <x v="0"/>
    <x v="0"/>
    <x v="2"/>
    <s v="Low Engagement"/>
    <x v="0"/>
    <x v="1"/>
    <s v="No"/>
    <x v="0"/>
  </r>
  <r>
    <x v="37"/>
    <n v="1740"/>
    <n v="2356"/>
    <x v="27"/>
    <n v="5"/>
    <n v="4.8"/>
    <m/>
    <m/>
    <s v="OK"/>
    <m/>
    <m/>
    <s v="OK"/>
    <n v="616"/>
    <x v="1"/>
    <x v="1"/>
    <x v="1"/>
    <s v="Low Engagement"/>
    <x v="1"/>
    <x v="0"/>
    <s v="No"/>
    <x v="0"/>
  </r>
  <r>
    <x v="38"/>
    <n v="1274"/>
    <n v="2800"/>
    <x v="16"/>
    <n v="5"/>
    <n v="4.8"/>
    <m/>
    <m/>
    <s v="OK"/>
    <m/>
    <m/>
    <s v="OK"/>
    <n v="1526"/>
    <x v="1"/>
    <x v="0"/>
    <x v="2"/>
    <s v="Low Engagement"/>
    <x v="1"/>
    <x v="1"/>
    <s v="No"/>
    <x v="0"/>
  </r>
  <r>
    <x v="39"/>
    <n v="1600"/>
    <n v="2929"/>
    <x v="8"/>
    <n v="5"/>
    <n v="3.8"/>
    <m/>
    <m/>
    <s v="OK"/>
    <m/>
    <m/>
    <s v="OK"/>
    <n v="1329"/>
    <x v="2"/>
    <x v="0"/>
    <x v="2"/>
    <s v="Low Engagement"/>
    <x v="1"/>
    <x v="1"/>
    <s v="No"/>
    <x v="0"/>
  </r>
  <r>
    <x v="40"/>
    <n v="2999"/>
    <n v="3699"/>
    <x v="28"/>
    <n v="5"/>
    <n v="4.5999999999999996"/>
    <m/>
    <m/>
    <s v="OK"/>
    <m/>
    <m/>
    <s v="OK"/>
    <n v="700"/>
    <x v="1"/>
    <x v="2"/>
    <x v="1"/>
    <s v="Low Engagement"/>
    <x v="1"/>
    <x v="0"/>
    <s v="No"/>
    <x v="0"/>
  </r>
  <r>
    <x v="41"/>
    <n v="3750"/>
    <n v="6143"/>
    <x v="29"/>
    <n v="5"/>
    <n v="3"/>
    <m/>
    <m/>
    <s v="OK"/>
    <m/>
    <m/>
    <s v="OK"/>
    <n v="2393"/>
    <x v="2"/>
    <x v="1"/>
    <x v="1"/>
    <s v="Low Engagement"/>
    <x v="1"/>
    <x v="0"/>
    <s v="No"/>
    <x v="0"/>
  </r>
  <r>
    <x v="42"/>
    <n v="2300"/>
    <n v="3240"/>
    <x v="30"/>
    <n v="5"/>
    <n v="3"/>
    <m/>
    <m/>
    <s v="OK"/>
    <m/>
    <m/>
    <s v="OK"/>
    <n v="940"/>
    <x v="2"/>
    <x v="1"/>
    <x v="1"/>
    <s v="Low Engagement"/>
    <x v="1"/>
    <x v="0"/>
    <s v="No"/>
    <x v="0"/>
  </r>
  <r>
    <x v="43"/>
    <n v="509"/>
    <n v="899"/>
    <x v="26"/>
    <n v="5"/>
    <n v="3"/>
    <m/>
    <m/>
    <s v="OK"/>
    <m/>
    <m/>
    <s v="OK"/>
    <n v="390"/>
    <x v="2"/>
    <x v="0"/>
    <x v="2"/>
    <s v="Low Engagement"/>
    <x v="1"/>
    <x v="1"/>
    <s v="No"/>
    <x v="0"/>
  </r>
  <r>
    <x v="44"/>
    <n v="2025"/>
    <n v="3971"/>
    <x v="0"/>
    <n v="3"/>
    <n v="5"/>
    <m/>
    <m/>
    <s v="OK"/>
    <m/>
    <m/>
    <s v="OK"/>
    <n v="1946"/>
    <x v="1"/>
    <x v="0"/>
    <x v="1"/>
    <s v="Low Engagement"/>
    <x v="1"/>
    <x v="1"/>
    <s v="No"/>
    <x v="0"/>
  </r>
  <r>
    <x v="45"/>
    <n v="950"/>
    <n v="1525"/>
    <x v="31"/>
    <n v="2"/>
    <n v="4.5"/>
    <m/>
    <m/>
    <s v="OK"/>
    <m/>
    <m/>
    <s v="OK"/>
    <n v="575"/>
    <x v="2"/>
    <x v="1"/>
    <x v="2"/>
    <s v="Low Engagement"/>
    <x v="1"/>
    <x v="0"/>
    <s v="No"/>
    <x v="0"/>
  </r>
  <r>
    <x v="46"/>
    <n v="988"/>
    <n v="1580"/>
    <x v="22"/>
    <n v="2"/>
    <n v="4"/>
    <m/>
    <m/>
    <s v="OK"/>
    <m/>
    <m/>
    <s v="OK"/>
    <n v="592"/>
    <x v="2"/>
    <x v="1"/>
    <x v="2"/>
    <s v="Low Engagement"/>
    <x v="1"/>
    <x v="0"/>
    <s v="No"/>
    <x v="0"/>
  </r>
  <r>
    <x v="47"/>
    <n v="332"/>
    <n v="684"/>
    <x v="32"/>
    <n v="2"/>
    <n v="5"/>
    <m/>
    <m/>
    <s v="OK"/>
    <m/>
    <m/>
    <s v="OK"/>
    <n v="352"/>
    <x v="1"/>
    <x v="0"/>
    <x v="0"/>
    <s v="Low Engagement"/>
    <x v="1"/>
    <x v="1"/>
    <s v="No"/>
    <x v="0"/>
  </r>
  <r>
    <x v="48"/>
    <n v="195"/>
    <n v="360"/>
    <x v="33"/>
    <n v="2"/>
    <n v="5"/>
    <m/>
    <m/>
    <s v="OK"/>
    <m/>
    <m/>
    <s v="OK"/>
    <n v="165"/>
    <x v="1"/>
    <x v="0"/>
    <x v="0"/>
    <s v="Low Engagement"/>
    <x v="1"/>
    <x v="1"/>
    <s v="No"/>
    <x v="0"/>
  </r>
  <r>
    <x v="49"/>
    <n v="171"/>
    <n v="360"/>
    <x v="14"/>
    <n v="2"/>
    <n v="5"/>
    <m/>
    <m/>
    <s v="OK"/>
    <m/>
    <m/>
    <s v="OK"/>
    <n v="189"/>
    <x v="1"/>
    <x v="0"/>
    <x v="0"/>
    <s v="Low Engagement"/>
    <x v="1"/>
    <x v="1"/>
    <s v="No"/>
    <x v="0"/>
  </r>
  <r>
    <x v="50"/>
    <n v="1620"/>
    <n v="2690"/>
    <x v="34"/>
    <n v="1"/>
    <n v="5"/>
    <m/>
    <m/>
    <s v="OK"/>
    <m/>
    <m/>
    <s v="OK"/>
    <n v="1070"/>
    <x v="1"/>
    <x v="1"/>
    <x v="2"/>
    <s v="Low Engagement"/>
    <x v="1"/>
    <x v="0"/>
    <s v="No"/>
    <x v="0"/>
  </r>
  <r>
    <x v="51"/>
    <n v="1189"/>
    <n v="2199"/>
    <x v="33"/>
    <n v="1"/>
    <n v="3"/>
    <m/>
    <m/>
    <s v="OK"/>
    <m/>
    <m/>
    <s v="OK"/>
    <n v="1010"/>
    <x v="2"/>
    <x v="0"/>
    <x v="2"/>
    <s v="Low Engagement"/>
    <x v="1"/>
    <x v="1"/>
    <s v="No"/>
    <x v="0"/>
  </r>
  <r>
    <x v="52"/>
    <n v="979"/>
    <n v="1920"/>
    <x v="0"/>
    <n v="1"/>
    <n v="5"/>
    <m/>
    <m/>
    <s v="OK"/>
    <m/>
    <m/>
    <s v="OK"/>
    <n v="941"/>
    <x v="1"/>
    <x v="0"/>
    <x v="2"/>
    <s v="Low Engagement"/>
    <x v="1"/>
    <x v="1"/>
    <s v="No"/>
    <x v="0"/>
  </r>
  <r>
    <x v="53"/>
    <n v="330"/>
    <n v="647"/>
    <x v="0"/>
    <n v="1"/>
    <n v="4"/>
    <m/>
    <m/>
    <s v="OK"/>
    <m/>
    <m/>
    <s v="OK"/>
    <n v="317"/>
    <x v="2"/>
    <x v="0"/>
    <x v="0"/>
    <s v="Low Engagement"/>
    <x v="1"/>
    <x v="1"/>
    <s v="No"/>
    <x v="0"/>
  </r>
  <r>
    <x v="54"/>
    <n v="3640"/>
    <n v="4588"/>
    <x v="35"/>
    <n v="1"/>
    <n v="5"/>
    <m/>
    <m/>
    <s v="OK"/>
    <m/>
    <m/>
    <s v="OK"/>
    <n v="948"/>
    <x v="1"/>
    <x v="1"/>
    <x v="1"/>
    <s v="Low Engagement"/>
    <x v="1"/>
    <x v="0"/>
    <s v="No"/>
    <x v="0"/>
  </r>
  <r>
    <x v="55"/>
    <n v="450"/>
    <n v="900"/>
    <x v="23"/>
    <n v="1"/>
    <n v="2"/>
    <m/>
    <m/>
    <s v="OK"/>
    <m/>
    <m/>
    <s v="OK"/>
    <n v="450"/>
    <x v="0"/>
    <x v="0"/>
    <x v="0"/>
    <s v="Low Engagement"/>
    <x v="0"/>
    <x v="1"/>
    <s v="No"/>
    <x v="0"/>
  </r>
  <r>
    <x v="56"/>
    <n v="1860"/>
    <n v="3220"/>
    <x v="24"/>
    <m/>
    <m/>
    <m/>
    <m/>
    <m/>
    <m/>
    <m/>
    <s v="OK"/>
    <n v="1360"/>
    <x v="3"/>
    <x v="0"/>
    <x v="1"/>
    <s v="Missing"/>
    <x v="2"/>
    <x v="2"/>
    <s v="Missing"/>
    <x v="2"/>
  </r>
  <r>
    <x v="57"/>
    <n v="2200"/>
    <n v="4080"/>
    <x v="33"/>
    <m/>
    <m/>
    <m/>
    <m/>
    <m/>
    <m/>
    <m/>
    <s v="OK"/>
    <n v="1880"/>
    <x v="3"/>
    <x v="0"/>
    <x v="1"/>
    <s v="Missing"/>
    <x v="2"/>
    <x v="2"/>
    <s v="Missing"/>
    <x v="2"/>
  </r>
  <r>
    <x v="58"/>
    <n v="2750"/>
    <n v="4471"/>
    <x v="31"/>
    <m/>
    <m/>
    <m/>
    <m/>
    <m/>
    <m/>
    <m/>
    <s v="OK"/>
    <n v="1721"/>
    <x v="3"/>
    <x v="1"/>
    <x v="1"/>
    <s v="Missing"/>
    <x v="2"/>
    <x v="2"/>
    <s v="Missing"/>
    <x v="2"/>
  </r>
  <r>
    <x v="59"/>
    <n v="475"/>
    <n v="931"/>
    <x v="0"/>
    <m/>
    <m/>
    <m/>
    <m/>
    <m/>
    <m/>
    <m/>
    <s v="OK"/>
    <n v="456"/>
    <x v="3"/>
    <x v="0"/>
    <x v="0"/>
    <s v="Missing"/>
    <x v="2"/>
    <x v="2"/>
    <s v="Missing"/>
    <x v="2"/>
  </r>
  <r>
    <x v="60"/>
    <n v="238"/>
    <n v="476"/>
    <x v="23"/>
    <m/>
    <m/>
    <m/>
    <m/>
    <m/>
    <m/>
    <m/>
    <s v="OK"/>
    <n v="238"/>
    <x v="3"/>
    <x v="0"/>
    <x v="0"/>
    <s v="Missing"/>
    <x v="2"/>
    <x v="2"/>
    <s v="Missing"/>
    <x v="2"/>
  </r>
  <r>
    <x v="61"/>
    <n v="610"/>
    <n v="1060"/>
    <x v="24"/>
    <m/>
    <m/>
    <m/>
    <m/>
    <m/>
    <m/>
    <m/>
    <s v="OK"/>
    <n v="450"/>
    <x v="3"/>
    <x v="0"/>
    <x v="2"/>
    <s v="Missing"/>
    <x v="2"/>
    <x v="2"/>
    <s v="Missing"/>
    <x v="2"/>
  </r>
  <r>
    <x v="62"/>
    <n v="2132"/>
    <n v="2169"/>
    <x v="36"/>
    <m/>
    <m/>
    <m/>
    <m/>
    <m/>
    <m/>
    <m/>
    <s v="OK"/>
    <n v="37"/>
    <x v="3"/>
    <x v="2"/>
    <x v="1"/>
    <s v="Missing"/>
    <x v="2"/>
    <x v="2"/>
    <s v="Missing"/>
    <x v="2"/>
  </r>
  <r>
    <x v="63"/>
    <n v="999"/>
    <n v="2000"/>
    <x v="23"/>
    <m/>
    <m/>
    <m/>
    <m/>
    <m/>
    <m/>
    <m/>
    <s v="OK"/>
    <n v="1001"/>
    <x v="3"/>
    <x v="0"/>
    <x v="2"/>
    <s v="Missing"/>
    <x v="2"/>
    <x v="2"/>
    <s v="Missing"/>
    <x v="2"/>
  </r>
  <r>
    <x v="64"/>
    <n v="1190"/>
    <n v="1785"/>
    <x v="20"/>
    <m/>
    <m/>
    <m/>
    <m/>
    <m/>
    <m/>
    <m/>
    <s v="OK"/>
    <n v="595"/>
    <x v="3"/>
    <x v="1"/>
    <x v="2"/>
    <s v="Missing"/>
    <x v="2"/>
    <x v="2"/>
    <s v="Missing"/>
    <x v="2"/>
  </r>
  <r>
    <x v="65"/>
    <n v="671"/>
    <n v="1316"/>
    <x v="0"/>
    <m/>
    <m/>
    <m/>
    <m/>
    <m/>
    <m/>
    <m/>
    <s v="OK"/>
    <n v="645"/>
    <x v="3"/>
    <x v="0"/>
    <x v="2"/>
    <s v="Missing"/>
    <x v="2"/>
    <x v="2"/>
    <s v="Missing"/>
    <x v="2"/>
  </r>
  <r>
    <x v="66"/>
    <n v="1200"/>
    <n v="1950"/>
    <x v="31"/>
    <m/>
    <m/>
    <m/>
    <m/>
    <m/>
    <m/>
    <m/>
    <s v="OK"/>
    <n v="750"/>
    <x v="3"/>
    <x v="1"/>
    <x v="2"/>
    <s v="Missing"/>
    <x v="2"/>
    <x v="2"/>
    <s v="Missing"/>
    <x v="2"/>
  </r>
  <r>
    <x v="67"/>
    <n v="199"/>
    <n v="504"/>
    <x v="37"/>
    <m/>
    <m/>
    <m/>
    <m/>
    <m/>
    <m/>
    <m/>
    <s v="OK"/>
    <n v="305"/>
    <x v="3"/>
    <x v="0"/>
    <x v="0"/>
    <s v="Missing"/>
    <x v="2"/>
    <x v="2"/>
    <s v="Missing"/>
    <x v="2"/>
  </r>
  <r>
    <x v="68"/>
    <n v="299"/>
    <n v="600"/>
    <x v="23"/>
    <m/>
    <m/>
    <m/>
    <m/>
    <m/>
    <m/>
    <m/>
    <s v="OK"/>
    <n v="301"/>
    <x v="3"/>
    <x v="0"/>
    <x v="0"/>
    <s v="Missing"/>
    <x v="2"/>
    <x v="2"/>
    <s v="Missing"/>
    <x v="2"/>
  </r>
  <r>
    <x v="69"/>
    <n v="1660"/>
    <n v="1699"/>
    <x v="36"/>
    <m/>
    <m/>
    <m/>
    <m/>
    <m/>
    <m/>
    <m/>
    <s v="OK"/>
    <n v="39"/>
    <x v="3"/>
    <x v="2"/>
    <x v="2"/>
    <s v="Missing"/>
    <x v="2"/>
    <x v="2"/>
    <s v="Missing"/>
    <x v="2"/>
  </r>
  <r>
    <x v="70"/>
    <n v="299"/>
    <n v="384"/>
    <x v="9"/>
    <m/>
    <m/>
    <m/>
    <m/>
    <m/>
    <m/>
    <m/>
    <s v="OK"/>
    <n v="85"/>
    <x v="3"/>
    <x v="1"/>
    <x v="0"/>
    <s v="Missing"/>
    <x v="2"/>
    <x v="2"/>
    <s v="Missing"/>
    <x v="2"/>
  </r>
  <r>
    <x v="71"/>
    <n v="1459"/>
    <n v="1499"/>
    <x v="38"/>
    <m/>
    <m/>
    <m/>
    <m/>
    <m/>
    <m/>
    <m/>
    <s v="OK"/>
    <n v="40"/>
    <x v="3"/>
    <x v="2"/>
    <x v="2"/>
    <s v="Missing"/>
    <x v="2"/>
    <x v="2"/>
    <s v="Missing"/>
    <x v="2"/>
  </r>
  <r>
    <x v="72"/>
    <n v="799"/>
    <n v="1343"/>
    <x v="4"/>
    <m/>
    <m/>
    <m/>
    <m/>
    <m/>
    <m/>
    <m/>
    <s v="OK"/>
    <n v="544"/>
    <x v="3"/>
    <x v="0"/>
    <x v="2"/>
    <s v="Missing"/>
    <x v="2"/>
    <x v="2"/>
    <s v="Missing"/>
    <x v="2"/>
  </r>
  <r>
    <x v="73"/>
    <n v="499"/>
    <n v="900"/>
    <x v="8"/>
    <m/>
    <m/>
    <m/>
    <m/>
    <m/>
    <m/>
    <m/>
    <s v="OK"/>
    <n v="401"/>
    <x v="3"/>
    <x v="0"/>
    <x v="2"/>
    <s v="Missing"/>
    <x v="2"/>
    <x v="2"/>
    <s v="Missing"/>
    <x v="2"/>
  </r>
  <r>
    <x v="74"/>
    <n v="699"/>
    <n v="1343"/>
    <x v="21"/>
    <m/>
    <m/>
    <m/>
    <m/>
    <m/>
    <m/>
    <m/>
    <s v="OK"/>
    <n v="644"/>
    <x v="3"/>
    <x v="0"/>
    <x v="2"/>
    <s v="Missing"/>
    <x v="2"/>
    <x v="2"/>
    <s v="Missing"/>
    <x v="2"/>
  </r>
  <r>
    <x v="75"/>
    <n v="799"/>
    <n v="1567"/>
    <x v="0"/>
    <m/>
    <m/>
    <m/>
    <m/>
    <m/>
    <m/>
    <m/>
    <s v="OK"/>
    <n v="768"/>
    <x v="3"/>
    <x v="0"/>
    <x v="2"/>
    <s v="Missing"/>
    <x v="2"/>
    <x v="2"/>
    <s v="Missing"/>
    <x v="2"/>
  </r>
  <r>
    <x v="76"/>
    <n v="2799"/>
    <n v="3810"/>
    <x v="5"/>
    <m/>
    <m/>
    <m/>
    <m/>
    <m/>
    <m/>
    <m/>
    <s v="OK"/>
    <n v="1011"/>
    <x v="3"/>
    <x v="1"/>
    <x v="1"/>
    <s v="Missing"/>
    <x v="2"/>
    <x v="2"/>
    <s v="Missing"/>
    <x v="2"/>
  </r>
  <r>
    <x v="73"/>
    <n v="399"/>
    <n v="896"/>
    <x v="16"/>
    <m/>
    <m/>
    <m/>
    <m/>
    <m/>
    <m/>
    <m/>
    <s v="OK"/>
    <n v="497"/>
    <x v="3"/>
    <x v="0"/>
    <x v="0"/>
    <s v="Missing"/>
    <x v="2"/>
    <x v="2"/>
    <s v="Missing"/>
    <x v="2"/>
  </r>
  <r>
    <x v="77"/>
    <n v="790"/>
    <n v="1485"/>
    <x v="12"/>
    <m/>
    <m/>
    <m/>
    <m/>
    <m/>
    <m/>
    <m/>
    <s v="OK"/>
    <n v="695"/>
    <x v="3"/>
    <x v="0"/>
    <x v="2"/>
    <s v="Missing"/>
    <x v="2"/>
    <x v="2"/>
    <s v="Missing"/>
    <x v="2"/>
  </r>
  <r>
    <x v="78"/>
    <n v="690"/>
    <n v="1200"/>
    <x v="26"/>
    <m/>
    <m/>
    <m/>
    <m/>
    <m/>
    <m/>
    <m/>
    <s v="OK"/>
    <n v="510"/>
    <x v="3"/>
    <x v="0"/>
    <x v="2"/>
    <s v="Missing"/>
    <x v="2"/>
    <x v="2"/>
    <s v="Missing"/>
    <x v="2"/>
  </r>
  <r>
    <x v="79"/>
    <n v="1732"/>
    <n v="1799"/>
    <x v="39"/>
    <m/>
    <m/>
    <m/>
    <m/>
    <m/>
    <m/>
    <m/>
    <s v="OK"/>
    <n v="67"/>
    <x v="3"/>
    <x v="2"/>
    <x v="1"/>
    <s v="Missing"/>
    <x v="2"/>
    <x v="2"/>
    <s v="Missing"/>
    <x v="2"/>
  </r>
  <r>
    <x v="80"/>
    <n v="230"/>
    <n v="450"/>
    <x v="0"/>
    <m/>
    <m/>
    <m/>
    <m/>
    <m/>
    <m/>
    <m/>
    <s v="OK"/>
    <n v="220"/>
    <x v="3"/>
    <x v="0"/>
    <x v="0"/>
    <s v="Missing"/>
    <x v="2"/>
    <x v="2"/>
    <s v="Missing"/>
    <x v="2"/>
  </r>
  <r>
    <x v="81"/>
    <n v="1460"/>
    <n v="2290"/>
    <x v="40"/>
    <m/>
    <m/>
    <m/>
    <m/>
    <m/>
    <m/>
    <m/>
    <s v="OK"/>
    <n v="830"/>
    <x v="3"/>
    <x v="1"/>
    <x v="2"/>
    <s v="Missing"/>
    <x v="2"/>
    <x v="2"/>
    <s v="Missing"/>
    <x v="2"/>
  </r>
  <r>
    <x v="82"/>
    <n v="1666"/>
    <n v="1699"/>
    <x v="36"/>
    <m/>
    <m/>
    <m/>
    <m/>
    <m/>
    <m/>
    <m/>
    <s v="OK"/>
    <n v="33"/>
    <x v="3"/>
    <x v="2"/>
    <x v="1"/>
    <s v="Missing"/>
    <x v="2"/>
    <x v="2"/>
    <s v="Missing"/>
    <x v="2"/>
  </r>
  <r>
    <x v="67"/>
    <n v="176"/>
    <n v="345"/>
    <x v="0"/>
    <m/>
    <m/>
    <m/>
    <m/>
    <m/>
    <m/>
    <m/>
    <s v="OK"/>
    <n v="169"/>
    <x v="3"/>
    <x v="0"/>
    <x v="0"/>
    <s v="Missing"/>
    <x v="2"/>
    <x v="2"/>
    <s v="Missing"/>
    <x v="2"/>
  </r>
  <r>
    <x v="83"/>
    <n v="1466"/>
    <n v="1699"/>
    <x v="41"/>
    <m/>
    <m/>
    <m/>
    <m/>
    <m/>
    <m/>
    <m/>
    <s v="OK"/>
    <n v="233"/>
    <x v="3"/>
    <x v="2"/>
    <x v="2"/>
    <s v="Missing"/>
    <x v="2"/>
    <x v="2"/>
    <s v="Missing"/>
    <x v="2"/>
  </r>
  <r>
    <x v="84"/>
    <n v="274"/>
    <n v="537"/>
    <x v="0"/>
    <m/>
    <m/>
    <m/>
    <m/>
    <m/>
    <m/>
    <m/>
    <s v="OK"/>
    <n v="263"/>
    <x v="3"/>
    <x v="0"/>
    <x v="0"/>
    <s v="Missing"/>
    <x v="2"/>
    <x v="2"/>
    <s v="Missing"/>
    <x v="2"/>
  </r>
  <r>
    <x v="85"/>
    <n v="799"/>
    <n v="900"/>
    <x v="42"/>
    <m/>
    <m/>
    <m/>
    <m/>
    <m/>
    <m/>
    <m/>
    <s v="OK"/>
    <n v="101"/>
    <x v="3"/>
    <x v="2"/>
    <x v="2"/>
    <s v="Missing"/>
    <x v="2"/>
    <x v="2"/>
    <s v="Missing"/>
    <x v="2"/>
  </r>
  <r>
    <x v="75"/>
    <n v="657"/>
    <n v="1288"/>
    <x v="0"/>
    <m/>
    <m/>
    <m/>
    <m/>
    <m/>
    <m/>
    <m/>
    <s v="OK"/>
    <n v="631"/>
    <x v="3"/>
    <x v="0"/>
    <x v="2"/>
    <s v="Missing"/>
    <x v="2"/>
    <x v="2"/>
    <s v="Missing"/>
    <x v="2"/>
  </r>
  <r>
    <x v="86"/>
    <n v="1468"/>
    <n v="1699"/>
    <x v="41"/>
    <m/>
    <m/>
    <m/>
    <m/>
    <m/>
    <m/>
    <m/>
    <s v="OK"/>
    <n v="231"/>
    <x v="3"/>
    <x v="2"/>
    <x v="2"/>
    <s v="Missing"/>
    <x v="2"/>
    <x v="2"/>
    <s v="Missing"/>
    <x v="2"/>
  </r>
  <r>
    <x v="87"/>
    <n v="630"/>
    <n v="1100"/>
    <x v="26"/>
    <m/>
    <m/>
    <m/>
    <m/>
    <m/>
    <m/>
    <m/>
    <s v="OK"/>
    <n v="470"/>
    <x v="3"/>
    <x v="0"/>
    <x v="2"/>
    <s v="Missing"/>
    <x v="2"/>
    <x v="2"/>
    <s v="Missing"/>
    <x v="2"/>
  </r>
  <r>
    <x v="88"/>
    <n v="850"/>
    <n v="1700"/>
    <x v="23"/>
    <m/>
    <m/>
    <m/>
    <m/>
    <m/>
    <m/>
    <m/>
    <s v="OK"/>
    <n v="850"/>
    <x v="3"/>
    <x v="0"/>
    <x v="2"/>
    <s v="Missing"/>
    <x v="2"/>
    <x v="2"/>
    <s v="Missing"/>
    <x v="2"/>
  </r>
  <r>
    <x v="89"/>
    <n v="1300"/>
    <n v="2500"/>
    <x v="21"/>
    <m/>
    <m/>
    <m/>
    <m/>
    <m/>
    <m/>
    <m/>
    <s v="OK"/>
    <n v="1200"/>
    <x v="3"/>
    <x v="0"/>
    <x v="2"/>
    <s v="Missing"/>
    <x v="2"/>
    <x v="2"/>
    <s v="Missing"/>
    <x v="2"/>
  </r>
  <r>
    <x v="90"/>
    <n v="105"/>
    <n v="200"/>
    <x v="21"/>
    <m/>
    <m/>
    <m/>
    <m/>
    <m/>
    <m/>
    <m/>
    <s v="OK"/>
    <n v="95"/>
    <x v="3"/>
    <x v="0"/>
    <x v="0"/>
    <s v="Missing"/>
    <x v="2"/>
    <x v="2"/>
    <s v="Missing"/>
    <x v="2"/>
  </r>
  <r>
    <x v="91"/>
    <n v="899"/>
    <n v="1699"/>
    <x v="12"/>
    <m/>
    <m/>
    <m/>
    <m/>
    <m/>
    <m/>
    <m/>
    <s v="OK"/>
    <n v="800"/>
    <x v="3"/>
    <x v="0"/>
    <x v="2"/>
    <s v="Missing"/>
    <x v="2"/>
    <x v="2"/>
    <s v="Missing"/>
    <x v="2"/>
  </r>
  <r>
    <x v="92"/>
    <n v="1200"/>
    <n v="2400"/>
    <x v="23"/>
    <m/>
    <m/>
    <m/>
    <m/>
    <m/>
    <m/>
    <m/>
    <s v="OK"/>
    <n v="1200"/>
    <x v="3"/>
    <x v="0"/>
    <x v="2"/>
    <s v="Missing"/>
    <x v="2"/>
    <x v="2"/>
    <s v="Missing"/>
    <x v="2"/>
  </r>
  <r>
    <x v="93"/>
    <n v="1526"/>
    <n v="1660"/>
    <x v="43"/>
    <m/>
    <m/>
    <m/>
    <m/>
    <m/>
    <m/>
    <m/>
    <s v="OK"/>
    <n v="134"/>
    <x v="3"/>
    <x v="2"/>
    <x v="2"/>
    <s v="Missing"/>
    <x v="2"/>
    <x v="2"/>
    <s v="Missing"/>
    <x v="2"/>
  </r>
  <r>
    <x v="94"/>
    <n v="1462"/>
    <n v="1499"/>
    <x v="36"/>
    <m/>
    <m/>
    <m/>
    <m/>
    <m/>
    <m/>
    <m/>
    <s v="OK"/>
    <n v="37"/>
    <x v="3"/>
    <x v="2"/>
    <x v="2"/>
    <s v="Missing"/>
    <x v="2"/>
    <x v="2"/>
    <s v="Missing"/>
    <x v="2"/>
  </r>
  <r>
    <x v="95"/>
    <n v="248"/>
    <n v="486"/>
    <x v="0"/>
    <m/>
    <m/>
    <m/>
    <m/>
    <m/>
    <m/>
    <m/>
    <s v="OK"/>
    <n v="238"/>
    <x v="3"/>
    <x v="0"/>
    <x v="0"/>
    <s v="Missing"/>
    <x v="2"/>
    <x v="2"/>
    <s v="Missing"/>
    <x v="2"/>
  </r>
  <r>
    <x v="96"/>
    <n v="3546"/>
    <n v="3699"/>
    <x v="39"/>
    <m/>
    <m/>
    <m/>
    <m/>
    <m/>
    <m/>
    <m/>
    <s v="OK"/>
    <n v="153"/>
    <x v="3"/>
    <x v="2"/>
    <x v="1"/>
    <s v="Missing"/>
    <x v="2"/>
    <x v="2"/>
    <s v="Missing"/>
    <x v="2"/>
  </r>
  <r>
    <x v="97"/>
    <n v="525"/>
    <n v="1029"/>
    <x v="0"/>
    <m/>
    <m/>
    <m/>
    <m/>
    <m/>
    <m/>
    <m/>
    <s v="OK"/>
    <n v="504"/>
    <x v="3"/>
    <x v="0"/>
    <x v="2"/>
    <s v="Missing"/>
    <x v="2"/>
    <x v="2"/>
    <s v="Missing"/>
    <x v="2"/>
  </r>
  <r>
    <x v="98"/>
    <n v="1080"/>
    <n v="1874"/>
    <x v="24"/>
    <m/>
    <m/>
    <m/>
    <m/>
    <m/>
    <m/>
    <m/>
    <s v="OK"/>
    <n v="794"/>
    <x v="3"/>
    <x v="0"/>
    <x v="2"/>
    <s v="Missing"/>
    <x v="2"/>
    <x v="2"/>
    <s v="Missing"/>
    <x v="2"/>
  </r>
  <r>
    <x v="99"/>
    <n v="1420"/>
    <n v="2420"/>
    <x v="4"/>
    <m/>
    <m/>
    <m/>
    <m/>
    <m/>
    <m/>
    <m/>
    <s v="OK"/>
    <n v="1000"/>
    <x v="3"/>
    <x v="0"/>
    <x v="2"/>
    <s v="Missing"/>
    <x v="2"/>
    <x v="2"/>
    <s v="Missing"/>
    <x v="2"/>
  </r>
  <r>
    <x v="100"/>
    <n v="1875"/>
    <n v="1899"/>
    <x v="44"/>
    <m/>
    <m/>
    <m/>
    <m/>
    <m/>
    <m/>
    <m/>
    <s v="OK"/>
    <n v="24"/>
    <x v="3"/>
    <x v="2"/>
    <x v="1"/>
    <s v="Missing"/>
    <x v="2"/>
    <x v="2"/>
    <s v="Missing"/>
    <x v="2"/>
  </r>
  <r>
    <x v="101"/>
    <n v="198"/>
    <n v="260"/>
    <x v="1"/>
    <m/>
    <m/>
    <m/>
    <m/>
    <m/>
    <m/>
    <m/>
    <s v="OK"/>
    <n v="62"/>
    <x v="3"/>
    <x v="1"/>
    <x v="0"/>
    <s v="Missing"/>
    <x v="2"/>
    <x v="2"/>
    <s v="Missing"/>
    <x v="2"/>
  </r>
  <r>
    <x v="102"/>
    <n v="1150"/>
    <n v="1737"/>
    <x v="3"/>
    <m/>
    <m/>
    <m/>
    <m/>
    <m/>
    <m/>
    <m/>
    <s v="OK"/>
    <n v="587"/>
    <x v="3"/>
    <x v="1"/>
    <x v="2"/>
    <s v="Missing"/>
    <x v="2"/>
    <x v="2"/>
    <s v="Missing"/>
    <x v="2"/>
  </r>
  <r>
    <x v="103"/>
    <n v="1190"/>
    <n v="1810"/>
    <x v="3"/>
    <m/>
    <m/>
    <m/>
    <m/>
    <m/>
    <m/>
    <m/>
    <s v="OK"/>
    <n v="620"/>
    <x v="3"/>
    <x v="1"/>
    <x v="2"/>
    <s v="Missing"/>
    <x v="2"/>
    <x v="2"/>
    <s v="Missing"/>
    <x v="2"/>
  </r>
  <r>
    <x v="104"/>
    <n v="1658"/>
    <n v="1699"/>
    <x v="36"/>
    <m/>
    <m/>
    <m/>
    <m/>
    <m/>
    <m/>
    <m/>
    <s v="OK"/>
    <n v="41"/>
    <x v="3"/>
    <x v="2"/>
    <x v="2"/>
    <s v="Missing"/>
    <x v="2"/>
    <x v="2"/>
    <s v="Missing"/>
    <x v="2"/>
  </r>
  <r>
    <x v="105"/>
    <n v="1768"/>
    <n v="1799"/>
    <x v="36"/>
    <m/>
    <m/>
    <m/>
    <m/>
    <m/>
    <m/>
    <m/>
    <s v="OK"/>
    <n v="31"/>
    <x v="3"/>
    <x v="2"/>
    <x v="1"/>
    <s v="Missing"/>
    <x v="2"/>
    <x v="2"/>
    <s v="Missing"/>
    <x v="2"/>
  </r>
  <r>
    <x v="106"/>
    <n v="199"/>
    <n v="553"/>
    <x v="45"/>
    <m/>
    <m/>
    <m/>
    <m/>
    <m/>
    <m/>
    <m/>
    <s v="OK"/>
    <n v="354"/>
    <x v="3"/>
    <x v="0"/>
    <x v="0"/>
    <s v="Missing"/>
    <x v="2"/>
    <x v="2"/>
    <s v="Missing"/>
    <x v="2"/>
  </r>
  <r>
    <x v="107"/>
    <n v="169"/>
    <n v="320"/>
    <x v="12"/>
    <m/>
    <m/>
    <m/>
    <m/>
    <m/>
    <m/>
    <m/>
    <s v="OK"/>
    <n v="151"/>
    <x v="3"/>
    <x v="0"/>
    <x v="0"/>
    <s v="Missing"/>
    <x v="2"/>
    <x v="2"/>
    <s v="Missing"/>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68A4A6-AE31-46D1-872D-CC2C88DA2D23}" name="PivotTable2"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4" firstHeaderRow="1" firstDataRow="1" firstDataCol="1"/>
  <pivotFields count="21">
    <pivotField axis="axisRow" compact="0" outline="0" showAll="0" measureFilter="1">
      <items count="109">
        <item x="4"/>
        <item x="45"/>
        <item x="17"/>
        <item x="22"/>
        <item x="0"/>
        <item x="76"/>
        <item x="39"/>
        <item x="1"/>
        <item x="101"/>
        <item x="82"/>
        <item x="12"/>
        <item x="100"/>
        <item x="92"/>
        <item x="66"/>
        <item x="77"/>
        <item x="41"/>
        <item x="29"/>
        <item x="3"/>
        <item x="78"/>
        <item x="16"/>
        <item x="95"/>
        <item x="20"/>
        <item x="59"/>
        <item x="56"/>
        <item x="33"/>
        <item x="8"/>
        <item x="6"/>
        <item x="9"/>
        <item x="81"/>
        <item x="18"/>
        <item x="106"/>
        <item x="91"/>
        <item x="64"/>
        <item x="80"/>
        <item x="36"/>
        <item x="98"/>
        <item x="99"/>
        <item x="10"/>
        <item x="75"/>
        <item x="47"/>
        <item x="34"/>
        <item x="97"/>
        <item x="61"/>
        <item x="52"/>
        <item x="107"/>
        <item x="68"/>
        <item x="65"/>
        <item x="84"/>
        <item x="103"/>
        <item x="63"/>
        <item x="74"/>
        <item x="49"/>
        <item x="67"/>
        <item x="79"/>
        <item x="72"/>
        <item x="46"/>
        <item x="50"/>
        <item x="30"/>
        <item x="2"/>
        <item x="25"/>
        <item x="15"/>
        <item x="19"/>
        <item x="53"/>
        <item x="13"/>
        <item x="54"/>
        <item x="42"/>
        <item x="28"/>
        <item x="44"/>
        <item x="31"/>
        <item x="38"/>
        <item x="58"/>
        <item x="26"/>
        <item x="32"/>
        <item x="102"/>
        <item x="40"/>
        <item x="51"/>
        <item x="14"/>
        <item x="96"/>
        <item x="60"/>
        <item x="24"/>
        <item x="87"/>
        <item x="57"/>
        <item x="71"/>
        <item x="23"/>
        <item x="83"/>
        <item x="85"/>
        <item x="48"/>
        <item x="69"/>
        <item x="70"/>
        <item x="37"/>
        <item x="7"/>
        <item x="94"/>
        <item x="21"/>
        <item x="89"/>
        <item x="5"/>
        <item x="90"/>
        <item x="62"/>
        <item x="104"/>
        <item x="73"/>
        <item x="105"/>
        <item x="11"/>
        <item x="88"/>
        <item x="93"/>
        <item x="55"/>
        <item x="86"/>
        <item x="35"/>
        <item x="27"/>
        <item x="43"/>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11">
    <i>
      <x/>
    </i>
    <i>
      <x v="4"/>
    </i>
    <i>
      <x v="7"/>
    </i>
    <i>
      <x v="17"/>
    </i>
    <i>
      <x v="25"/>
    </i>
    <i>
      <x v="26"/>
    </i>
    <i>
      <x v="27"/>
    </i>
    <i>
      <x v="58"/>
    </i>
    <i>
      <x v="90"/>
    </i>
    <i>
      <x v="94"/>
    </i>
    <i t="grand">
      <x/>
    </i>
  </rowItems>
  <colItems count="1">
    <i/>
  </colItems>
  <dataFields count="1">
    <dataField name="Sum of Review" fld="4"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8BEE1B-4E60-495E-AB51-5F964B8137E4}" name="PivotTable4"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7:B48" firstHeaderRow="1" firstDataRow="1" firstDataCol="1"/>
  <pivotFields count="21">
    <pivotField axis="axisRow" compact="0" outline="0" showAll="0" measureFilter="1">
      <items count="109">
        <item x="4"/>
        <item x="45"/>
        <item x="17"/>
        <item x="22"/>
        <item x="0"/>
        <item x="76"/>
        <item x="39"/>
        <item x="1"/>
        <item x="101"/>
        <item x="82"/>
        <item x="12"/>
        <item x="100"/>
        <item x="92"/>
        <item x="66"/>
        <item x="77"/>
        <item x="41"/>
        <item x="29"/>
        <item x="3"/>
        <item x="78"/>
        <item x="16"/>
        <item x="95"/>
        <item x="20"/>
        <item x="59"/>
        <item x="56"/>
        <item x="33"/>
        <item x="8"/>
        <item x="6"/>
        <item x="9"/>
        <item x="81"/>
        <item x="18"/>
        <item x="106"/>
        <item x="91"/>
        <item x="64"/>
        <item x="80"/>
        <item x="36"/>
        <item x="98"/>
        <item x="99"/>
        <item x="10"/>
        <item x="75"/>
        <item x="47"/>
        <item x="34"/>
        <item x="97"/>
        <item x="61"/>
        <item x="52"/>
        <item x="107"/>
        <item x="68"/>
        <item x="65"/>
        <item x="84"/>
        <item x="103"/>
        <item x="63"/>
        <item x="74"/>
        <item x="49"/>
        <item x="67"/>
        <item x="79"/>
        <item x="72"/>
        <item x="46"/>
        <item x="50"/>
        <item x="30"/>
        <item x="2"/>
        <item x="25"/>
        <item x="15"/>
        <item x="19"/>
        <item x="53"/>
        <item x="13"/>
        <item x="54"/>
        <item x="42"/>
        <item x="28"/>
        <item x="44"/>
        <item x="31"/>
        <item x="38"/>
        <item x="58"/>
        <item x="26"/>
        <item x="32"/>
        <item x="102"/>
        <item x="40"/>
        <item x="51"/>
        <item x="14"/>
        <item x="96"/>
        <item x="60"/>
        <item x="24"/>
        <item x="87"/>
        <item x="57"/>
        <item x="71"/>
        <item x="23"/>
        <item x="83"/>
        <item x="85"/>
        <item x="48"/>
        <item x="69"/>
        <item x="70"/>
        <item x="37"/>
        <item x="7"/>
        <item x="94"/>
        <item x="21"/>
        <item x="89"/>
        <item x="5"/>
        <item x="90"/>
        <item x="62"/>
        <item x="104"/>
        <item x="73"/>
        <item x="105"/>
        <item x="11"/>
        <item x="88"/>
        <item x="93"/>
        <item x="55"/>
        <item x="86"/>
        <item x="35"/>
        <item x="27"/>
        <item x="43"/>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11">
    <i>
      <x v="19"/>
    </i>
    <i>
      <x v="29"/>
    </i>
    <i>
      <x v="30"/>
    </i>
    <i>
      <x v="38"/>
    </i>
    <i>
      <x v="51"/>
    </i>
    <i>
      <x v="52"/>
    </i>
    <i>
      <x v="66"/>
    </i>
    <i>
      <x v="69"/>
    </i>
    <i>
      <x v="83"/>
    </i>
    <i>
      <x v="98"/>
    </i>
    <i t="grand">
      <x/>
    </i>
  </rowItems>
  <colItems count="1">
    <i/>
  </colItems>
  <dataFields count="1">
    <dataField name="Sum of Discount" fld="3"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A68CCD-63AB-40B1-B5F3-CCF2387D3263}" name="PivotTable3"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0:B31" firstHeaderRow="1" firstDataRow="1" firstDataCol="1"/>
  <pivotFields count="21">
    <pivotField axis="axisRow" compact="0" outline="0" showAll="0" measureFilter="1">
      <items count="109">
        <item x="4"/>
        <item x="45"/>
        <item x="17"/>
        <item x="22"/>
        <item x="0"/>
        <item x="76"/>
        <item x="39"/>
        <item x="1"/>
        <item x="101"/>
        <item x="82"/>
        <item x="12"/>
        <item x="100"/>
        <item x="92"/>
        <item x="66"/>
        <item x="77"/>
        <item x="41"/>
        <item x="29"/>
        <item x="3"/>
        <item x="78"/>
        <item x="16"/>
        <item x="95"/>
        <item x="20"/>
        <item x="59"/>
        <item x="56"/>
        <item x="33"/>
        <item x="8"/>
        <item x="6"/>
        <item x="9"/>
        <item x="81"/>
        <item x="18"/>
        <item x="106"/>
        <item x="91"/>
        <item x="64"/>
        <item x="80"/>
        <item x="36"/>
        <item x="98"/>
        <item x="99"/>
        <item x="10"/>
        <item x="75"/>
        <item x="47"/>
        <item x="34"/>
        <item x="97"/>
        <item x="61"/>
        <item x="52"/>
        <item x="107"/>
        <item x="68"/>
        <item x="65"/>
        <item x="84"/>
        <item x="103"/>
        <item x="63"/>
        <item x="74"/>
        <item x="49"/>
        <item x="67"/>
        <item x="79"/>
        <item x="72"/>
        <item x="46"/>
        <item x="50"/>
        <item x="30"/>
        <item x="2"/>
        <item x="25"/>
        <item x="15"/>
        <item x="19"/>
        <item x="53"/>
        <item x="13"/>
        <item x="54"/>
        <item x="42"/>
        <item x="28"/>
        <item x="44"/>
        <item x="31"/>
        <item x="38"/>
        <item x="58"/>
        <item x="26"/>
        <item x="32"/>
        <item x="102"/>
        <item x="40"/>
        <item x="51"/>
        <item x="14"/>
        <item x="96"/>
        <item x="60"/>
        <item x="24"/>
        <item x="87"/>
        <item x="57"/>
        <item x="71"/>
        <item x="23"/>
        <item x="83"/>
        <item x="85"/>
        <item x="48"/>
        <item x="69"/>
        <item x="70"/>
        <item x="37"/>
        <item x="7"/>
        <item x="94"/>
        <item x="21"/>
        <item x="89"/>
        <item x="5"/>
        <item x="90"/>
        <item x="62"/>
        <item x="104"/>
        <item x="73"/>
        <item x="105"/>
        <item x="11"/>
        <item x="88"/>
        <item x="93"/>
        <item x="55"/>
        <item x="86"/>
        <item x="35"/>
        <item x="27"/>
        <item x="43"/>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0"/>
  </rowFields>
  <rowItems count="11">
    <i>
      <x v="21"/>
    </i>
    <i>
      <x v="39"/>
    </i>
    <i>
      <x v="43"/>
    </i>
    <i>
      <x v="51"/>
    </i>
    <i>
      <x v="56"/>
    </i>
    <i>
      <x v="64"/>
    </i>
    <i>
      <x v="67"/>
    </i>
    <i>
      <x v="69"/>
    </i>
    <i>
      <x v="86"/>
    </i>
    <i>
      <x v="89"/>
    </i>
    <i t="grand">
      <x/>
    </i>
  </rowItems>
  <colItems count="1">
    <i/>
  </colItems>
  <dataFields count="1">
    <dataField name="Average of Rating" fld="5" subtotal="average"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EED0C7-C695-44B9-8A50-1AE5A191DDD1}" name="PivotTable6"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9:E13" firstHeaderRow="1" firstDataRow="1" firstDataCol="1"/>
  <pivotFields count="21">
    <pivotField dataField="1" compact="0" outline="0" showAll="0">
      <items count="109">
        <item x="4"/>
        <item x="45"/>
        <item x="17"/>
        <item x="22"/>
        <item x="0"/>
        <item x="76"/>
        <item x="39"/>
        <item x="1"/>
        <item x="101"/>
        <item x="82"/>
        <item x="12"/>
        <item x="100"/>
        <item x="92"/>
        <item x="66"/>
        <item x="77"/>
        <item x="41"/>
        <item x="29"/>
        <item x="3"/>
        <item x="78"/>
        <item x="16"/>
        <item x="95"/>
        <item x="20"/>
        <item x="59"/>
        <item x="56"/>
        <item x="33"/>
        <item x="8"/>
        <item x="6"/>
        <item x="9"/>
        <item x="81"/>
        <item x="18"/>
        <item x="106"/>
        <item x="91"/>
        <item x="64"/>
        <item x="80"/>
        <item x="36"/>
        <item x="98"/>
        <item x="99"/>
        <item x="10"/>
        <item x="75"/>
        <item x="47"/>
        <item x="34"/>
        <item x="97"/>
        <item x="61"/>
        <item x="52"/>
        <item x="107"/>
        <item x="68"/>
        <item x="65"/>
        <item x="84"/>
        <item x="103"/>
        <item x="63"/>
        <item x="74"/>
        <item x="49"/>
        <item x="67"/>
        <item x="79"/>
        <item x="72"/>
        <item x="46"/>
        <item x="50"/>
        <item x="30"/>
        <item x="2"/>
        <item x="25"/>
        <item x="15"/>
        <item x="19"/>
        <item x="53"/>
        <item x="13"/>
        <item x="54"/>
        <item x="42"/>
        <item x="28"/>
        <item x="44"/>
        <item x="31"/>
        <item x="38"/>
        <item x="58"/>
        <item x="26"/>
        <item x="32"/>
        <item x="102"/>
        <item x="40"/>
        <item x="51"/>
        <item x="14"/>
        <item x="96"/>
        <item x="60"/>
        <item x="24"/>
        <item x="87"/>
        <item x="57"/>
        <item x="71"/>
        <item x="23"/>
        <item x="83"/>
        <item x="85"/>
        <item x="48"/>
        <item x="69"/>
        <item x="70"/>
        <item x="37"/>
        <item x="7"/>
        <item x="94"/>
        <item x="21"/>
        <item x="89"/>
        <item x="5"/>
        <item x="90"/>
        <item x="62"/>
        <item x="104"/>
        <item x="73"/>
        <item x="105"/>
        <item x="11"/>
        <item x="88"/>
        <item x="93"/>
        <item x="55"/>
        <item x="86"/>
        <item x="35"/>
        <item x="27"/>
        <item x="4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14"/>
  </rowFields>
  <rowItems count="4">
    <i>
      <x/>
    </i>
    <i>
      <x v="1"/>
    </i>
    <i>
      <x v="2"/>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B67004-06F8-4372-BE0C-E88D518A1519}" name="PivotTable1" cacheId="3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3:E7" firstHeaderRow="1" firstDataRow="1" firstDataCol="1"/>
  <pivotFields count="21">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s>
  <rowFields count="1">
    <field x="15"/>
  </rowFields>
  <rowItems count="4">
    <i>
      <x/>
    </i>
    <i>
      <x v="1"/>
    </i>
    <i>
      <x v="2"/>
    </i>
    <i t="grand">
      <x/>
    </i>
  </rowItems>
  <colItems count="1">
    <i/>
  </colItems>
  <dataFields count="1">
    <dataField name="Average of Rating" fld="5" subtotal="average"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0155A0-A2C5-4263-BFBD-D7D3F47C684D}" name="PivotTable7" cacheId="3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3:G7" firstHeaderRow="1" firstDataRow="1" firstDataCol="1"/>
  <pivotFields count="21">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s>
  <rowFields count="1">
    <field x="14"/>
  </rowFields>
  <rowItems count="4">
    <i>
      <x/>
    </i>
    <i>
      <x v="1"/>
    </i>
    <i>
      <x v="2"/>
    </i>
    <i t="grand">
      <x/>
    </i>
  </rowItems>
  <colItems count="1">
    <i/>
  </colItems>
  <dataFields count="1">
    <dataField name="Sum of Review"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000A20-12F4-4230-BDD3-7FAD145BBE6D}" name="PivotTable5"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9:H14" firstHeaderRow="1" firstDataRow="1" firstDataCol="1"/>
  <pivotFields count="21">
    <pivotField dataField="1" compact="0" outline="0" showAll="0">
      <items count="109">
        <item x="4"/>
        <item x="45"/>
        <item x="17"/>
        <item x="22"/>
        <item x="0"/>
        <item x="76"/>
        <item x="39"/>
        <item x="1"/>
        <item x="101"/>
        <item x="82"/>
        <item x="12"/>
        <item x="100"/>
        <item x="92"/>
        <item x="66"/>
        <item x="77"/>
        <item x="41"/>
        <item x="29"/>
        <item x="3"/>
        <item x="78"/>
        <item x="16"/>
        <item x="95"/>
        <item x="20"/>
        <item x="59"/>
        <item x="56"/>
        <item x="33"/>
        <item x="8"/>
        <item x="6"/>
        <item x="9"/>
        <item x="81"/>
        <item x="18"/>
        <item x="106"/>
        <item x="91"/>
        <item x="64"/>
        <item x="80"/>
        <item x="36"/>
        <item x="98"/>
        <item x="99"/>
        <item x="10"/>
        <item x="75"/>
        <item x="47"/>
        <item x="34"/>
        <item x="97"/>
        <item x="61"/>
        <item x="52"/>
        <item x="107"/>
        <item x="68"/>
        <item x="65"/>
        <item x="84"/>
        <item x="103"/>
        <item x="63"/>
        <item x="74"/>
        <item x="49"/>
        <item x="67"/>
        <item x="79"/>
        <item x="72"/>
        <item x="46"/>
        <item x="50"/>
        <item x="30"/>
        <item x="2"/>
        <item x="25"/>
        <item x="15"/>
        <item x="19"/>
        <item x="53"/>
        <item x="13"/>
        <item x="54"/>
        <item x="42"/>
        <item x="28"/>
        <item x="44"/>
        <item x="31"/>
        <item x="38"/>
        <item x="58"/>
        <item x="26"/>
        <item x="32"/>
        <item x="102"/>
        <item x="40"/>
        <item x="51"/>
        <item x="14"/>
        <item x="96"/>
        <item x="60"/>
        <item x="24"/>
        <item x="87"/>
        <item x="57"/>
        <item x="71"/>
        <item x="23"/>
        <item x="83"/>
        <item x="85"/>
        <item x="48"/>
        <item x="69"/>
        <item x="70"/>
        <item x="37"/>
        <item x="7"/>
        <item x="94"/>
        <item x="21"/>
        <item x="89"/>
        <item x="5"/>
        <item x="90"/>
        <item x="62"/>
        <item x="104"/>
        <item x="73"/>
        <item x="105"/>
        <item x="11"/>
        <item x="88"/>
        <item x="93"/>
        <item x="55"/>
        <item x="86"/>
        <item x="35"/>
        <item x="27"/>
        <item x="4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2"/>
        <item x="1"/>
        <item x="3"/>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3"/>
  </rowFields>
  <rowItems count="5">
    <i>
      <x/>
    </i>
    <i>
      <x v="1"/>
    </i>
    <i>
      <x v="2"/>
    </i>
    <i>
      <x v="3"/>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353C288-2231-41A5-8147-86447A234DC4}" autoFormatId="16" applyNumberFormats="0" applyBorderFormats="0" applyFontFormats="0" applyPatternFormats="0" applyAlignmentFormats="0" applyWidthHeightFormats="0">
  <queryTableRefresh nextId="7">
    <queryTableFields count="6">
      <queryTableField id="1" name="Product" tableColumnId="1"/>
      <queryTableField id="2" name="Current price" tableColumnId="2"/>
      <queryTableField id="3" name="old price" tableColumnId="3"/>
      <queryTableField id="4" name="Discount" tableColumnId="4"/>
      <queryTableField id="5" name="Review" tableColumnId="5"/>
      <queryTableField id="6" name="Ratingd"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104B5117-E0FC-4146-8FBA-3987FC45A2A9}" autoFormatId="16" applyNumberFormats="0" applyBorderFormats="0" applyFontFormats="0" applyPatternFormats="0" applyAlignmentFormats="0" applyWidthHeightFormats="0">
  <queryTableRefresh nextId="23">
    <queryTableFields count="21">
      <queryTableField id="1" name="Product" tableColumnId="1"/>
      <queryTableField id="2" name="Current price" tableColumnId="2"/>
      <queryTableField id="3" name="old price" tableColumnId="3"/>
      <queryTableField id="4" name="Discount" tableColumnId="4"/>
      <queryTableField id="5" name="Review" tableColumnId="5"/>
      <queryTableField id="7" name="Rating" tableColumnId="6"/>
      <queryTableField id="8" name="Current price midpoint" tableColumnId="7"/>
      <queryTableField id="9" name="Old price midpoint" tableColumnId="8"/>
      <queryTableField id="10" name="Rating Check" tableColumnId="9"/>
      <queryTableField id="11" name="Price Check" tableColumnId="10"/>
      <queryTableField id="12" name="Discount Check" tableColumnId="11"/>
      <queryTableField id="13" name="Discount check 1" tableColumnId="12"/>
      <queryTableField id="14" name="Dscount amouunt" tableColumnId="13"/>
      <queryTableField id="15" name="Rating category" tableColumnId="14"/>
      <queryTableField id="16" name="Discount Category" tableColumnId="15"/>
      <queryTableField id="17" name="Price Category" tableColumnId="16"/>
      <queryTableField id="18" name="Strong Engagement" tableColumnId="17"/>
      <queryTableField id="19" name="High Discount Low Rating" tableColumnId="18"/>
      <queryTableField id="20" name="High Discount LowEngagement" tableColumnId="19"/>
      <queryTableField id="21" name="Strong Engagement Excellent Rating" tableColumnId="20"/>
      <queryTableField id="22" name="Many Reviews Average Rating"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619915BE-86A5-4DE1-A7CE-0E4B2E55A95E}" sourceName="Rating category">
  <data>
    <tabular pivotCacheId="832150514">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4452FE31-0A34-4915-9FF0-39ED9930D921}" sourceName="Discount Category">
  <data>
    <tabular pivotCacheId="83215051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DEC5043C-AFBF-46B3-8500-8870293639F9}" sourceName="Price Category">
  <data>
    <tabular pivotCacheId="83215051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1" xr10:uid="{C30C3EE0-F2E2-43A9-B49E-A687B92FACE9}" cache="Slicer_Rating_category" caption="Rating category" rowHeight="257175"/>
  <slicer name="Rating category 2" xr10:uid="{5293D347-0BDE-40B6-B3E5-6F2022FD838A}" cache="Slicer_Rating_category" caption="Rating category" rowHeight="257175"/>
  <slicer name="Discount Category 1" xr10:uid="{A68E0EFE-F985-4FAE-A693-317CF141601A}" cache="Slicer_Discount_Category" caption="Discount Category" rowHeight="257175"/>
  <slicer name="Price Category 1" xr10:uid="{C08DCFAC-C907-40D8-9DA7-354100DD2C6A}" cache="Slicer_Price_Category" caption="Price Category"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B4FD23-E732-4727-BD4C-44BAD880985A}" name="Excel_jumia_dataset__1" displayName="Excel_jumia_dataset__1" ref="A1:F116" tableType="queryTable" totalsRowShown="0">
  <autoFilter ref="A1:F116" xr:uid="{98B4FD23-E732-4727-BD4C-44BAD880985A}"/>
  <tableColumns count="6">
    <tableColumn id="1" xr3:uid="{0A0EE396-FF67-4830-A476-CDFF727EBE15}" uniqueName="1" name="Product" queryTableFieldId="1" dataDxfId="7"/>
    <tableColumn id="2" xr3:uid="{E8231370-5881-4549-A197-CF5B855E3CAE}" uniqueName="2" name="Current price" queryTableFieldId="2" dataDxfId="6"/>
    <tableColumn id="3" xr3:uid="{DCCD39F4-7305-44D0-9C51-8646DEE06206}" uniqueName="3" name="old price" queryTableFieldId="3" dataDxfId="5"/>
    <tableColumn id="4" xr3:uid="{206C2ECF-C2AF-44AA-B8CA-6C95462534FD}" uniqueName="4" name="Discount" queryTableFieldId="4"/>
    <tableColumn id="5" xr3:uid="{2B0E5F35-D9C2-4CAF-AE58-CA7B4E5A546E}" uniqueName="5" name="Review" queryTableFieldId="5"/>
    <tableColumn id="6" xr3:uid="{9F5EB79B-D694-459E-9EB7-F9853A3E1DEE}" uniqueName="6" name="Ratingd" queryTableFieldId="6" dataDxf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14FEAE-B95F-4E6A-861C-8210E108C2F2}" name="Excel_jumia_dataset__4" displayName="Excel_jumia_dataset__4" ref="A1:U112" tableType="queryTable" totalsRowShown="0">
  <autoFilter ref="A1:U112" xr:uid="{F714FEAE-B95F-4E6A-861C-8210E108C2F2}"/>
  <sortState xmlns:xlrd2="http://schemas.microsoft.com/office/spreadsheetml/2017/richdata2" ref="A2:U112">
    <sortCondition descending="1" ref="E1:E112"/>
  </sortState>
  <tableColumns count="21">
    <tableColumn id="1" xr3:uid="{C8DEFA94-9111-4248-9C8B-FBE5FC2837B3}" uniqueName="1" name="Product" queryTableFieldId="1" dataDxfId="3"/>
    <tableColumn id="2" xr3:uid="{00CAD043-C33F-41FD-85BA-F54841EAF894}" uniqueName="2" name="Current price" queryTableFieldId="2" dataDxfId="2"/>
    <tableColumn id="3" xr3:uid="{FA520A11-EB9E-4C1D-8D83-62B7EBDAF67C}" uniqueName="3" name="old price" queryTableFieldId="3" dataDxfId="1"/>
    <tableColumn id="4" xr3:uid="{90A70B8C-2337-4D3C-895A-13A27DF40436}" uniqueName="4" name="Discount" queryTableFieldId="4"/>
    <tableColumn id="5" xr3:uid="{DDC7EDBC-3739-4737-94C4-0136A699093F}" uniqueName="5" name="Review" queryTableFieldId="5"/>
    <tableColumn id="6" xr3:uid="{70600CCF-BC05-466E-BCE7-890F8DA9AD25}" uniqueName="6" name="Rating" queryTableFieldId="7"/>
    <tableColumn id="7" xr3:uid="{3C73F790-83F2-45E2-8E53-63935E38B57E}" uniqueName="7" name="Current price midpoint" queryTableFieldId="8"/>
    <tableColumn id="8" xr3:uid="{AC41F43C-B77B-4A7F-B6B5-455CDB332B59}" uniqueName="8" name="Old price midpoint" queryTableFieldId="9"/>
    <tableColumn id="9" xr3:uid="{CF0A8B77-9F78-4490-891A-7E3C13D14DDC}" uniqueName="9" name="Rating Check" queryTableFieldId="10"/>
    <tableColumn id="10" xr3:uid="{CA28822C-24C1-4DD1-812C-E709931D73FC}" uniqueName="10" name="Price Check" queryTableFieldId="11"/>
    <tableColumn id="11" xr3:uid="{C89DC50F-F097-40CA-999F-24E10A4979F9}" uniqueName="11" name="Discount Check" queryTableFieldId="12"/>
    <tableColumn id="12" xr3:uid="{717FD907-4EA2-4847-A1F7-6456EC315CE1}" uniqueName="12" name="Discount check 1" queryTableFieldId="13"/>
    <tableColumn id="13" xr3:uid="{89CD1E4E-BF6B-4E15-8F23-BB681D78E45E}" uniqueName="13" name="Dscount amouunt" queryTableFieldId="14"/>
    <tableColumn id="14" xr3:uid="{B3BB2F84-A261-4465-8E97-863D3AA14471}" uniqueName="14" name="Rating category" queryTableFieldId="15"/>
    <tableColumn id="15" xr3:uid="{E1F7EAF8-2CCE-4107-A0FE-93D6A74BE1EA}" uniqueName="15" name="Discount Category" queryTableFieldId="16"/>
    <tableColumn id="16" xr3:uid="{7C21D2A9-4202-428E-B0FA-497C82181160}" uniqueName="16" name="Price Category" queryTableFieldId="17"/>
    <tableColumn id="17" xr3:uid="{05427B2A-07DC-49AE-92EE-B6A5350A0CAB}" uniqueName="17" name="Strong Engagement" queryTableFieldId="18"/>
    <tableColumn id="18" xr3:uid="{7F97A87A-3FA8-422A-A09D-1D6B8A60750B}" uniqueName="18" name="High Discount Low Rating" queryTableFieldId="19"/>
    <tableColumn id="19" xr3:uid="{D0E39A8C-AB1D-4731-AFE0-3AF8B0F48BF2}" uniqueName="19" name="High Discount LowEngagement" queryTableFieldId="20"/>
    <tableColumn id="20" xr3:uid="{5508D915-7A86-41B0-A113-49FA1A0AA4F2}" uniqueName="20" name="Strong Engagement Excellent Rating" queryTableFieldId="21"/>
    <tableColumn id="21" xr3:uid="{EE60555F-6763-404B-9662-52B9C2E2E4EF}" uniqueName="21" name="Many Reviews Average Rating" queryTableFieldId="2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34D0542-54D5-4FE0-9005-81FE934EAFAA}" name="Table3" displayName="Table3" ref="A1:XFD1048576" totalsRowShown="0" headerRowDxfId="0">
  <autoFilter ref="A1:XFD1048576" xr:uid="{434D0542-54D5-4FE0-9005-81FE934EAFAA}"/>
  <tableColumns count="16384">
    <tableColumn id="1" xr3:uid="{B1E1BAF6-C114-4449-A1D3-DA171D7EFB77}" name="Audit Check"/>
    <tableColumn id="2" xr3:uid="{2876F44E-2EA6-47CD-9055-3B444B5C52FD}" name="Column1"/>
    <tableColumn id="3" xr3:uid="{1FAC8CBE-D15B-4F13-B1BC-7F778BF4555C}" name="Issue "/>
    <tableColumn id="4" xr3:uid="{AA6C03CD-F8C6-4430-A53D-64B2B3428950}" name="Row affected "/>
    <tableColumn id="5" xr3:uid="{1BFE3B8F-7E82-489B-B600-159881006BE1}" name="Decision"/>
    <tableColumn id="6" xr3:uid="{BF95F2DA-EF55-4921-AADC-4FFE839F9B15}" name="Reason"/>
    <tableColumn id="7" xr3:uid="{08CA96DC-8C7E-4241-8D0C-D6D22E11E552}" name="Column2"/>
    <tableColumn id="8" xr3:uid="{7B695B15-F7FE-4126-9F56-DDC7879626B1}" name="Column3"/>
    <tableColumn id="9" xr3:uid="{355D6646-301B-41C0-BDA7-3F24D5A20EBC}" name="Column4"/>
    <tableColumn id="10" xr3:uid="{2916F6CA-9E0D-4C3A-B579-A742AEBB9B3B}" name="Column5"/>
    <tableColumn id="11" xr3:uid="{C55F8562-92BB-4F09-9E73-5149A7F1DC8C}" name="Column6"/>
    <tableColumn id="12" xr3:uid="{3179E2C7-1B6C-4081-A45A-DC2B2EFCEBE6}" name="Column7"/>
    <tableColumn id="13" xr3:uid="{8ABE067E-2A49-42E3-894C-4948A3508C99}" name="Column8"/>
    <tableColumn id="14" xr3:uid="{BF61C82B-089F-4BFA-8356-24B82B5BE18D}" name="Column9"/>
    <tableColumn id="15" xr3:uid="{5FF717D2-D6F8-45B6-94AF-A0C27F4C9845}" name="Column10"/>
    <tableColumn id="16" xr3:uid="{551CABDC-0C3B-43D9-B303-368FA8CB53B8}" name="Column11"/>
    <tableColumn id="17" xr3:uid="{6DE75F10-05B9-42CD-BD14-4321D5C62D6B}" name="Column12"/>
    <tableColumn id="18" xr3:uid="{78F81A7A-00B5-4D2C-B962-7C11F6C297BA}" name="Column13"/>
    <tableColumn id="19" xr3:uid="{3BC8BA9E-DB2E-46DB-B41A-6D0C04AB7DEE}" name="Column14"/>
    <tableColumn id="20" xr3:uid="{42EA561F-D19B-4DB8-B3F7-006956A2A8DC}" name="Column15"/>
    <tableColumn id="21" xr3:uid="{4241E73E-F101-43D0-B894-215ECE7B14D9}" name="Column16"/>
    <tableColumn id="22" xr3:uid="{078AEFD4-733D-491E-BA31-2EC2767D8B9F}" name="Column17"/>
    <tableColumn id="23" xr3:uid="{0D36A8AC-A17E-4504-9838-A2A8E2832C69}" name="Column18"/>
    <tableColumn id="24" xr3:uid="{282568E8-C31D-4AFD-910A-261791FF9B2B}" name="Column19"/>
    <tableColumn id="25" xr3:uid="{65AE28C3-344D-4FD6-B744-EE6BDB0A677F}" name="Column20"/>
    <tableColumn id="26" xr3:uid="{5277912B-D5BF-49E2-ADC5-2D0ED1AD91A4}" name="Column21"/>
    <tableColumn id="27" xr3:uid="{447DF7AF-DC32-4B23-BEC3-044E672FE975}" name="Column22"/>
    <tableColumn id="28" xr3:uid="{5779247E-E0BB-4B9C-A19C-E13CB60F2E46}" name="Column23"/>
    <tableColumn id="29" xr3:uid="{DF7F2AE6-EE81-4BFE-B22B-992EC0B03691}" name="Column24"/>
    <tableColumn id="30" xr3:uid="{B5072D1F-ABB1-44D0-B160-1F17588C0945}" name="Column25"/>
    <tableColumn id="31" xr3:uid="{5CB6AE1A-8199-4828-89B0-C61AC6D9F634}" name="Column26"/>
    <tableColumn id="32" xr3:uid="{44C1E37A-C6BD-4B62-83CB-5F3933403070}" name="Column27"/>
    <tableColumn id="33" xr3:uid="{D569868E-8313-49BF-B566-20CA65A36255}" name="Column28"/>
    <tableColumn id="34" xr3:uid="{4E3081FF-7825-4B34-9A10-776ADC5D91CC}" name="Column29"/>
    <tableColumn id="35" xr3:uid="{B4B704BB-AD28-4D1D-9FBC-9C1C074E19CC}" name="Column30"/>
    <tableColumn id="36" xr3:uid="{1E9CBE45-CBFF-4EA0-BDB0-8ABF0BAB0272}" name="Column31"/>
    <tableColumn id="37" xr3:uid="{1CD712BE-2A05-4A54-A49B-33DE234124A9}" name="Column32"/>
    <tableColumn id="38" xr3:uid="{538A3E89-3F6E-4B0A-8DC7-BC690576B0AA}" name="Column33"/>
    <tableColumn id="39" xr3:uid="{A61D4F0E-4AD3-4D1A-97B7-297CAD25F0F6}" name="Column34"/>
    <tableColumn id="40" xr3:uid="{42123603-4127-469B-B4F9-5618340456B5}" name="Column35"/>
    <tableColumn id="41" xr3:uid="{7AF98F2D-CD5B-409D-A3E1-9EA0848782D5}" name="Column36"/>
    <tableColumn id="42" xr3:uid="{76E77EDA-1398-4584-9271-F1787DF68A67}" name="Column37"/>
    <tableColumn id="43" xr3:uid="{607878F1-328E-4E0F-8FF4-CE29ACFAB7DA}" name="Column38"/>
    <tableColumn id="44" xr3:uid="{5C97F191-D489-41D5-9968-74077FFF2BA9}" name="Column39"/>
    <tableColumn id="45" xr3:uid="{EAAC912D-9939-472D-A483-45DDFD85FC69}" name="Column40"/>
    <tableColumn id="46" xr3:uid="{9FAF2CB3-B665-4154-ADA5-FA9C4279637C}" name="Column41"/>
    <tableColumn id="47" xr3:uid="{3DF23C02-BC79-4C82-B451-E7D5C6701015}" name="Column42"/>
    <tableColumn id="48" xr3:uid="{4A34EF54-F567-4274-B727-8B9040A9F27F}" name="Column43"/>
    <tableColumn id="49" xr3:uid="{ED4F1565-ED50-4C59-A731-B2ED60FF0B4C}" name="Column44"/>
    <tableColumn id="50" xr3:uid="{97CD03EC-52C0-4F04-BFE7-F95AC9A9224C}" name="Column45"/>
    <tableColumn id="51" xr3:uid="{D391D097-0346-4BAD-846B-35AC562769B6}" name="Column46"/>
    <tableColumn id="52" xr3:uid="{3DEA5120-6955-47F2-99AD-29D44D231258}" name="Column47"/>
    <tableColumn id="53" xr3:uid="{BD7514CD-515D-469C-9786-5F897E2643C6}" name="Column48"/>
    <tableColumn id="54" xr3:uid="{6BD7DC42-5ACC-4930-ABAE-0AD3A41E4B71}" name="Column49"/>
    <tableColumn id="55" xr3:uid="{6E297C96-321C-4EC7-B869-63E944D9FFD7}" name="Column50"/>
    <tableColumn id="56" xr3:uid="{C7300C33-67DC-41E7-B2F9-19DC2E40283B}" name="Column51"/>
    <tableColumn id="57" xr3:uid="{1F1B262A-84E8-4D3B-8990-ED59BC356481}" name="Column52"/>
    <tableColumn id="58" xr3:uid="{30FD7CFA-C5E9-43AB-8604-2B61AE009326}" name="Column53"/>
    <tableColumn id="59" xr3:uid="{1461D00E-2A7C-43C4-B8A0-5BCC52FA926F}" name="Column54"/>
    <tableColumn id="60" xr3:uid="{3BFC816C-C3E5-47AA-9CB5-47E39D00148A}" name="Column55"/>
    <tableColumn id="61" xr3:uid="{22CBA32F-8AE0-467F-85E6-DB5C93376F84}" name="Column56"/>
    <tableColumn id="62" xr3:uid="{0214C3C5-140E-4864-A70E-77E5CE37A55B}" name="Column57"/>
    <tableColumn id="63" xr3:uid="{3FD009A9-D2A8-4FC4-8418-ADFB16564694}" name="Column58"/>
    <tableColumn id="64" xr3:uid="{CAC5F0C8-08E6-4E6F-AC10-2FEAD798F080}" name="Column59"/>
    <tableColumn id="65" xr3:uid="{2FD512DE-5619-4D15-AD73-02535886C36F}" name="Column60"/>
    <tableColumn id="66" xr3:uid="{7F4E7AAE-AD96-47AA-976D-6535C819FF8C}" name="Column61"/>
    <tableColumn id="67" xr3:uid="{68A41502-3B93-479A-B3C2-A963C1281FD6}" name="Column62"/>
    <tableColumn id="68" xr3:uid="{FE23B967-552C-484B-AC69-0E3851A34666}" name="Column63"/>
    <tableColumn id="69" xr3:uid="{ACE1D2CF-856C-42ED-97A0-7A8388CFBBBA}" name="Column64"/>
    <tableColumn id="70" xr3:uid="{0CD95035-B61F-4A00-8193-A2CD03960888}" name="Column65"/>
    <tableColumn id="71" xr3:uid="{1A8D305C-3406-433E-8C22-824100127AA8}" name="Column66"/>
    <tableColumn id="72" xr3:uid="{42FD2987-63C9-4812-AB82-2F67F759C27B}" name="Column67"/>
    <tableColumn id="73" xr3:uid="{C51FC55D-13FB-44CE-9BAB-8E9223DD5DE8}" name="Column68"/>
    <tableColumn id="74" xr3:uid="{EF4B6835-8AFF-4F6A-A1EA-75B3744F6B93}" name="Column69"/>
    <tableColumn id="75" xr3:uid="{4F0C0834-9F5F-4B15-8537-C66452B87654}" name="Column70"/>
    <tableColumn id="76" xr3:uid="{5B42DE2E-D7B9-4D05-B9E0-FE4F9FC24C68}" name="Column71"/>
    <tableColumn id="77" xr3:uid="{F4EDB0AB-054A-41C8-9B24-B5657A313AC1}" name="Column72"/>
    <tableColumn id="78" xr3:uid="{4B882885-AC78-494D-9BE1-6A91F67AB08F}" name="Column73"/>
    <tableColumn id="79" xr3:uid="{C3075A92-936C-4786-8B83-7CB359CDC378}" name="Column74"/>
    <tableColumn id="80" xr3:uid="{9A97BFF3-D154-4DA1-A6E2-9430FD93FA9A}" name="Column75"/>
    <tableColumn id="81" xr3:uid="{E7924903-B29D-4256-B004-462D85158A27}" name="Column76"/>
    <tableColumn id="82" xr3:uid="{671A0700-E239-4185-AD66-BEA6B87660D3}" name="Column77"/>
    <tableColumn id="83" xr3:uid="{70750594-54E4-4794-83CC-5DCE73FAAF9C}" name="Column78"/>
    <tableColumn id="84" xr3:uid="{7E239542-97F0-4139-B7EC-BE0580D7C161}" name="Column79"/>
    <tableColumn id="85" xr3:uid="{CD3287D7-6630-4470-93E5-829BE2DD8FA6}" name="Column80"/>
    <tableColumn id="86" xr3:uid="{3279A47A-82FB-44A7-9F8C-290E6E447357}" name="Column81"/>
    <tableColumn id="87" xr3:uid="{E3FBB93A-EDC3-41EB-801A-0076D439C638}" name="Column82"/>
    <tableColumn id="88" xr3:uid="{7A83B00C-07B9-4D8A-9C0A-E52444B91E30}" name="Column83"/>
    <tableColumn id="89" xr3:uid="{8AE0B34D-DFC0-41C3-8D13-C8078486BB63}" name="Column84"/>
    <tableColumn id="90" xr3:uid="{84025842-E955-4155-8757-578BD7D0E599}" name="Column85"/>
    <tableColumn id="91" xr3:uid="{64745DFD-3ECD-475D-9B3B-364365A44185}" name="Column86"/>
    <tableColumn id="92" xr3:uid="{CA66FFE1-287E-4E08-8E88-0E7CD71960D7}" name="Column87"/>
    <tableColumn id="93" xr3:uid="{15E08595-4E28-4DD6-BD47-4FBBC6022716}" name="Column88"/>
    <tableColumn id="94" xr3:uid="{0E39C5C5-B317-414D-81DC-B560EDC77184}" name="Column89"/>
    <tableColumn id="95" xr3:uid="{E65C4B52-8985-421D-BC08-1D91C000B466}" name="Column90"/>
    <tableColumn id="96" xr3:uid="{0E39FEF9-DE68-4C50-944B-496F6A4DD9D7}" name="Column91"/>
    <tableColumn id="97" xr3:uid="{93E087A0-83BA-4E90-9A5B-0FCBA31B1C35}" name="Column92"/>
    <tableColumn id="98" xr3:uid="{C1486FA9-213E-4F3D-9C82-F6F38CA62C84}" name="Column93"/>
    <tableColumn id="99" xr3:uid="{98BC8EA2-A1CD-4C8A-8844-6AAC42D080E6}" name="Column94"/>
    <tableColumn id="100" xr3:uid="{721B7641-FF34-449A-841D-9DCDC13D3FC1}" name="Column95"/>
    <tableColumn id="101" xr3:uid="{A2C211A0-44DC-4803-9268-8C4DE132C6D0}" name="Column96"/>
    <tableColumn id="102" xr3:uid="{2C22F501-C74A-4354-9643-8A98BC4249AF}" name="Column97"/>
    <tableColumn id="103" xr3:uid="{2CED7AF2-C933-45B0-877F-F4B7B95920C9}" name="Column98"/>
    <tableColumn id="104" xr3:uid="{277F2DBB-9B36-439A-A58D-EB6A342D23F3}" name="Column99"/>
    <tableColumn id="105" xr3:uid="{DF33D4E0-2A93-4654-9217-FB31AF712F14}" name="Column100"/>
    <tableColumn id="106" xr3:uid="{D5A305FA-025F-465A-8A24-411D19470CD0}" name="Column101"/>
    <tableColumn id="107" xr3:uid="{9FC4DC0B-2F46-406C-8F41-99A374A7BE79}" name="Column102"/>
    <tableColumn id="108" xr3:uid="{4BA7848E-4E06-4448-B464-4FE308882552}" name="Column103"/>
    <tableColumn id="109" xr3:uid="{F887EEE6-A799-46B7-B970-58E164C0D0F8}" name="Column104"/>
    <tableColumn id="110" xr3:uid="{989668AD-E2B6-425D-B0D4-469BC7216B56}" name="Column105"/>
    <tableColumn id="111" xr3:uid="{B85D6DE1-D7DB-4F87-A8B5-FC1E965C90F3}" name="Column106"/>
    <tableColumn id="112" xr3:uid="{0BD9BD82-1078-4D82-B127-2F4AB840791C}" name="Column107"/>
    <tableColumn id="113" xr3:uid="{B309A1AA-1A57-4B3B-A8CF-3776D2FD2A70}" name="Column108"/>
    <tableColumn id="114" xr3:uid="{3E434BE9-6F7A-48EB-8B04-5A5F5A166FB7}" name="Column109"/>
    <tableColumn id="115" xr3:uid="{9002FDD8-5E36-4211-A9F6-7000AE7EB616}" name="Column110"/>
    <tableColumn id="116" xr3:uid="{BCE06ABD-C708-4455-992B-5CB66845899A}" name="Column111"/>
    <tableColumn id="117" xr3:uid="{21CE895E-CCBF-4357-9F22-DF47A88AC31F}" name="Column112"/>
    <tableColumn id="118" xr3:uid="{279E5063-D228-4160-B857-C832D5F68A56}" name="Column113"/>
    <tableColumn id="119" xr3:uid="{213F2975-60E6-4F65-A837-C0A3FCF3F405}" name="Column114"/>
    <tableColumn id="120" xr3:uid="{024C1100-DC7A-49DD-923C-F6DA42651339}" name="Column115"/>
    <tableColumn id="121" xr3:uid="{29D5B36B-138E-4EB6-BA7A-BAA6630DE3B3}" name="Column116"/>
    <tableColumn id="122" xr3:uid="{C94DAD4E-1BA0-458D-8894-776AAECCC176}" name="Column117"/>
    <tableColumn id="123" xr3:uid="{EE5F0484-E1D6-4605-ADA6-5535B3611482}" name="Column118"/>
    <tableColumn id="124" xr3:uid="{3E8B8F64-C725-499B-94E3-24EF8FE86EDF}" name="Column119"/>
    <tableColumn id="125" xr3:uid="{B7A1A5A1-492E-46CB-A982-B47A6D7E0CB3}" name="Column120"/>
    <tableColumn id="126" xr3:uid="{9026C488-E374-4348-B28C-4BAFEF43FC46}" name="Column121"/>
    <tableColumn id="127" xr3:uid="{E479C8A6-C275-4946-8764-66F41E68AC3B}" name="Column122"/>
    <tableColumn id="128" xr3:uid="{75274EF1-5F45-4F8E-A455-F835817C08C7}" name="Column123"/>
    <tableColumn id="129" xr3:uid="{5DB0E8EA-5267-4995-877B-D12F7F5ADE41}" name="Column124"/>
    <tableColumn id="130" xr3:uid="{387BA95E-460B-47AF-9782-A335DEBE0E02}" name="Column125"/>
    <tableColumn id="131" xr3:uid="{E6131C69-3D8C-4400-BD0B-4654EB926EF7}" name="Column126"/>
    <tableColumn id="132" xr3:uid="{CD5786BC-0A54-41B2-BB72-432167A0F989}" name="Column127"/>
    <tableColumn id="133" xr3:uid="{8AB9C817-EF49-4132-9E06-454E3D6BF067}" name="Column128"/>
    <tableColumn id="134" xr3:uid="{2AF9A7A0-D924-47B2-B6E5-D89683B9800A}" name="Column129"/>
    <tableColumn id="135" xr3:uid="{2E817AD0-F42A-4C3E-8678-3FDEFED910AC}" name="Column130"/>
    <tableColumn id="136" xr3:uid="{62E0556D-F06D-4724-A7D2-43E0042D07E2}" name="Column131"/>
    <tableColumn id="137" xr3:uid="{A2B9DC73-5074-4719-BA2A-E61F7B176C63}" name="Column132"/>
    <tableColumn id="138" xr3:uid="{416533B0-57CE-4399-BB15-9D06A07C6BDC}" name="Column133"/>
    <tableColumn id="139" xr3:uid="{F1B91886-220F-48BF-8A44-307E4FADE4D6}" name="Column134"/>
    <tableColumn id="140" xr3:uid="{30F97BFC-F12B-43EA-BE95-F7D38CD3B619}" name="Column135"/>
    <tableColumn id="141" xr3:uid="{8CD2A9F5-DADA-4640-AD66-2BAFBDDCB6C2}" name="Column136"/>
    <tableColumn id="142" xr3:uid="{3201B2CE-87DF-4564-9AB8-24057B148CC2}" name="Column137"/>
    <tableColumn id="143" xr3:uid="{C3DC4C54-1BE4-4957-BC6D-933E04CDCA3E}" name="Column138"/>
    <tableColumn id="144" xr3:uid="{073E40A8-BBAA-4CB9-A4C5-EDD7CA175A7D}" name="Column139"/>
    <tableColumn id="145" xr3:uid="{56304038-8D1C-4333-B3F0-F758B61AFCC4}" name="Column140"/>
    <tableColumn id="146" xr3:uid="{9322A460-4B7E-4B93-B46E-A5DB3248A7E7}" name="Column141"/>
    <tableColumn id="147" xr3:uid="{1F4DCF90-8E02-48F9-809E-B775AD9E244C}" name="Column142"/>
    <tableColumn id="148" xr3:uid="{4A6A8F71-C9E8-4F2C-A710-52BC5083A987}" name="Column143"/>
    <tableColumn id="149" xr3:uid="{F2E086DD-87D3-456B-9D35-F47EDDCB4925}" name="Column144"/>
    <tableColumn id="150" xr3:uid="{1DED172A-5D72-470C-AC3A-4BEDB45068F0}" name="Column145"/>
    <tableColumn id="151" xr3:uid="{516DB661-4CA4-48DF-96E8-B6FF70E2BBA4}" name="Column146"/>
    <tableColumn id="152" xr3:uid="{168B1B87-1B01-44E1-91E4-2993C4EDA3F2}" name="Column147"/>
    <tableColumn id="153" xr3:uid="{D2B7226A-1825-4FB9-BFFB-9AB542D9F953}" name="Column148"/>
    <tableColumn id="154" xr3:uid="{20AF7F9F-44D2-411F-A5D1-B37F5658692B}" name="Column149"/>
    <tableColumn id="155" xr3:uid="{8C773991-E43E-435A-92C8-B5B11AEC0A6B}" name="Column150"/>
    <tableColumn id="156" xr3:uid="{A6442DFD-625A-4688-A7CE-86F679003B00}" name="Column151"/>
    <tableColumn id="157" xr3:uid="{36751221-BAE7-4B98-BAC1-4A2833796531}" name="Column152"/>
    <tableColumn id="158" xr3:uid="{B07778B4-4C13-4994-A9C4-9E5790E71F09}" name="Column153"/>
    <tableColumn id="159" xr3:uid="{52087EC4-7064-4449-8A42-203BC85AD028}" name="Column154"/>
    <tableColumn id="160" xr3:uid="{0851B881-54F7-479C-9D0A-4BD4AE4BEA69}" name="Column155"/>
    <tableColumn id="161" xr3:uid="{6F35BF36-9B9A-4B3F-80D7-7F5DC1E8B01A}" name="Column156"/>
    <tableColumn id="162" xr3:uid="{ACBC64D4-7D07-4834-8A81-A6EAF6DF181F}" name="Column157"/>
    <tableColumn id="163" xr3:uid="{2AABC50A-6922-424C-B8B1-AC58A6E661A4}" name="Column158"/>
    <tableColumn id="164" xr3:uid="{08DD3B6A-C469-4AAA-9ABF-EEA9D454C54F}" name="Column159"/>
    <tableColumn id="165" xr3:uid="{D76A1437-47B2-40F9-AE30-EDC640739F08}" name="Column160"/>
    <tableColumn id="166" xr3:uid="{321CBEAD-6C25-4441-8FCE-0094F2C7D7E7}" name="Column161"/>
    <tableColumn id="167" xr3:uid="{1322CDCB-A4BD-4799-AF52-1623BFAED335}" name="Column162"/>
    <tableColumn id="168" xr3:uid="{ADF19640-B081-4D91-8539-1EC3F550F0BA}" name="Column163"/>
    <tableColumn id="169" xr3:uid="{4C849A32-676E-42E9-96AE-F3E417F6D8C4}" name="Column164"/>
    <tableColumn id="170" xr3:uid="{0B53D2E3-5E09-4FBD-B374-243275600CAE}" name="Column165"/>
    <tableColumn id="171" xr3:uid="{C69BC9CE-A985-473D-A070-AB131FC06419}" name="Column166"/>
    <tableColumn id="172" xr3:uid="{08496EB3-D2EB-4B4A-B373-D40A69EF005E}" name="Column167"/>
    <tableColumn id="173" xr3:uid="{1A7839FD-129D-47A5-ACFE-BE122A77AF43}" name="Column168"/>
    <tableColumn id="174" xr3:uid="{C8176E68-4AAB-471C-A560-FF185F1F9963}" name="Column169"/>
    <tableColumn id="175" xr3:uid="{90A7A55C-C96F-4004-AB3C-F25CCFEF0EBD}" name="Column170"/>
    <tableColumn id="176" xr3:uid="{2697A2E9-A99F-494A-9E0A-FC29E2D7B970}" name="Column171"/>
    <tableColumn id="177" xr3:uid="{A5025934-25F0-47F1-9A3A-B2349066D3A3}" name="Column172"/>
    <tableColumn id="178" xr3:uid="{3B8F94DF-C911-4863-99B5-AA495375C2E3}" name="Column173"/>
    <tableColumn id="179" xr3:uid="{14190C86-DB00-4F11-9285-3F8E994DFA7E}" name="Column174"/>
    <tableColumn id="180" xr3:uid="{0B844030-8F13-4082-848E-C034386E2679}" name="Column175"/>
    <tableColumn id="181" xr3:uid="{4487DEFC-CA23-4AA3-8201-A0944DB056C8}" name="Column176"/>
    <tableColumn id="182" xr3:uid="{F91781DA-4988-4EA0-85AB-0C31481155D5}" name="Column177"/>
    <tableColumn id="183" xr3:uid="{39D16511-5EF7-4DF0-861F-5D23942365F9}" name="Column178"/>
    <tableColumn id="184" xr3:uid="{E3486F4C-8F3D-470F-BD38-83BEB8EB24BD}" name="Column179"/>
    <tableColumn id="185" xr3:uid="{33BC122E-9EC1-4ECB-8338-7A351F784E6E}" name="Column180"/>
    <tableColumn id="186" xr3:uid="{C4EEF6AF-0517-4FD6-BE28-BAB1D49EA436}" name="Column181"/>
    <tableColumn id="187" xr3:uid="{EF8EA1C2-D277-4329-81B2-DADB34E9BD34}" name="Column182"/>
    <tableColumn id="188" xr3:uid="{EA46B933-32F4-45DB-9F76-763F0F784A5D}" name="Column183"/>
    <tableColumn id="189" xr3:uid="{D3C26525-203F-4F6C-87D9-B4309BFA5898}" name="Column184"/>
    <tableColumn id="190" xr3:uid="{2FA59DD9-8901-4346-A6A9-4096C4281DC7}" name="Column185"/>
    <tableColumn id="191" xr3:uid="{C2A3D904-0500-43CA-904E-18B564C41F5A}" name="Column186"/>
    <tableColumn id="192" xr3:uid="{9AC1AC40-D16A-4841-82D1-06DAEC10FB24}" name="Column187"/>
    <tableColumn id="193" xr3:uid="{3D5CFE84-B404-40AA-B5E6-3656462A3437}" name="Column188"/>
    <tableColumn id="194" xr3:uid="{24E0C51D-266C-48FC-BB5D-832C0BF761EE}" name="Column189"/>
    <tableColumn id="195" xr3:uid="{1F7E8DB8-20FA-4D6F-9D48-BDD50D3B5C02}" name="Column190"/>
    <tableColumn id="196" xr3:uid="{55ED75DA-C0A9-4038-A484-6869490F4575}" name="Column191"/>
    <tableColumn id="197" xr3:uid="{9A27F2A6-2ADF-4F2F-892E-6CCE58F67E9B}" name="Column192"/>
    <tableColumn id="198" xr3:uid="{B9F757D7-D80D-4429-ABC4-6EF976381368}" name="Column193"/>
    <tableColumn id="199" xr3:uid="{606F9AE2-6324-4744-853D-C0D675B774D4}" name="Column194"/>
    <tableColumn id="200" xr3:uid="{F9782992-8456-4C57-8801-DE9E27376165}" name="Column195"/>
    <tableColumn id="201" xr3:uid="{70D11344-C3CE-482F-8DE5-18E14FC23A60}" name="Column196"/>
    <tableColumn id="202" xr3:uid="{536D1877-80BB-4B65-974D-5D2E22357FEC}" name="Column197"/>
    <tableColumn id="203" xr3:uid="{5C6788B1-09CE-4E71-B53B-DEA3BA319DAA}" name="Column198"/>
    <tableColumn id="204" xr3:uid="{AA42F12A-E191-46CF-9219-3DF9E9A849A4}" name="Column199"/>
    <tableColumn id="205" xr3:uid="{9910A79A-4316-4C4A-A037-989D5500C23A}" name="Column200"/>
    <tableColumn id="206" xr3:uid="{1EE460A0-D12D-4BC2-8291-6EB20C948598}" name="Column201"/>
    <tableColumn id="207" xr3:uid="{0A3382CF-3320-47A7-8FFA-B2F3497680C3}" name="Column202"/>
    <tableColumn id="208" xr3:uid="{476882E8-BBE2-463D-ACCB-D380734B04CC}" name="Column203"/>
    <tableColumn id="209" xr3:uid="{5EBF1040-59DA-4C47-AE8E-258F6B1AB3C5}" name="Column204"/>
    <tableColumn id="210" xr3:uid="{46058278-6C69-4AFD-A84A-79BC58F1B395}" name="Column205"/>
    <tableColumn id="211" xr3:uid="{E704B59C-E48E-45F2-B670-165DAA516282}" name="Column206"/>
    <tableColumn id="212" xr3:uid="{C1498F76-0040-4234-8EB6-7A4884704995}" name="Column207"/>
    <tableColumn id="213" xr3:uid="{A4E49171-9315-494C-A9DA-CF216B4B81BB}" name="Column208"/>
    <tableColumn id="214" xr3:uid="{2C535FF3-64BE-4B72-BB48-6950E1DCD225}" name="Column209"/>
    <tableColumn id="215" xr3:uid="{E268FCAE-C03A-42CF-AFF7-ED1395F44EA8}" name="Column210"/>
    <tableColumn id="216" xr3:uid="{007D53A8-6DCC-4415-8807-8836C02B9275}" name="Column211"/>
    <tableColumn id="217" xr3:uid="{BAF1618C-F082-49F2-9985-E84CE3B7C522}" name="Column212"/>
    <tableColumn id="218" xr3:uid="{45E964FB-EECB-46F6-B372-EC7C8B468600}" name="Column213"/>
    <tableColumn id="219" xr3:uid="{5D3A53C9-FAAF-4523-960F-10D58F8142B1}" name="Column214"/>
    <tableColumn id="220" xr3:uid="{3C017CEB-2E08-4F81-899F-C839EAFF5BF7}" name="Column215"/>
    <tableColumn id="221" xr3:uid="{EB5306B0-4F4E-46E8-B264-C3BA19DC934F}" name="Column216"/>
    <tableColumn id="222" xr3:uid="{D75448E1-7190-4ADD-AD6A-DC93EF2BFCD4}" name="Column217"/>
    <tableColumn id="223" xr3:uid="{D89DF0AE-A3D4-4FD0-B29E-2967C67A208B}" name="Column218"/>
    <tableColumn id="224" xr3:uid="{0EED6657-8E28-4F4B-BB6A-41D8A11089B3}" name="Column219"/>
    <tableColumn id="225" xr3:uid="{07EA42DB-9355-43C6-967E-12ECDC3A5F3D}" name="Column220"/>
    <tableColumn id="226" xr3:uid="{1A7F7E93-A803-40E0-A092-AA37D8A3579C}" name="Column221"/>
    <tableColumn id="227" xr3:uid="{E8C03E5E-19E2-405D-B49A-119732A659C2}" name="Column222"/>
    <tableColumn id="228" xr3:uid="{920A2DD2-621A-4149-93D5-568446BBD6EF}" name="Column223"/>
    <tableColumn id="229" xr3:uid="{77C74F2F-A8CE-4B39-81EC-BD7338A36BE6}" name="Column224"/>
    <tableColumn id="230" xr3:uid="{A6AAD450-CFE6-40B2-8F4B-8905747B356D}" name="Column225"/>
    <tableColumn id="231" xr3:uid="{BE716CDC-E46B-4AA5-A44D-B68037434998}" name="Column226"/>
    <tableColumn id="232" xr3:uid="{D680DC0B-9575-448B-9651-0F31059FC53D}" name="Column227"/>
    <tableColumn id="233" xr3:uid="{EE06E30D-E21A-4B30-A46A-A1A6C8031B61}" name="Column228"/>
    <tableColumn id="234" xr3:uid="{4769D7DC-4925-4EE8-80FC-0C618D7CDAD5}" name="Column229"/>
    <tableColumn id="235" xr3:uid="{5DE02522-FEDD-4B11-B6E8-2565EF160C2B}" name="Column230"/>
    <tableColumn id="236" xr3:uid="{98B2E4DF-0570-49B6-8F2A-1695E7A55C17}" name="Column231"/>
    <tableColumn id="237" xr3:uid="{F1228EDF-D804-496F-A18E-58BC6F7F50C9}" name="Column232"/>
    <tableColumn id="238" xr3:uid="{544B7C79-252D-4708-8478-4814F882A27D}" name="Column233"/>
    <tableColumn id="239" xr3:uid="{FC438678-6863-4C19-8B3A-3A4F4717F3AA}" name="Column234"/>
    <tableColumn id="240" xr3:uid="{90F743C4-9E5E-4214-9324-491AA7AD8824}" name="Column235"/>
    <tableColumn id="241" xr3:uid="{432A8BA5-26B4-444B-8C60-B7974A6CAE8F}" name="Column236"/>
    <tableColumn id="242" xr3:uid="{3AD467EC-A884-42A8-AA2B-F6E9FA3FD3B6}" name="Column237"/>
    <tableColumn id="243" xr3:uid="{9218125A-824C-4C44-A8EE-AB858CF6B8C8}" name="Column238"/>
    <tableColumn id="244" xr3:uid="{006BCCC2-087E-42D6-8F0E-0334071A8380}" name="Column239"/>
    <tableColumn id="245" xr3:uid="{EE9B5597-7F25-415E-A128-5DA5A6E4CBBF}" name="Column240"/>
    <tableColumn id="246" xr3:uid="{284B39E3-FE87-4257-A6D8-5847AA9E1070}" name="Column241"/>
    <tableColumn id="247" xr3:uid="{5AD39110-A547-48E1-B561-6B05186D16F1}" name="Column242"/>
    <tableColumn id="248" xr3:uid="{7AD79EEF-862D-4C4F-A422-0C12221E553E}" name="Column243"/>
    <tableColumn id="249" xr3:uid="{CFECAF25-6DA0-498E-9101-1AE29EF8800D}" name="Column244"/>
    <tableColumn id="250" xr3:uid="{16E4AEDC-7D14-4B4A-81D8-2E4979556A4A}" name="Column245"/>
    <tableColumn id="251" xr3:uid="{DC104402-A92B-4318-9555-DDE138ECAC2E}" name="Column246"/>
    <tableColumn id="252" xr3:uid="{0482F505-E382-4B0A-9BBA-BC6681FFD670}" name="Column247"/>
    <tableColumn id="253" xr3:uid="{B280016E-1A05-4A64-9FD6-045A2C7B5434}" name="Column248"/>
    <tableColumn id="254" xr3:uid="{DA8F14B3-FB36-4024-940C-E3BA16328C3A}" name="Column249"/>
    <tableColumn id="255" xr3:uid="{0FC66913-BB7D-4475-B648-C6CA60A0AD94}" name="Column250"/>
    <tableColumn id="256" xr3:uid="{A6C4417A-7A9A-48F0-8B13-7FFE9BB856F4}" name="Column251"/>
    <tableColumn id="257" xr3:uid="{DE1100C9-355A-4B5A-8FFA-BC73FE4A9167}" name="Column252"/>
    <tableColumn id="258" xr3:uid="{56A5F7CA-0743-4480-8AFD-C0F2DC02138D}" name="Column253"/>
    <tableColumn id="259" xr3:uid="{4A5A8E37-9615-4FB9-AD20-8C38A8FD2BBB}" name="Column254"/>
    <tableColumn id="260" xr3:uid="{F4FB9781-0D2C-472A-9C93-13D46C70422D}" name="Column255"/>
    <tableColumn id="261" xr3:uid="{15BD4E67-1763-48B9-B3F3-04D230430059}" name="Column256"/>
    <tableColumn id="262" xr3:uid="{EE6D9AA9-8121-4131-8D4C-0D20AC07ACC3}" name="Column257"/>
    <tableColumn id="263" xr3:uid="{3100ED23-7EDF-4B8F-A8B6-2CA921607724}" name="Column258"/>
    <tableColumn id="264" xr3:uid="{63395273-DED6-4610-B9E1-1AA3E8416ADF}" name="Column259"/>
    <tableColumn id="265" xr3:uid="{24A4BB8E-2A2C-49D5-A608-B4F2C2E78F78}" name="Column260"/>
    <tableColumn id="266" xr3:uid="{7634A30F-B3E4-4CDB-A028-7AB580FC5A85}" name="Column261"/>
    <tableColumn id="267" xr3:uid="{301523C4-5A5F-47EA-A589-58D18233D2D4}" name="Column262"/>
    <tableColumn id="268" xr3:uid="{2C01A97A-3A16-4D81-A943-918208062B9C}" name="Column263"/>
    <tableColumn id="269" xr3:uid="{8EFC6AA0-5287-4E80-B42A-31E4D37EB255}" name="Column264"/>
    <tableColumn id="270" xr3:uid="{30590AD6-D4CF-4351-A799-808CDB46F06E}" name="Column265"/>
    <tableColumn id="271" xr3:uid="{C76EFE02-812D-4C41-A9DA-371259F5A59C}" name="Column266"/>
    <tableColumn id="272" xr3:uid="{1DB37D12-4333-4B8F-82E3-C7328D3EAAAF}" name="Column267"/>
    <tableColumn id="273" xr3:uid="{E2AC7C4A-8178-4A32-BFA9-EC4099EEFEA9}" name="Column268"/>
    <tableColumn id="274" xr3:uid="{3BB2AA77-E364-4E92-BA24-612B61FBE7F2}" name="Column269"/>
    <tableColumn id="275" xr3:uid="{774142F2-4AFB-4AB6-958C-3520C9DA78EF}" name="Column270"/>
    <tableColumn id="276" xr3:uid="{866B9245-CDC0-46EF-B1E7-CB12DDCADFA9}" name="Column271"/>
    <tableColumn id="277" xr3:uid="{F02D55A3-9738-4FAC-A9FE-98D3313050BB}" name="Column272"/>
    <tableColumn id="278" xr3:uid="{09A67D55-7E85-4216-BB18-DABF0DAB2666}" name="Column273"/>
    <tableColumn id="279" xr3:uid="{397CB1FB-6305-4A2A-9DCB-ED85EB18F894}" name="Column274"/>
    <tableColumn id="280" xr3:uid="{A765CE0F-4A00-4E70-B5BD-3033008BDA47}" name="Column275"/>
    <tableColumn id="281" xr3:uid="{16C181C4-17A6-4EFE-A9C4-8E739FD7F3EE}" name="Column276"/>
    <tableColumn id="282" xr3:uid="{8A7C5DBA-0C2C-4AA0-A177-023F4CE6979E}" name="Column277"/>
    <tableColumn id="283" xr3:uid="{3AC2D19A-3F93-4886-912F-B0DDC675E3CC}" name="Column278"/>
    <tableColumn id="284" xr3:uid="{7473FBFB-DC27-40FB-8FC8-1CBCF24F8D1F}" name="Column279"/>
    <tableColumn id="285" xr3:uid="{5B562B0F-40FF-44D0-8802-8903FFA01A78}" name="Column280"/>
    <tableColumn id="286" xr3:uid="{9E01D2F2-93EA-4312-BB18-BCF243F2F290}" name="Column281"/>
    <tableColumn id="287" xr3:uid="{1A87117C-46FE-49E4-B6E2-A21C3FE6E9E6}" name="Column282"/>
    <tableColumn id="288" xr3:uid="{1B94BCFB-6237-4E64-B248-37C585A36797}" name="Column283"/>
    <tableColumn id="289" xr3:uid="{D39B8133-2C58-49A8-ACFD-9E38C20CDEC3}" name="Column284"/>
    <tableColumn id="290" xr3:uid="{901B154C-AAA1-42EE-931A-2A031A6E0321}" name="Column285"/>
    <tableColumn id="291" xr3:uid="{443392D8-8702-4F5A-BD36-7A824113E983}" name="Column286"/>
    <tableColumn id="292" xr3:uid="{1DBF70AF-125F-47D8-B198-B75FB832DAF3}" name="Column287"/>
    <tableColumn id="293" xr3:uid="{36251E1C-72F3-4F61-A190-54171892DEDB}" name="Column288"/>
    <tableColumn id="294" xr3:uid="{AA32E274-7F4B-4153-9ABC-256990E8C3A3}" name="Column289"/>
    <tableColumn id="295" xr3:uid="{5CCEBA89-316A-45C8-B2BA-08B3860B4A7F}" name="Column290"/>
    <tableColumn id="296" xr3:uid="{7B14510D-39B7-487A-9E0C-F79A19389AF2}" name="Column291"/>
    <tableColumn id="297" xr3:uid="{C50186FD-8BEB-466F-B6F9-17BBB2D6434D}" name="Column292"/>
    <tableColumn id="298" xr3:uid="{B4AE04A3-07C6-499D-B98D-EA2DAB16424F}" name="Column293"/>
    <tableColumn id="299" xr3:uid="{94D4CDAB-DE9A-40DF-8953-C2B9626099F1}" name="Column294"/>
    <tableColumn id="300" xr3:uid="{019078D2-A457-44CB-B8C6-AFD31DA0CDB6}" name="Column295"/>
    <tableColumn id="301" xr3:uid="{2BA5E5CB-923E-453D-8231-0D8828E4C798}" name="Column296"/>
    <tableColumn id="302" xr3:uid="{66B29D9C-D3B6-4F61-BA2C-54F4BA0F7041}" name="Column297"/>
    <tableColumn id="303" xr3:uid="{89FAD88D-B292-4AD6-8502-37A9B7085579}" name="Column298"/>
    <tableColumn id="304" xr3:uid="{AFEA7DEB-DE65-4615-A510-1D08FF6D826C}" name="Column299"/>
    <tableColumn id="305" xr3:uid="{CCF8BE8E-4F4C-44B5-B7F8-E33EB1F475C7}" name="Column300"/>
    <tableColumn id="306" xr3:uid="{2512EAEA-00E0-4FFE-A6FB-14DA3F7A7E08}" name="Column301"/>
    <tableColumn id="307" xr3:uid="{9CE31C12-CFCC-4D7E-985B-189531F8BB32}" name="Column302"/>
    <tableColumn id="308" xr3:uid="{6AF427FF-3D1B-4B7C-B774-48A51E93DD9A}" name="Column303"/>
    <tableColumn id="309" xr3:uid="{7942672C-8FF4-4960-8876-9E02D3CFF190}" name="Column304"/>
    <tableColumn id="310" xr3:uid="{95C8FDB1-CDBF-4D3A-A031-E5E7AE9DB842}" name="Column305"/>
    <tableColumn id="311" xr3:uid="{A0F7C038-B6D5-4A30-B6A3-846F526D340E}" name="Column306"/>
    <tableColumn id="312" xr3:uid="{B194332A-E088-4BC6-AB98-1AACAF054F8E}" name="Column307"/>
    <tableColumn id="313" xr3:uid="{A02563EC-C834-45DB-B833-AE481848C1C1}" name="Column308"/>
    <tableColumn id="314" xr3:uid="{7E60642A-665D-4CB3-9D3A-D5DCAAF3AB0A}" name="Column309"/>
    <tableColumn id="315" xr3:uid="{AE397F09-75EA-4056-9838-2D7FEBAAD95B}" name="Column310"/>
    <tableColumn id="316" xr3:uid="{6F66ACBA-D0A5-414A-9E12-E89F672AE09D}" name="Column311"/>
    <tableColumn id="317" xr3:uid="{5A47C6D4-4820-4370-9DD1-7FC31FE5CF66}" name="Column312"/>
    <tableColumn id="318" xr3:uid="{562E6F28-8439-4182-910F-85C263E18461}" name="Column313"/>
    <tableColumn id="319" xr3:uid="{7BBDA7B4-DCEA-4641-A3B5-0BED5A632E63}" name="Column314"/>
    <tableColumn id="320" xr3:uid="{BF442F40-3A28-4474-9AF9-EAB05F8BC44A}" name="Column315"/>
    <tableColumn id="321" xr3:uid="{82F43D72-C32C-4CC7-89C7-5C1443CADFDA}" name="Column316"/>
    <tableColumn id="322" xr3:uid="{ABE050C9-A29D-411B-A04B-2B2DEC098F52}" name="Column317"/>
    <tableColumn id="323" xr3:uid="{2E64C647-0C63-4C8C-975E-265835D7D484}" name="Column318"/>
    <tableColumn id="324" xr3:uid="{11FE187F-AAF3-4331-9F6F-F4D69DE2C6A8}" name="Column319"/>
    <tableColumn id="325" xr3:uid="{5B806661-ED5F-4D6C-8507-9AF3EAEB68F8}" name="Column320"/>
    <tableColumn id="326" xr3:uid="{EC321120-1DDC-4C83-A287-743A83FDE8AB}" name="Column321"/>
    <tableColumn id="327" xr3:uid="{F1E3E1D1-E153-4783-BA5B-DCC7A6989CC3}" name="Column322"/>
    <tableColumn id="328" xr3:uid="{E3D48CA9-1CCB-4424-8CB6-33DC62817A26}" name="Column323"/>
    <tableColumn id="329" xr3:uid="{ACA81C8C-829E-48B3-B674-42006AE69A5A}" name="Column324"/>
    <tableColumn id="330" xr3:uid="{C8CF617A-B3C9-41F4-A278-2705C0A51559}" name="Column325"/>
    <tableColumn id="331" xr3:uid="{3DBB8A49-1F6D-4766-9057-E8A58A571617}" name="Column326"/>
    <tableColumn id="332" xr3:uid="{7FCA6B00-42A2-405A-ADA8-9A3E663F642E}" name="Column327"/>
    <tableColumn id="333" xr3:uid="{A0C39ABF-B247-40F3-A041-CD1B9E30AD71}" name="Column328"/>
    <tableColumn id="334" xr3:uid="{92D8C83B-BDDF-4560-9EE9-AE4A7CAED198}" name="Column329"/>
    <tableColumn id="335" xr3:uid="{35CE5E69-6C36-4C3D-B898-F4D03EB4ECED}" name="Column330"/>
    <tableColumn id="336" xr3:uid="{4322B04C-8F6D-4C93-878D-9D0754C096F0}" name="Column331"/>
    <tableColumn id="337" xr3:uid="{9D583F63-BB52-4665-AA2B-1F12AF9AE632}" name="Column332"/>
    <tableColumn id="338" xr3:uid="{C5003DC0-D109-465D-A750-FFF01892FC24}" name="Column333"/>
    <tableColumn id="339" xr3:uid="{5AC1809A-2A44-4C29-B537-4A07C0C5B536}" name="Column334"/>
    <tableColumn id="340" xr3:uid="{29ED4635-86DB-4FA4-90E4-CDF83E640F14}" name="Column335"/>
    <tableColumn id="341" xr3:uid="{8CB2D20C-E304-45EE-AE6F-4BF64EFE6918}" name="Column336"/>
    <tableColumn id="342" xr3:uid="{00810159-8998-499F-AE73-93B1D3E13011}" name="Column337"/>
    <tableColumn id="343" xr3:uid="{F7969D9C-BC37-46BB-AB96-8BDC9A6D32F1}" name="Column338"/>
    <tableColumn id="344" xr3:uid="{E35352C1-4377-4B66-B443-9ED01FDF7D79}" name="Column339"/>
    <tableColumn id="345" xr3:uid="{9F281B38-F568-48DB-910E-D608FD659154}" name="Column340"/>
    <tableColumn id="346" xr3:uid="{E68CE475-2BC1-4AB8-8A9C-EF0D645E7B9E}" name="Column341"/>
    <tableColumn id="347" xr3:uid="{85D1358C-CFC8-4930-A890-6245FAD43448}" name="Column342"/>
    <tableColumn id="348" xr3:uid="{33BD2E82-6373-4C2D-B74E-934F522F6D80}" name="Column343"/>
    <tableColumn id="349" xr3:uid="{E28A3742-F89C-4270-B8F8-19493E841249}" name="Column344"/>
    <tableColumn id="350" xr3:uid="{4D53AD82-0CDE-4AAE-8FDC-49A721209695}" name="Column345"/>
    <tableColumn id="351" xr3:uid="{14A16137-6DFD-4178-8BE5-B98F15507518}" name="Column346"/>
    <tableColumn id="352" xr3:uid="{DFA1F72F-F5DB-4834-A14B-D5EBAA0F2327}" name="Column347"/>
    <tableColumn id="353" xr3:uid="{FCCBB735-3B14-47EC-B0ED-B17E4BBB60CC}" name="Column348"/>
    <tableColumn id="354" xr3:uid="{84B557B8-348F-4ED0-8706-840F9D7D8C9F}" name="Column349"/>
    <tableColumn id="355" xr3:uid="{3F0CF825-E2BF-4B70-B41A-B3A9A21F95A0}" name="Column350"/>
    <tableColumn id="356" xr3:uid="{12025FEF-E536-4027-B897-956132F2F573}" name="Column351"/>
    <tableColumn id="357" xr3:uid="{3AB0088A-A5E8-4873-84DC-6F0C453DF727}" name="Column352"/>
    <tableColumn id="358" xr3:uid="{5B429C44-B3D9-4B6D-859E-4DF531C347D2}" name="Column353"/>
    <tableColumn id="359" xr3:uid="{3FBC3421-53A1-4AFC-AC25-6CE48DE430DF}" name="Column354"/>
    <tableColumn id="360" xr3:uid="{35BEBB1F-B39B-4030-8355-474B5B5E8350}" name="Column355"/>
    <tableColumn id="361" xr3:uid="{B012E5A0-C6CC-4735-8B8F-CBC6ECF6A243}" name="Column356"/>
    <tableColumn id="362" xr3:uid="{75669A94-D5D6-4A49-8168-15879A12FA5B}" name="Column357"/>
    <tableColumn id="363" xr3:uid="{6C754C85-5F22-4AB1-BA29-544DE0E0700E}" name="Column358"/>
    <tableColumn id="364" xr3:uid="{7FFB52AA-FB35-4381-8716-A72B12A86FA8}" name="Column359"/>
    <tableColumn id="365" xr3:uid="{556035FB-28C5-45EC-9E5A-D1622FAA86D7}" name="Column360"/>
    <tableColumn id="366" xr3:uid="{17AD6772-FFE6-411D-8386-F5E7A05682A3}" name="Column361"/>
    <tableColumn id="367" xr3:uid="{FBC19C54-E001-4B25-AB06-C8BF6CF24F49}" name="Column362"/>
    <tableColumn id="368" xr3:uid="{7C9CB0A2-C242-4AFB-8B1B-D014D136F7DF}" name="Column363"/>
    <tableColumn id="369" xr3:uid="{068B6B30-E792-417F-B272-C73D80862E5D}" name="Column364"/>
    <tableColumn id="370" xr3:uid="{17B5D3CA-8828-4E35-8FFD-12C62F8E23D0}" name="Column365"/>
    <tableColumn id="371" xr3:uid="{3D3B68E5-502D-420E-8B42-36AC269BDE51}" name="Column366"/>
    <tableColumn id="372" xr3:uid="{99A244EB-C16D-413B-8AE0-0CC42C904512}" name="Column367"/>
    <tableColumn id="373" xr3:uid="{AA75FB4A-D1B9-4726-BBDA-55C7B46244D1}" name="Column368"/>
    <tableColumn id="374" xr3:uid="{9CE3CDAD-068E-4880-8182-B8667C4DA642}" name="Column369"/>
    <tableColumn id="375" xr3:uid="{97228E36-2099-4C3F-9308-B2E7BA33D86B}" name="Column370"/>
    <tableColumn id="376" xr3:uid="{7946ABF2-6367-4682-BF21-FF8468B3E155}" name="Column371"/>
    <tableColumn id="377" xr3:uid="{A0229182-2F56-47E8-B994-E82253C191DC}" name="Column372"/>
    <tableColumn id="378" xr3:uid="{C6ADDEB4-DE36-42D1-BA3F-7684CE52EB30}" name="Column373"/>
    <tableColumn id="379" xr3:uid="{F70879C5-E54B-4A25-88F8-653A47E44119}" name="Column374"/>
    <tableColumn id="380" xr3:uid="{376963B6-F8BC-4ECD-AF3D-11A2B0C3DE45}" name="Column375"/>
    <tableColumn id="381" xr3:uid="{AC1E5295-A528-4496-8522-EECEF2A9E0C8}" name="Column376"/>
    <tableColumn id="382" xr3:uid="{E4656060-CD2D-446A-98B4-F7EC73705EB5}" name="Column377"/>
    <tableColumn id="383" xr3:uid="{0FE4642A-7021-4E49-B0ED-80A58DCDF0E8}" name="Column378"/>
    <tableColumn id="384" xr3:uid="{FAEB1D83-2E97-4E50-B3B3-0CA137C3B7CB}" name="Column379"/>
    <tableColumn id="385" xr3:uid="{ED9C9C82-12E7-40E2-8AFA-E31FBE9D135C}" name="Column380"/>
    <tableColumn id="386" xr3:uid="{1B219D09-C5D1-4673-9199-A4D1F6BCA371}" name="Column381"/>
    <tableColumn id="387" xr3:uid="{B55484BA-6E53-475D-8F5C-772F258C98A7}" name="Column382"/>
    <tableColumn id="388" xr3:uid="{C36792F1-1E2F-4B2B-96D3-A3B273B80030}" name="Column383"/>
    <tableColumn id="389" xr3:uid="{ABDB8698-B6E7-4F24-B1E6-B722A9A737FE}" name="Column384"/>
    <tableColumn id="390" xr3:uid="{825FB07F-175F-4E8E-A817-2C2E0C15DABF}" name="Column385"/>
    <tableColumn id="391" xr3:uid="{C667057F-C4EE-4ED4-9B3C-CF2ACCBBFC13}" name="Column386"/>
    <tableColumn id="392" xr3:uid="{96398856-2609-4B8C-9127-FD7AC3B29CD9}" name="Column387"/>
    <tableColumn id="393" xr3:uid="{A05ECAFA-A3D9-49B0-A26B-10586C92CCF9}" name="Column388"/>
    <tableColumn id="394" xr3:uid="{8951BA26-F746-4AFC-9502-23481CE96759}" name="Column389"/>
    <tableColumn id="395" xr3:uid="{86AD7119-2C33-43DA-89ED-C2625650D17D}" name="Column390"/>
    <tableColumn id="396" xr3:uid="{DA3646B6-923C-4064-9A5F-7760A56D3219}" name="Column391"/>
    <tableColumn id="397" xr3:uid="{71BEB15A-5D87-482D-83E5-A1B20158512A}" name="Column392"/>
    <tableColumn id="398" xr3:uid="{DFF1E4AC-0B24-41BE-8D44-01FD96C7028C}" name="Column393"/>
    <tableColumn id="399" xr3:uid="{9FB6A807-ED97-4F39-9880-954438D76740}" name="Column394"/>
    <tableColumn id="400" xr3:uid="{590BA855-EEBB-4DF2-976F-91A83A32BA71}" name="Column395"/>
    <tableColumn id="401" xr3:uid="{A17CF521-24AC-415F-A5DB-5F7CCA02D390}" name="Column396"/>
    <tableColumn id="402" xr3:uid="{7490DBF9-3594-4C07-A6A9-30503AC7C930}" name="Column397"/>
    <tableColumn id="403" xr3:uid="{EB24AFA0-600E-450B-A01F-C68597CA4CFC}" name="Column398"/>
    <tableColumn id="404" xr3:uid="{24D62F70-8B44-49AE-92D0-740B03B93E82}" name="Column399"/>
    <tableColumn id="405" xr3:uid="{CDAA8FE8-510E-4204-96C5-0CAD4C92A80D}" name="Column400"/>
    <tableColumn id="406" xr3:uid="{A7E2F3CB-193F-4A01-A75C-7D038EA01AB0}" name="Column401"/>
    <tableColumn id="407" xr3:uid="{993837E2-4D4F-4D62-A185-7A48B50D4F46}" name="Column402"/>
    <tableColumn id="408" xr3:uid="{75F06C46-3758-481A-B713-F437F0CBD206}" name="Column403"/>
    <tableColumn id="409" xr3:uid="{C1DE7CBB-D74C-4FE4-9F84-1F6ACE09722D}" name="Column404"/>
    <tableColumn id="410" xr3:uid="{D48193C0-5068-4497-8A0C-40D262107985}" name="Column405"/>
    <tableColumn id="411" xr3:uid="{A0F28F72-BD93-49F3-B2EF-1B3984513558}" name="Column406"/>
    <tableColumn id="412" xr3:uid="{19ADC772-1300-4DE5-90D5-9BF161D76D32}" name="Column407"/>
    <tableColumn id="413" xr3:uid="{C461A07A-5A1D-4426-90E8-F3CFC74DA284}" name="Column408"/>
    <tableColumn id="414" xr3:uid="{1142D589-47F4-493E-A52E-36C74E7D3C6D}" name="Column409"/>
    <tableColumn id="415" xr3:uid="{CE54188B-CB31-46F8-86AC-E518C7307177}" name="Column410"/>
    <tableColumn id="416" xr3:uid="{044D148F-AD0E-4695-AD48-FF631323A8B6}" name="Column411"/>
    <tableColumn id="417" xr3:uid="{6F840622-1F93-4BC9-B977-399DA87E367A}" name="Column412"/>
    <tableColumn id="418" xr3:uid="{1C9D9EF0-4E91-4273-9591-580983FE82C1}" name="Column413"/>
    <tableColumn id="419" xr3:uid="{3D1C7497-4A33-49C7-8CC7-6BFDA64CBD2F}" name="Column414"/>
    <tableColumn id="420" xr3:uid="{5D87A706-03A1-4B35-86B3-2BF7826533F7}" name="Column415"/>
    <tableColumn id="421" xr3:uid="{81AF6C86-7FE9-401F-BC0D-70AFF013E4A4}" name="Column416"/>
    <tableColumn id="422" xr3:uid="{5CFE09E9-2D5B-4596-A6B3-104CDAEA4A3D}" name="Column417"/>
    <tableColumn id="423" xr3:uid="{43A390B0-8D1C-4F47-B175-DEF54619AB29}" name="Column418"/>
    <tableColumn id="424" xr3:uid="{F7AF2AD1-7D7B-4858-A7B0-0DC5F0961076}" name="Column419"/>
    <tableColumn id="425" xr3:uid="{42B6CDE8-D7C5-48F0-9992-3F695F5D943F}" name="Column420"/>
    <tableColumn id="426" xr3:uid="{D622D873-7316-4A69-B15C-17EF1B13F546}" name="Column421"/>
    <tableColumn id="427" xr3:uid="{741F219E-7215-4B1C-A0AC-17CD7B40E32C}" name="Column422"/>
    <tableColumn id="428" xr3:uid="{72B9C236-44B4-4E86-8BFA-3DFC2DC8A88C}" name="Column423"/>
    <tableColumn id="429" xr3:uid="{A3F775C1-648F-4EDF-91A2-6A89091372E5}" name="Column424"/>
    <tableColumn id="430" xr3:uid="{5945A5E4-09CF-4839-A15D-4C52FBA986FF}" name="Column425"/>
    <tableColumn id="431" xr3:uid="{DF315D0B-0F04-43D0-9672-DFDAB715A9C1}" name="Column426"/>
    <tableColumn id="432" xr3:uid="{FF08D8C9-73C9-4200-8E21-7DAFE77240D5}" name="Column427"/>
    <tableColumn id="433" xr3:uid="{4A0BF38B-AAFF-45EA-85C3-EA60DE0F9AA8}" name="Column428"/>
    <tableColumn id="434" xr3:uid="{34667F7C-CDEC-4458-A89D-1CCAFBF64C62}" name="Column429"/>
    <tableColumn id="435" xr3:uid="{3CD32BB9-1F3E-42A8-9F6F-D8F920637022}" name="Column430"/>
    <tableColumn id="436" xr3:uid="{170AC406-F26F-4C02-BAD7-2A62ABD74C27}" name="Column431"/>
    <tableColumn id="437" xr3:uid="{3936CA13-89F7-4DF7-9D0F-8532212826D1}" name="Column432"/>
    <tableColumn id="438" xr3:uid="{2A48C84B-75F4-48A4-8FDF-A1C56FFCD4D5}" name="Column433"/>
    <tableColumn id="439" xr3:uid="{FE733FEB-F1F3-4C0C-8878-286E61E7EE86}" name="Column434"/>
    <tableColumn id="440" xr3:uid="{4D32C269-645F-4DA6-B8AD-1070B51C8A09}" name="Column435"/>
    <tableColumn id="441" xr3:uid="{C9071696-2A1A-4740-B149-325C7C653C7D}" name="Column436"/>
    <tableColumn id="442" xr3:uid="{6DB3567A-2D5E-4F35-B096-E02FFECA4C38}" name="Column437"/>
    <tableColumn id="443" xr3:uid="{B0F0B15C-2823-4BD3-9ABD-86C949107FFF}" name="Column438"/>
    <tableColumn id="444" xr3:uid="{2FEAE3B0-7153-4979-992C-053A5A30D77E}" name="Column439"/>
    <tableColumn id="445" xr3:uid="{B8B0A6A2-3B93-4E64-A7D4-16EB3A692540}" name="Column440"/>
    <tableColumn id="446" xr3:uid="{BE661F50-EEDE-4363-8565-DBAE093EA94F}" name="Column441"/>
    <tableColumn id="447" xr3:uid="{186BD0F1-4F90-460A-AA69-D0229F8FB7D3}" name="Column442"/>
    <tableColumn id="448" xr3:uid="{F0687E6A-4982-4D97-9868-1A0AC16A237A}" name="Column443"/>
    <tableColumn id="449" xr3:uid="{3F7C75C7-751A-4AD3-9F3B-D6EF42EA3F34}" name="Column444"/>
    <tableColumn id="450" xr3:uid="{EA1A684D-F5F8-4460-8301-FEC17B3CB032}" name="Column445"/>
    <tableColumn id="451" xr3:uid="{36F9A94D-93FF-44B9-99EF-D6447DA96262}" name="Column446"/>
    <tableColumn id="452" xr3:uid="{B2B4D7A2-48BF-401C-8C9A-7060541609C7}" name="Column447"/>
    <tableColumn id="453" xr3:uid="{F09F5E3E-4DFF-4F56-A827-E39DA5207EE3}" name="Column448"/>
    <tableColumn id="454" xr3:uid="{8CE979A4-D5D9-421F-89FC-607A516AD3D7}" name="Column449"/>
    <tableColumn id="455" xr3:uid="{059A0772-064D-414C-9CD1-E326DAFBF1B5}" name="Column450"/>
    <tableColumn id="456" xr3:uid="{66EA6B0F-EE7D-4860-87A7-4C4289ED3AA0}" name="Column451"/>
    <tableColumn id="457" xr3:uid="{BE4E9B4E-3379-4B84-8B6D-5F78704D96EE}" name="Column452"/>
    <tableColumn id="458" xr3:uid="{82281BE9-F0BB-4DF0-8A78-26F45AC34785}" name="Column453"/>
    <tableColumn id="459" xr3:uid="{12862836-C9BD-405B-A523-D91AD957EB61}" name="Column454"/>
    <tableColumn id="460" xr3:uid="{9D8F9871-41DA-4FB8-9B04-F46864234E17}" name="Column455"/>
    <tableColumn id="461" xr3:uid="{549C84AA-19C1-4928-9C3E-B40934D08BD9}" name="Column456"/>
    <tableColumn id="462" xr3:uid="{58649440-BC29-441B-BF7B-903696241A50}" name="Column457"/>
    <tableColumn id="463" xr3:uid="{FA096194-0486-4DD5-B709-79D5093284BD}" name="Column458"/>
    <tableColumn id="464" xr3:uid="{BFCD93F8-A338-48A7-8B19-5210E958B4E8}" name="Column459"/>
    <tableColumn id="465" xr3:uid="{D2001175-58BD-4254-9C8A-CD40B126B512}" name="Column460"/>
    <tableColumn id="466" xr3:uid="{A86DA147-A179-4BDE-BFA3-4DEFE3DCB010}" name="Column461"/>
    <tableColumn id="467" xr3:uid="{19679FB4-DAFC-4A5B-BB75-E14440749727}" name="Column462"/>
    <tableColumn id="468" xr3:uid="{9CE6935A-2425-40F9-93C7-BD94F2548C9B}" name="Column463"/>
    <tableColumn id="469" xr3:uid="{9889045A-7B0A-4842-82A4-A59F6D127BC3}" name="Column464"/>
    <tableColumn id="470" xr3:uid="{58042AC3-5BB7-4DCD-BF4E-C8BD92F0D0B3}" name="Column465"/>
    <tableColumn id="471" xr3:uid="{F156C8D6-D685-4826-BA46-7F3453FEAB1D}" name="Column466"/>
    <tableColumn id="472" xr3:uid="{F0E814E5-CDCC-4155-A329-B507633CE8C7}" name="Column467"/>
    <tableColumn id="473" xr3:uid="{BC472220-EC0D-4802-9B41-C2FD62751636}" name="Column468"/>
    <tableColumn id="474" xr3:uid="{4DA6296C-DB41-4C50-A28B-DC97EF2D5E3B}" name="Column469"/>
    <tableColumn id="475" xr3:uid="{A64C086A-1AFA-4E21-B11D-C0E21EDE3B26}" name="Column470"/>
    <tableColumn id="476" xr3:uid="{B4E6AE42-0267-494A-8D98-2D8DF8E5DD8A}" name="Column471"/>
    <tableColumn id="477" xr3:uid="{B0FF1C12-95B7-432B-A86E-FA47B62326C1}" name="Column472"/>
    <tableColumn id="478" xr3:uid="{24F3A4E2-617C-4680-A7FE-FC648AC15181}" name="Column473"/>
    <tableColumn id="479" xr3:uid="{F7EA996A-147B-4E61-A30D-0BE491EE3F31}" name="Column474"/>
    <tableColumn id="480" xr3:uid="{96C736DF-CD83-4B75-8F1A-6219FFD87696}" name="Column475"/>
    <tableColumn id="481" xr3:uid="{46B37BC7-92C2-4F8A-88E7-0386FD99ABE7}" name="Column476"/>
    <tableColumn id="482" xr3:uid="{7671D7D4-BF72-4ADE-A692-EB89F23D8710}" name="Column477"/>
    <tableColumn id="483" xr3:uid="{AAA03DD7-349E-4851-812E-35E7F0CE3FDA}" name="Column478"/>
    <tableColumn id="484" xr3:uid="{9274F894-2CA5-457D-97C5-AC70A449BB93}" name="Column479"/>
    <tableColumn id="485" xr3:uid="{1CF224A8-5BF6-46FA-BEE0-ACF028B70494}" name="Column480"/>
    <tableColumn id="486" xr3:uid="{05230F95-F869-4F6F-9856-105A65C94C50}" name="Column481"/>
    <tableColumn id="487" xr3:uid="{467AA641-9E4F-4D43-B944-3EAAE853C28E}" name="Column482"/>
    <tableColumn id="488" xr3:uid="{60970F47-38D3-4546-A9DB-C45CE54F573C}" name="Column483"/>
    <tableColumn id="489" xr3:uid="{8F0B95D6-8D71-4E40-971B-EBC1643E5D25}" name="Column484"/>
    <tableColumn id="490" xr3:uid="{950D0C40-9482-4662-9B69-F0255427DB15}" name="Column485"/>
    <tableColumn id="491" xr3:uid="{B8E05439-1C81-4C6B-AB58-3017786CC1F9}" name="Column486"/>
    <tableColumn id="492" xr3:uid="{E38CA4EF-D17B-4C83-822B-BC8649E2335F}" name="Column487"/>
    <tableColumn id="493" xr3:uid="{2A93B3DE-10AE-47BC-9D52-B3E091A25A0A}" name="Column488"/>
    <tableColumn id="494" xr3:uid="{F502450F-7EDF-40CD-B2F7-F1B29E92E6A7}" name="Column489"/>
    <tableColumn id="495" xr3:uid="{26F34698-EDD9-4006-B145-C19F85760D82}" name="Column490"/>
    <tableColumn id="496" xr3:uid="{E40EE1AD-D1CE-4BE3-B9D7-AE7795CA4671}" name="Column491"/>
    <tableColumn id="497" xr3:uid="{BD7703B8-61E2-41C7-B30F-52250470FBF0}" name="Column492"/>
    <tableColumn id="498" xr3:uid="{23A5C48A-6EBC-44D4-BBC3-EBB2966D2068}" name="Column493"/>
    <tableColumn id="499" xr3:uid="{F65BE58C-8879-4422-8829-B609598E07CB}" name="Column494"/>
    <tableColumn id="500" xr3:uid="{5EDC81DD-136A-472B-AA4F-F41110CBFEB5}" name="Column495"/>
    <tableColumn id="501" xr3:uid="{CBD7796D-8A57-4DDF-B398-3F22E2AF3355}" name="Column496"/>
    <tableColumn id="502" xr3:uid="{FE35D181-614A-4FCD-B4FF-CCE7C9DCF16C}" name="Column497"/>
    <tableColumn id="503" xr3:uid="{0F0D198D-3CFD-4AE2-9A72-286638ACCED0}" name="Column498"/>
    <tableColumn id="504" xr3:uid="{A45DE00A-D7EF-495D-A986-4B28FBACB503}" name="Column499"/>
    <tableColumn id="505" xr3:uid="{3E1711AB-40A8-481B-80AB-E28FFBEF78EA}" name="Column500"/>
    <tableColumn id="506" xr3:uid="{1D2C8362-019E-42B9-8326-DE9489EF28BF}" name="Column501"/>
    <tableColumn id="507" xr3:uid="{CCA29270-819D-4E63-945E-6C97EDAB1A5D}" name="Column502"/>
    <tableColumn id="508" xr3:uid="{91FEB445-9CE3-4245-9C85-B5FC883FBF33}" name="Column503"/>
    <tableColumn id="509" xr3:uid="{B7EB39D9-3D6E-4F4E-A8B2-AE42DDD78C65}" name="Column504"/>
    <tableColumn id="510" xr3:uid="{6C0C87EC-4CC6-4C21-813C-5F711B82C573}" name="Column505"/>
    <tableColumn id="511" xr3:uid="{285A7180-CF74-49B1-A108-25128EF7AEAD}" name="Column506"/>
    <tableColumn id="512" xr3:uid="{12617855-2BC4-4F00-B4BA-F5B67EC21ABC}" name="Column507"/>
    <tableColumn id="513" xr3:uid="{378A5AAE-A3E6-49FD-BDBB-0852A947BEBF}" name="Column508"/>
    <tableColumn id="514" xr3:uid="{C479ADBF-CAE1-4335-A6A3-97A34BF346B0}" name="Column509"/>
    <tableColumn id="515" xr3:uid="{3B11A716-5A8D-4BCC-BB59-66E454DFE2EF}" name="Column510"/>
    <tableColumn id="516" xr3:uid="{928511EC-CAA4-4C41-A7BF-1A3645EDA948}" name="Column511"/>
    <tableColumn id="517" xr3:uid="{8FD9AC29-4D42-4214-8D79-ACC605B57438}" name="Column512"/>
    <tableColumn id="518" xr3:uid="{192FA783-BAA9-47AF-9B73-9E7497C90C6D}" name="Column513"/>
    <tableColumn id="519" xr3:uid="{0238417B-A46E-4233-955D-CB04A5AAC171}" name="Column514"/>
    <tableColumn id="520" xr3:uid="{B6964D10-5DDA-42B2-A36B-9A20B5CD94A4}" name="Column515"/>
    <tableColumn id="521" xr3:uid="{2D59C06C-C765-48D8-8F6C-861C35767AD8}" name="Column516"/>
    <tableColumn id="522" xr3:uid="{C1154136-E395-411A-ADE7-D82C74FEFA5C}" name="Column517"/>
    <tableColumn id="523" xr3:uid="{6B656FD8-642A-4F34-8BF9-B6D07E93CB37}" name="Column518"/>
    <tableColumn id="524" xr3:uid="{6B2705C3-CC76-4687-A2D8-45C20C33FB3D}" name="Column519"/>
    <tableColumn id="525" xr3:uid="{C5671013-D578-45DE-BC54-94252A7EA50D}" name="Column520"/>
    <tableColumn id="526" xr3:uid="{E84E700E-3C06-4500-9BF4-A2715D87A9E4}" name="Column521"/>
    <tableColumn id="527" xr3:uid="{9ED5D3B3-6D68-4256-A387-4D7CE7475E0C}" name="Column522"/>
    <tableColumn id="528" xr3:uid="{E6D2DFD8-7DB4-49CE-8FA2-BDBE4C4BE6A4}" name="Column523"/>
    <tableColumn id="529" xr3:uid="{0C525BAA-6742-4570-A73D-BE07F8E7C4D1}" name="Column524"/>
    <tableColumn id="530" xr3:uid="{132E6A46-A84D-4643-AC93-A570480123BE}" name="Column525"/>
    <tableColumn id="531" xr3:uid="{44CC8AEB-FB81-445A-96FE-4E6EA8C0C92A}" name="Column526"/>
    <tableColumn id="532" xr3:uid="{070D2C8F-D5D3-4455-BF55-29D27A246F74}" name="Column527"/>
    <tableColumn id="533" xr3:uid="{34BB0779-D85F-4DF3-8893-BB0326813AE2}" name="Column528"/>
    <tableColumn id="534" xr3:uid="{1FE5B94E-24BD-4B10-A481-82A8BF3B3971}" name="Column529"/>
    <tableColumn id="535" xr3:uid="{9F3949AA-BAA5-48A6-B19D-95947E78430E}" name="Column530"/>
    <tableColumn id="536" xr3:uid="{264E1BF0-6506-4CBC-9D2D-330769E41CD3}" name="Column531"/>
    <tableColumn id="537" xr3:uid="{F799EE51-8294-4EFE-9319-804A9D6B4FAC}" name="Column532"/>
    <tableColumn id="538" xr3:uid="{7E1D0FB7-292F-466E-A65E-23375B633AB7}" name="Column533"/>
    <tableColumn id="539" xr3:uid="{381DC527-B772-4E6C-A629-5EA35D8E8866}" name="Column534"/>
    <tableColumn id="540" xr3:uid="{BACF27C4-FCA9-44E3-91AB-427879FF6CD1}" name="Column535"/>
    <tableColumn id="541" xr3:uid="{C7CCBF58-9145-4E22-9D36-5990758D1A79}" name="Column536"/>
    <tableColumn id="542" xr3:uid="{28BFC33C-A2B6-473B-B48D-169B8FC8CA18}" name="Column537"/>
    <tableColumn id="543" xr3:uid="{14A438EB-7C81-4094-8CD7-704239713200}" name="Column538"/>
    <tableColumn id="544" xr3:uid="{ADDA43B7-C72E-48ED-9130-C77118E400E6}" name="Column539"/>
    <tableColumn id="545" xr3:uid="{90F1A2E7-290F-4BD8-94CB-68A39E75639E}" name="Column540"/>
    <tableColumn id="546" xr3:uid="{361FFC8F-4EAC-4C4F-974B-8A52551C9627}" name="Column541"/>
    <tableColumn id="547" xr3:uid="{192B7CD2-614B-4456-B278-ABD9B01D1614}" name="Column542"/>
    <tableColumn id="548" xr3:uid="{0540A9A8-5920-431F-B931-7467F741B3B0}" name="Column543"/>
    <tableColumn id="549" xr3:uid="{C6D1F5CC-6ADE-4BF4-99E0-DF16C2481BA9}" name="Column544"/>
    <tableColumn id="550" xr3:uid="{8FDA3441-AEA4-4011-9367-730118062E66}" name="Column545"/>
    <tableColumn id="551" xr3:uid="{9782F536-1A1F-44BF-A8E8-A8153F8A4192}" name="Column546"/>
    <tableColumn id="552" xr3:uid="{688DABD4-E728-4751-A6F6-E2CFB475E621}" name="Column547"/>
    <tableColumn id="553" xr3:uid="{12F12E54-2D10-4D52-A5B7-50F94DE67AD8}" name="Column548"/>
    <tableColumn id="554" xr3:uid="{2A3DEA6F-B210-4903-ADAC-F9703D8A2C8C}" name="Column549"/>
    <tableColumn id="555" xr3:uid="{52E736EE-D873-40EF-8A4B-0872D54DD97A}" name="Column550"/>
    <tableColumn id="556" xr3:uid="{1FC04F58-060F-48E0-A3E9-A6691F86C44C}" name="Column551"/>
    <tableColumn id="557" xr3:uid="{0EEC54F1-DE03-4FD9-8384-5E3007C99D58}" name="Column552"/>
    <tableColumn id="558" xr3:uid="{A2CD59DE-3461-48E9-9D4E-E8BB80EE4D0B}" name="Column553"/>
    <tableColumn id="559" xr3:uid="{8A658028-80B9-4112-943B-E2DD4310898D}" name="Column554"/>
    <tableColumn id="560" xr3:uid="{02EA07E0-BC30-4586-89E6-508E0CD33184}" name="Column555"/>
    <tableColumn id="561" xr3:uid="{1DD3A3D9-B488-4928-862C-ED5654F48E2D}" name="Column556"/>
    <tableColumn id="562" xr3:uid="{C120147C-115F-4A46-83AF-13D3531965E3}" name="Column557"/>
    <tableColumn id="563" xr3:uid="{F040BA51-F1DC-4B58-A093-F1E3749FD84B}" name="Column558"/>
    <tableColumn id="564" xr3:uid="{8695FC0C-B3D4-4486-BA8A-0605340AAA0D}" name="Column559"/>
    <tableColumn id="565" xr3:uid="{31E89C01-E7FA-4D1C-A58F-B8FC922BB908}" name="Column560"/>
    <tableColumn id="566" xr3:uid="{3724D95D-DFCB-4184-AA27-D371D8B81482}" name="Column561"/>
    <tableColumn id="567" xr3:uid="{94A1D110-8546-43DB-9C7C-BD23F3ABCBB9}" name="Column562"/>
    <tableColumn id="568" xr3:uid="{030AD908-737C-427F-B4F1-6DB2C43AF86B}" name="Column563"/>
    <tableColumn id="569" xr3:uid="{FE8D7ACE-7288-44FC-B722-614C710E0006}" name="Column564"/>
    <tableColumn id="570" xr3:uid="{8CB942A5-E18C-47EE-99AE-30722F326C30}" name="Column565"/>
    <tableColumn id="571" xr3:uid="{2D2F9D1C-91BA-432B-AD03-0A3FB6C0A6FB}" name="Column566"/>
    <tableColumn id="572" xr3:uid="{1B99A801-5795-4759-BD16-E2A7C9700983}" name="Column567"/>
    <tableColumn id="573" xr3:uid="{97669D60-81FE-43A8-A4C4-0A7DCE0FC7E7}" name="Column568"/>
    <tableColumn id="574" xr3:uid="{1BFEAC61-71A3-4462-BB80-741785A172B9}" name="Column569"/>
    <tableColumn id="575" xr3:uid="{6988398E-72C6-4EB3-B253-D420A64995B5}" name="Column570"/>
    <tableColumn id="576" xr3:uid="{F7DA8AD1-27A7-4D7B-8F90-FB3CE95DB914}" name="Column571"/>
    <tableColumn id="577" xr3:uid="{FDBF20EA-741F-4A2A-9FC0-9C1F4514014D}" name="Column572"/>
    <tableColumn id="578" xr3:uid="{450E40D4-309D-4A14-B649-E82A1E880983}" name="Column573"/>
    <tableColumn id="579" xr3:uid="{07F8FB1E-4C23-4197-AF13-462BCE1F850C}" name="Column574"/>
    <tableColumn id="580" xr3:uid="{B391D565-82BA-4552-89F6-ED39C43038AE}" name="Column575"/>
    <tableColumn id="581" xr3:uid="{A92AD265-E087-4181-AA0F-ACC901A7D0A3}" name="Column576"/>
    <tableColumn id="582" xr3:uid="{9154C278-4EFF-43EB-B881-772363897D46}" name="Column577"/>
    <tableColumn id="583" xr3:uid="{F1D6768A-9050-45BD-B8A8-D08C31EEBE62}" name="Column578"/>
    <tableColumn id="584" xr3:uid="{3ACF53A2-E3A9-4AC3-B201-1A0B94E4809F}" name="Column579"/>
    <tableColumn id="585" xr3:uid="{2F9CE2F8-4CEC-47DD-B671-CA9AB445A624}" name="Column580"/>
    <tableColumn id="586" xr3:uid="{4893DDE9-7507-4257-BFED-C3C28551C2D0}" name="Column581"/>
    <tableColumn id="587" xr3:uid="{4435AD9C-C8B1-4822-BF62-6F4AC685FC03}" name="Column582"/>
    <tableColumn id="588" xr3:uid="{CB070E33-7A99-4CA8-9144-F34651E30F78}" name="Column583"/>
    <tableColumn id="589" xr3:uid="{1DE0D6AD-D96D-4780-9423-B1DF106447DE}" name="Column584"/>
    <tableColumn id="590" xr3:uid="{0652CDC3-AD32-43EC-B277-A87F2B08C670}" name="Column585"/>
    <tableColumn id="591" xr3:uid="{CDBEE120-AC4C-4111-88C0-7AB1315D260E}" name="Column586"/>
    <tableColumn id="592" xr3:uid="{ED046593-558C-43EE-A492-AB34A234984F}" name="Column587"/>
    <tableColumn id="593" xr3:uid="{5D2A4182-4EB2-4A53-9530-98086D152A33}" name="Column588"/>
    <tableColumn id="594" xr3:uid="{CC81461D-01DA-46D3-9FAD-A8F74F7E7E59}" name="Column589"/>
    <tableColumn id="595" xr3:uid="{D530A76E-E893-44B6-839E-4A33C833BA88}" name="Column590"/>
    <tableColumn id="596" xr3:uid="{03094FE3-4A62-41ED-8C4F-2955F856764A}" name="Column591"/>
    <tableColumn id="597" xr3:uid="{C3549C78-8868-4A5F-9D7E-E479ABED14B0}" name="Column592"/>
    <tableColumn id="598" xr3:uid="{C7071B5E-CA53-410C-A4B9-C17E55F47C9F}" name="Column593"/>
    <tableColumn id="599" xr3:uid="{29AC7BF2-7244-42E7-B609-B2EA49A5981F}" name="Column594"/>
    <tableColumn id="600" xr3:uid="{9C2F8EA1-C905-453A-938D-685BD8276CB3}" name="Column595"/>
    <tableColumn id="601" xr3:uid="{3FF62AE4-ECD6-407B-8995-72F1DA11B095}" name="Column596"/>
    <tableColumn id="602" xr3:uid="{B2A9A891-F820-4143-941C-93C9A4E64DAD}" name="Column597"/>
    <tableColumn id="603" xr3:uid="{C71BEA5E-CE21-4F0D-A501-0D629993E98F}" name="Column598"/>
    <tableColumn id="604" xr3:uid="{5085E676-9114-445B-AE1E-2AD9DA48B63D}" name="Column599"/>
    <tableColumn id="605" xr3:uid="{474CB46E-F13A-43DC-BB1D-BF9688F2CA7B}" name="Column600"/>
    <tableColumn id="606" xr3:uid="{75869603-B3F7-44A5-9EB9-5C6162458822}" name="Column601"/>
    <tableColumn id="607" xr3:uid="{06808F64-03A2-4B93-9411-44DC6D4FA546}" name="Column602"/>
    <tableColumn id="608" xr3:uid="{2B118C7E-D049-481D-98A6-48F84174B068}" name="Column603"/>
    <tableColumn id="609" xr3:uid="{4B59FD01-33BB-40A3-A478-ADFCC9A9E2D9}" name="Column604"/>
    <tableColumn id="610" xr3:uid="{65A3E244-EAC1-4531-82AE-C736E0128F63}" name="Column605"/>
    <tableColumn id="611" xr3:uid="{E5832182-5408-4D7F-8D8C-2746EFF903F3}" name="Column606"/>
    <tableColumn id="612" xr3:uid="{5F683318-E981-4C1D-9278-7C3E853A8D4A}" name="Column607"/>
    <tableColumn id="613" xr3:uid="{19D6E314-41E7-4246-8626-A7D43275326C}" name="Column608"/>
    <tableColumn id="614" xr3:uid="{47601276-FD8E-4924-A7F1-80315C06DBCD}" name="Column609"/>
    <tableColumn id="615" xr3:uid="{C8D58800-8480-47F5-83DC-D048106FD25F}" name="Column610"/>
    <tableColumn id="616" xr3:uid="{B779947D-6CAC-4054-8D1A-BED465163C3D}" name="Column611"/>
    <tableColumn id="617" xr3:uid="{D4BAFED2-EB3A-4FFE-86B4-1206A2065F79}" name="Column612"/>
    <tableColumn id="618" xr3:uid="{390FC78A-4D40-4321-BE06-11E32A43ADC9}" name="Column613"/>
    <tableColumn id="619" xr3:uid="{6690B08F-2885-4F7A-A2DB-77127063D353}" name="Column614"/>
    <tableColumn id="620" xr3:uid="{B4021CC5-6BEB-4BF2-A1D6-3BAB52139D5A}" name="Column615"/>
    <tableColumn id="621" xr3:uid="{1F7420F6-DA6B-4ADD-95D6-B2953DD3A4B4}" name="Column616"/>
    <tableColumn id="622" xr3:uid="{A57675C5-94CB-4C9B-98B8-412843E44F1A}" name="Column617"/>
    <tableColumn id="623" xr3:uid="{38A7050B-2ED3-4774-BCF4-6106FBD5304A}" name="Column618"/>
    <tableColumn id="624" xr3:uid="{2AA7E7C6-A88D-41D7-97ED-042C5E3A071E}" name="Column619"/>
    <tableColumn id="625" xr3:uid="{A6FBBE7D-D8E6-45AB-B544-202CC6E13FC6}" name="Column620"/>
    <tableColumn id="626" xr3:uid="{8648E9DE-351C-48C5-BFF9-87C9C5FC5C74}" name="Column621"/>
    <tableColumn id="627" xr3:uid="{4608C1FA-13E3-434C-B044-992876E75960}" name="Column622"/>
    <tableColumn id="628" xr3:uid="{3759CE13-3791-4219-AA0D-D9AC342A37DF}" name="Column623"/>
    <tableColumn id="629" xr3:uid="{2978106A-675E-4833-8F72-EDC215F7D5B3}" name="Column624"/>
    <tableColumn id="630" xr3:uid="{80CAC53F-55DD-4272-9E69-F2419343A1ED}" name="Column625"/>
    <tableColumn id="631" xr3:uid="{B33A9947-8697-4A52-A6E4-B3062780BFF9}" name="Column626"/>
    <tableColumn id="632" xr3:uid="{2CC7DBA2-FBD5-4CA1-B806-64EE957F58D5}" name="Column627"/>
    <tableColumn id="633" xr3:uid="{B0B6AD23-5796-4D0D-B54B-C4762AE9A14F}" name="Column628"/>
    <tableColumn id="634" xr3:uid="{87CDA492-32F4-45DE-B3C2-C1C2BA02D49F}" name="Column629"/>
    <tableColumn id="635" xr3:uid="{77081492-B61A-4EAB-9DD8-8618AE78E6BA}" name="Column630"/>
    <tableColumn id="636" xr3:uid="{ED877B3E-FB9C-4828-B0B5-E33703E39645}" name="Column631"/>
    <tableColumn id="637" xr3:uid="{0029B3A6-98DA-4A57-B26D-670BAE4D0401}" name="Column632"/>
    <tableColumn id="638" xr3:uid="{0EC3D5CF-61A3-4E81-A71E-C8916A851AB9}" name="Column633"/>
    <tableColumn id="639" xr3:uid="{731A2FBA-757A-4AD2-B6D5-38A993AD4641}" name="Column634"/>
    <tableColumn id="640" xr3:uid="{5BE62CA0-AF97-42D7-BFD5-9CBEA1E98C37}" name="Column635"/>
    <tableColumn id="641" xr3:uid="{5699B705-A44B-4436-9907-BF7A816940FF}" name="Column636"/>
    <tableColumn id="642" xr3:uid="{33A29AF4-62B7-4728-9E40-B15BFF7E95A4}" name="Column637"/>
    <tableColumn id="643" xr3:uid="{9D514662-729B-47BD-8EF6-BE411E6CD3B8}" name="Column638"/>
    <tableColumn id="644" xr3:uid="{12DF03CC-7E4E-45E4-A8C8-0D7E2A80A9B1}" name="Column639"/>
    <tableColumn id="645" xr3:uid="{5EFCAE6F-1F9F-47D5-BD5F-A9399339C10F}" name="Column640"/>
    <tableColumn id="646" xr3:uid="{EE81C12F-706A-4AC7-A831-5D24A37C8BB3}" name="Column641"/>
    <tableColumn id="647" xr3:uid="{3DCDDD02-A9B4-4F9B-A5C4-47CCF8C725EB}" name="Column642"/>
    <tableColumn id="648" xr3:uid="{F81257FB-9066-42AF-9272-01BA882F4036}" name="Column643"/>
    <tableColumn id="649" xr3:uid="{52011A86-9535-4DF8-9021-B5C10D9A3DDB}" name="Column644"/>
    <tableColumn id="650" xr3:uid="{D65CD761-BAF9-4E21-ACAE-7C6A872A5A42}" name="Column645"/>
    <tableColumn id="651" xr3:uid="{B78E0F71-E38C-4029-800A-86DD41419E5F}" name="Column646"/>
    <tableColumn id="652" xr3:uid="{9E8C499F-4E55-416A-95D8-9F27A520C3F4}" name="Column647"/>
    <tableColumn id="653" xr3:uid="{4434E2AF-FDC5-4DFC-909A-8FCB1138152B}" name="Column648"/>
    <tableColumn id="654" xr3:uid="{18208263-1C70-4281-8720-AB1FB5F7868A}" name="Column649"/>
    <tableColumn id="655" xr3:uid="{3D50DCCF-FF39-4C3D-AE75-9C25A8265791}" name="Column650"/>
    <tableColumn id="656" xr3:uid="{A0A22AC6-2B5E-48B2-98A7-EFA03E24DD92}" name="Column651"/>
    <tableColumn id="657" xr3:uid="{656C7C12-CD27-4537-AD2B-489FF96CDA4C}" name="Column652"/>
    <tableColumn id="658" xr3:uid="{C1CD7CF7-CF7B-43FE-ADA6-04272AD9B4E0}" name="Column653"/>
    <tableColumn id="659" xr3:uid="{6079F5E1-24E6-49BC-8872-3E9D2A6C9D2F}" name="Column654"/>
    <tableColumn id="660" xr3:uid="{B030992A-8B5D-4749-949F-B8027EEC88AC}" name="Column655"/>
    <tableColumn id="661" xr3:uid="{32569509-68E8-4E87-9C77-6748BAE68121}" name="Column656"/>
    <tableColumn id="662" xr3:uid="{4247F4D0-2E23-4282-AC2E-ED6AC366C46D}" name="Column657"/>
    <tableColumn id="663" xr3:uid="{0EAB2E6D-FBF6-412E-89A5-603711DABBB5}" name="Column658"/>
    <tableColumn id="664" xr3:uid="{96C98A2A-84BF-4865-AA66-65581B6541FA}" name="Column659"/>
    <tableColumn id="665" xr3:uid="{DE22AB98-DFC1-413A-9073-B67DF131118B}" name="Column660"/>
    <tableColumn id="666" xr3:uid="{9E7C4C84-C918-4D75-9408-3B6ACBDF1366}" name="Column661"/>
    <tableColumn id="667" xr3:uid="{0A669D8A-4221-484B-BF4B-E971082F14D1}" name="Column662"/>
    <tableColumn id="668" xr3:uid="{C46F0AEC-EFBB-4FD2-A5F2-F9F1D69C31F3}" name="Column663"/>
    <tableColumn id="669" xr3:uid="{84DFAD0B-9E4A-4275-B391-C2E0176590ED}" name="Column664"/>
    <tableColumn id="670" xr3:uid="{D2EC1B77-E8A5-4FE7-927C-319172E4FC90}" name="Column665"/>
    <tableColumn id="671" xr3:uid="{F5F6F939-77D9-45CB-A991-1F5EDF6D849B}" name="Column666"/>
    <tableColumn id="672" xr3:uid="{F3A11E13-41FE-4BC1-9033-E97CB90A54B4}" name="Column667"/>
    <tableColumn id="673" xr3:uid="{29630B5E-F8F9-4765-B299-5F20D0AAD8EF}" name="Column668"/>
    <tableColumn id="674" xr3:uid="{DCA1A227-2852-43F0-BA7B-43121F7660C3}" name="Column669"/>
    <tableColumn id="675" xr3:uid="{43EAAF5A-5B80-47C8-A1CE-894C3439CE71}" name="Column670"/>
    <tableColumn id="676" xr3:uid="{65173298-2A39-4928-9D85-4FD05FCD1B41}" name="Column671"/>
    <tableColumn id="677" xr3:uid="{97B8E815-C03D-4338-B7CA-7D43BA5B6281}" name="Column672"/>
    <tableColumn id="678" xr3:uid="{A668D323-D169-48CC-8805-0862064BAE3C}" name="Column673"/>
    <tableColumn id="679" xr3:uid="{106E9E0D-EF5C-4C4A-A657-1FAF70E2E7EF}" name="Column674"/>
    <tableColumn id="680" xr3:uid="{723A9694-C30E-4BE6-B62B-BC25DA896295}" name="Column675"/>
    <tableColumn id="681" xr3:uid="{0B64E2B6-FC2D-4AB4-A97D-7E290AB392DF}" name="Column676"/>
    <tableColumn id="682" xr3:uid="{1DA3FB47-EE9E-4519-8E48-2702D8A10DE2}" name="Column677"/>
    <tableColumn id="683" xr3:uid="{048661F5-74D9-42CE-9933-F54945483A5D}" name="Column678"/>
    <tableColumn id="684" xr3:uid="{31250F70-4D2E-454F-A666-0C4FB3E247A5}" name="Column679"/>
    <tableColumn id="685" xr3:uid="{3A7D2EFA-C660-4D39-9220-6B23CC878D88}" name="Column680"/>
    <tableColumn id="686" xr3:uid="{69A47DEB-7EFE-443A-8529-31DCE502A10C}" name="Column681"/>
    <tableColumn id="687" xr3:uid="{487147BC-D18E-4617-833A-319C9A8ADBCD}" name="Column682"/>
    <tableColumn id="688" xr3:uid="{FAA407FE-C38E-4DCD-A70D-E8669140A918}" name="Column683"/>
    <tableColumn id="689" xr3:uid="{812B93B7-3030-4F29-8242-4CF808EB3198}" name="Column684"/>
    <tableColumn id="690" xr3:uid="{61C9BDA9-8D22-4BD7-ABB2-BCD56EC7694B}" name="Column685"/>
    <tableColumn id="691" xr3:uid="{4999A97B-CB66-4B49-801E-107A95B9C4F2}" name="Column686"/>
    <tableColumn id="692" xr3:uid="{81B675F6-DA77-4EC6-A617-8467CC1BA06E}" name="Column687"/>
    <tableColumn id="693" xr3:uid="{217AC9AB-FF1C-49C0-934E-FBA462F277C8}" name="Column688"/>
    <tableColumn id="694" xr3:uid="{3977864B-7708-44EB-B992-B93203D602AC}" name="Column689"/>
    <tableColumn id="695" xr3:uid="{6EB722E0-3A83-4F1A-BBB8-6243BE510A68}" name="Column690"/>
    <tableColumn id="696" xr3:uid="{52FA7B57-FACE-49E3-A062-2C951920A63B}" name="Column691"/>
    <tableColumn id="697" xr3:uid="{2693DFE2-AE29-4885-AA14-286EE092536F}" name="Column692"/>
    <tableColumn id="698" xr3:uid="{299FCA32-C346-4D47-AF48-B1922CDBAB58}" name="Column693"/>
    <tableColumn id="699" xr3:uid="{AC4D53AC-220A-4A17-93A6-C85889BF3D9C}" name="Column694"/>
    <tableColumn id="700" xr3:uid="{D7BE42A5-7C16-4AED-A142-794E0AD4B67E}" name="Column695"/>
    <tableColumn id="701" xr3:uid="{1CD4A992-ED72-4B95-88D0-6BF7447239C8}" name="Column696"/>
    <tableColumn id="702" xr3:uid="{63BC6DE5-CA1F-4908-9D16-9E350037A91A}" name="Column697"/>
    <tableColumn id="703" xr3:uid="{A7E69B6A-0C55-4E3D-BD41-D5F10C62274E}" name="Column698"/>
    <tableColumn id="704" xr3:uid="{16152AE7-1BC5-438A-AA1D-1115889B4623}" name="Column699"/>
    <tableColumn id="705" xr3:uid="{461D6015-12D5-482E-88C1-5B7F3E333D50}" name="Column700"/>
    <tableColumn id="706" xr3:uid="{D99A8234-FD78-4AA3-97CF-CA4B81F84D85}" name="Column701"/>
    <tableColumn id="707" xr3:uid="{5EDD3230-AAC8-46FB-96E8-5ABCEA2100EA}" name="Column702"/>
    <tableColumn id="708" xr3:uid="{E37C2999-8FD2-4926-A65C-AB59EDD40424}" name="Column703"/>
    <tableColumn id="709" xr3:uid="{78049C56-208C-4D61-9AAE-B4B814F50B0A}" name="Column704"/>
    <tableColumn id="710" xr3:uid="{D11AF5DD-B5E5-43C1-B7FB-96D4698546C6}" name="Column705"/>
    <tableColumn id="711" xr3:uid="{51AC53A0-A559-41DA-9067-CDC143A00C44}" name="Column706"/>
    <tableColumn id="712" xr3:uid="{A6F8A6D9-9390-4E11-8586-0F3C6F1DB7BF}" name="Column707"/>
    <tableColumn id="713" xr3:uid="{69C06A61-EA08-4E8E-B7A5-84ABE90E4EF6}" name="Column708"/>
    <tableColumn id="714" xr3:uid="{9EA5DDF5-7269-4D71-9510-39F9888EA73A}" name="Column709"/>
    <tableColumn id="715" xr3:uid="{DEEA7C9C-E9DE-486F-84EF-2BC406396AA1}" name="Column710"/>
    <tableColumn id="716" xr3:uid="{73358054-1AFF-4EE5-8EB6-CB34193CE5D7}" name="Column711"/>
    <tableColumn id="717" xr3:uid="{D4CAC528-4D2E-461F-BBE3-C5512E0ED8F2}" name="Column712"/>
    <tableColumn id="718" xr3:uid="{BF79409E-7205-4183-85C2-D16210D6AD45}" name="Column713"/>
    <tableColumn id="719" xr3:uid="{C823D0E4-990B-4276-A528-C33C325BFD6F}" name="Column714"/>
    <tableColumn id="720" xr3:uid="{FC0771AC-0E68-4BD9-8B03-24D3552313F0}" name="Column715"/>
    <tableColumn id="721" xr3:uid="{D32E52A1-2118-4042-98D5-E321EB121F73}" name="Column716"/>
    <tableColumn id="722" xr3:uid="{13B85993-A0A3-44C6-9D63-59E66F7163A0}" name="Column717"/>
    <tableColumn id="723" xr3:uid="{6EF2A0D1-C79C-4E1D-956F-61A5F0071672}" name="Column718"/>
    <tableColumn id="724" xr3:uid="{208A0405-2261-4AAF-87EF-791AA6E85AFC}" name="Column719"/>
    <tableColumn id="725" xr3:uid="{3EF7584B-7EA6-4FE8-B6BF-8DF4F689DB4B}" name="Column720"/>
    <tableColumn id="726" xr3:uid="{DF8D9737-638A-4F55-8F89-F22870D9DB89}" name="Column721"/>
    <tableColumn id="727" xr3:uid="{46BAAC44-30FF-47AA-B2BA-14DCD03CB9CB}" name="Column722"/>
    <tableColumn id="728" xr3:uid="{9546718C-1E5E-48A4-8C9E-0B054A0AA514}" name="Column723"/>
    <tableColumn id="729" xr3:uid="{43429AD9-C8EF-48C1-8431-A28828C41CD6}" name="Column724"/>
    <tableColumn id="730" xr3:uid="{54A6ABFF-5732-4DE3-BCA3-C3FB608A64E9}" name="Column725"/>
    <tableColumn id="731" xr3:uid="{5EA2EA9D-1E04-4B27-B3D3-EE7A42683FD0}" name="Column726"/>
    <tableColumn id="732" xr3:uid="{B3D3DA15-190C-454A-A44B-78083F553A6A}" name="Column727"/>
    <tableColumn id="733" xr3:uid="{45728FB2-C2F1-44A1-BFFB-72539DA89A02}" name="Column728"/>
    <tableColumn id="734" xr3:uid="{8E7C6529-9CD3-41D0-A775-3FC0BA196005}" name="Column729"/>
    <tableColumn id="735" xr3:uid="{7288309B-73ED-4009-9D7F-A07FCDCF7B70}" name="Column730"/>
    <tableColumn id="736" xr3:uid="{8045157B-55B3-4F81-911B-10FC362BA572}" name="Column731"/>
    <tableColumn id="737" xr3:uid="{41E71E15-58C9-4877-BDF4-AF6BC88EF98A}" name="Column732"/>
    <tableColumn id="738" xr3:uid="{3A4EF92D-2D95-4F84-9B23-88E8881F0584}" name="Column733"/>
    <tableColumn id="739" xr3:uid="{9615BCC0-55A3-4F39-9E0F-60AA95ED4541}" name="Column734"/>
    <tableColumn id="740" xr3:uid="{DABC8F3A-3821-4374-8E09-3640390D175B}" name="Column735"/>
    <tableColumn id="741" xr3:uid="{DF13A550-92A4-485F-B811-8607A675EB36}" name="Column736"/>
    <tableColumn id="742" xr3:uid="{78EF9083-C160-4072-9999-7B5124EF1F7F}" name="Column737"/>
    <tableColumn id="743" xr3:uid="{7D58549F-7A90-44DA-A299-9AD2F7DC7F01}" name="Column738"/>
    <tableColumn id="744" xr3:uid="{EBD16DC4-6B62-4116-9DE0-25DA460995B4}" name="Column739"/>
    <tableColumn id="745" xr3:uid="{533A5CEE-3C93-468C-AB99-BF89F7F7609F}" name="Column740"/>
    <tableColumn id="746" xr3:uid="{5B429C5E-2A2D-445B-ACD5-7F2C8A064AE0}" name="Column741"/>
    <tableColumn id="747" xr3:uid="{4B281A03-2F72-4D4C-9EA3-415C93B28FE7}" name="Column742"/>
    <tableColumn id="748" xr3:uid="{419E1A6C-AFEC-4D92-A119-059380A47337}" name="Column743"/>
    <tableColumn id="749" xr3:uid="{B5FEF7DC-6E33-44B9-AD53-BE7DE7C90CC3}" name="Column744"/>
    <tableColumn id="750" xr3:uid="{3E8AEA2F-D00D-43D6-9CDB-D26F4E68CDD5}" name="Column745"/>
    <tableColumn id="751" xr3:uid="{E34E9421-5591-4A21-B688-2568F3401571}" name="Column746"/>
    <tableColumn id="752" xr3:uid="{5F4B6B7A-5D7E-4718-AD2D-3F9A74D4984B}" name="Column747"/>
    <tableColumn id="753" xr3:uid="{01C9DE43-F7E4-4FDB-B76D-2DAD8DC93562}" name="Column748"/>
    <tableColumn id="754" xr3:uid="{44AEA81E-10D2-4B34-8782-AF6DB7C4F1D6}" name="Column749"/>
    <tableColumn id="755" xr3:uid="{D4DE7922-4F05-49DE-8A5E-77F25CC156E8}" name="Column750"/>
    <tableColumn id="756" xr3:uid="{B281B38B-66B5-444B-8871-8D4FC7198A51}" name="Column751"/>
    <tableColumn id="757" xr3:uid="{E75AC4FA-05AC-4646-87C7-9EEBCB3DF46B}" name="Column752"/>
    <tableColumn id="758" xr3:uid="{66B03380-AA32-43D0-8340-B687D7DCD0C3}" name="Column753"/>
    <tableColumn id="759" xr3:uid="{796FE43A-D976-4C25-929E-860652AD6E9A}" name="Column754"/>
    <tableColumn id="760" xr3:uid="{9CFFA71A-8157-46B3-B9C3-9025055B0B62}" name="Column755"/>
    <tableColumn id="761" xr3:uid="{97E1AD6B-815E-443B-AD19-D1D299A34F77}" name="Column756"/>
    <tableColumn id="762" xr3:uid="{AA2F255C-7021-4067-9223-A60524A02137}" name="Column757"/>
    <tableColumn id="763" xr3:uid="{7F61B460-A908-4CF4-B725-8CD1DFC4709B}" name="Column758"/>
    <tableColumn id="764" xr3:uid="{400A3E00-16CA-45A7-805F-51D7D323DA82}" name="Column759"/>
    <tableColumn id="765" xr3:uid="{3753871C-7E38-4DAC-ACF4-112109FE30E7}" name="Column760"/>
    <tableColumn id="766" xr3:uid="{3B907271-61B8-480C-B103-F7F34B647F31}" name="Column761"/>
    <tableColumn id="767" xr3:uid="{4F6C5679-4B0D-4F69-94F5-1D1321D4D2FC}" name="Column762"/>
    <tableColumn id="768" xr3:uid="{83ED8D0B-E3C5-4BD2-867C-F61DC301752A}" name="Column763"/>
    <tableColumn id="769" xr3:uid="{3EC119E3-194E-4256-9317-A8BB16609162}" name="Column764"/>
    <tableColumn id="770" xr3:uid="{00734C9F-6E59-471E-8554-6F8C7B37D936}" name="Column765"/>
    <tableColumn id="771" xr3:uid="{B13E48FC-4D3F-410B-94F2-1FBF68C55680}" name="Column766"/>
    <tableColumn id="772" xr3:uid="{AA5949EC-2F4F-4A8C-BA9B-984F2A632588}" name="Column767"/>
    <tableColumn id="773" xr3:uid="{96BEECF2-CCF2-412D-ACB0-9E2F85488F3F}" name="Column768"/>
    <tableColumn id="774" xr3:uid="{906F4DE9-1954-4786-BA43-05A8018F6D36}" name="Column769"/>
    <tableColumn id="775" xr3:uid="{5D3CB856-F4E0-4730-9B0E-F28CDED3C57E}" name="Column770"/>
    <tableColumn id="776" xr3:uid="{91C94B28-0392-476D-B5A0-49AE40733EA7}" name="Column771"/>
    <tableColumn id="777" xr3:uid="{2580C735-4D37-45C0-A968-D82AA944DD51}" name="Column772"/>
    <tableColumn id="778" xr3:uid="{9D28BFB0-63F5-485D-B5BB-FE3D6FAFE1BC}" name="Column773"/>
    <tableColumn id="779" xr3:uid="{8B2D04F6-5EA1-4BF0-A4BB-36A41B07C379}" name="Column774"/>
    <tableColumn id="780" xr3:uid="{C08879D6-551F-473F-8A06-CBEF20A60F10}" name="Column775"/>
    <tableColumn id="781" xr3:uid="{DC5BF98E-DAFD-4F0D-8E2B-C3F019406D02}" name="Column776"/>
    <tableColumn id="782" xr3:uid="{29064385-6C50-432A-97E8-98315D1DD98D}" name="Column777"/>
    <tableColumn id="783" xr3:uid="{1264CB7C-D2B0-4396-80D7-D7DD104A1FC1}" name="Column778"/>
    <tableColumn id="784" xr3:uid="{9BF38841-92D7-4C0D-AD02-1F0539A3905F}" name="Column779"/>
    <tableColumn id="785" xr3:uid="{DE782F49-4F9F-442B-91F5-D0E893D63DA7}" name="Column780"/>
    <tableColumn id="786" xr3:uid="{2F17052C-6039-4DDD-BFE1-CFD95F6EA264}" name="Column781"/>
    <tableColumn id="787" xr3:uid="{0D57AC4D-711C-4E51-9D2A-E5C1C9FCB6D4}" name="Column782"/>
    <tableColumn id="788" xr3:uid="{C22F9082-5115-4328-878F-09A5E45520E8}" name="Column783"/>
    <tableColumn id="789" xr3:uid="{42F3228C-6E9F-46D0-A811-69BB5990B3F0}" name="Column784"/>
    <tableColumn id="790" xr3:uid="{0291B4B4-D294-4E4D-872E-D01AC585371A}" name="Column785"/>
    <tableColumn id="791" xr3:uid="{A4431AEA-BF06-44A4-AD1B-7C951371B08D}" name="Column786"/>
    <tableColumn id="792" xr3:uid="{62C001E0-925C-4D46-B144-1281DFF8180E}" name="Column787"/>
    <tableColumn id="793" xr3:uid="{956D110B-3C49-4051-8A12-82B785865B15}" name="Column788"/>
    <tableColumn id="794" xr3:uid="{CC15B539-E30F-4663-9FA0-45B4EEB3072D}" name="Column789"/>
    <tableColumn id="795" xr3:uid="{55C93528-CDF1-4B2D-94BA-B1C9AC3C569A}" name="Column790"/>
    <tableColumn id="796" xr3:uid="{E9575EEC-12AD-4DDB-8E87-C5FD11020ACC}" name="Column791"/>
    <tableColumn id="797" xr3:uid="{2F0611F2-A05A-487B-BDBE-8DB759313592}" name="Column792"/>
    <tableColumn id="798" xr3:uid="{0516C39D-C498-405A-99E5-DC01DB29F6E6}" name="Column793"/>
    <tableColumn id="799" xr3:uid="{5649CD5E-A422-4EC0-BD5C-7EA6208E2D1C}" name="Column794"/>
    <tableColumn id="800" xr3:uid="{1EF30575-BBD1-4143-9EF5-CD172000B942}" name="Column795"/>
    <tableColumn id="801" xr3:uid="{F51D62C3-1BA2-4EA6-B988-EA8974EE33DF}" name="Column796"/>
    <tableColumn id="802" xr3:uid="{580E4DE0-6C3B-4BC3-8C16-9AFF4A672894}" name="Column797"/>
    <tableColumn id="803" xr3:uid="{00CEA1A0-EA4B-4FD4-B8AD-59379CAF8338}" name="Column798"/>
    <tableColumn id="804" xr3:uid="{5C6EAE83-396B-4AA4-B8C3-BAB8077FCE2B}" name="Column799"/>
    <tableColumn id="805" xr3:uid="{47EB2F1E-108D-41A9-A0A7-A8C4F0F82B88}" name="Column800"/>
    <tableColumn id="806" xr3:uid="{005F60DA-FA6D-4471-9BFC-B1F926EC0C59}" name="Column801"/>
    <tableColumn id="807" xr3:uid="{37ADECE9-4FA0-4BD0-B2C2-234070B04638}" name="Column802"/>
    <tableColumn id="808" xr3:uid="{105AF3D2-5952-4795-8ACB-E92EF6733836}" name="Column803"/>
    <tableColumn id="809" xr3:uid="{B33A17E4-A2A2-44F0-BF72-47B32A66541C}" name="Column804"/>
    <tableColumn id="810" xr3:uid="{5A855AE9-E5C6-449F-8065-D936217F0E2A}" name="Column805"/>
    <tableColumn id="811" xr3:uid="{F90AD517-9E19-43BE-B4F0-721A6A8B3E43}" name="Column806"/>
    <tableColumn id="812" xr3:uid="{FE18471E-F08A-4916-ADF3-D2AFDB5CD78E}" name="Column807"/>
    <tableColumn id="813" xr3:uid="{A397756D-6D6C-46D8-A61A-6043DEE53C91}" name="Column808"/>
    <tableColumn id="814" xr3:uid="{C6BF99D2-8A4A-4707-AAEE-A93C6DFEAFB6}" name="Column809"/>
    <tableColumn id="815" xr3:uid="{97220166-D383-412D-ADEB-112095CAADA8}" name="Column810"/>
    <tableColumn id="816" xr3:uid="{FA41D2AA-D74A-495B-BDD2-BE33D4AEA196}" name="Column811"/>
    <tableColumn id="817" xr3:uid="{BCD4D2A3-3025-471C-8702-57AEACA2D604}" name="Column812"/>
    <tableColumn id="818" xr3:uid="{3ED4FE4E-8620-4EC7-A1F4-E5EAAD7EDAEE}" name="Column813"/>
    <tableColumn id="819" xr3:uid="{EC7A0664-180C-4257-A7F0-857FC61B88C0}" name="Column814"/>
    <tableColumn id="820" xr3:uid="{19638AB6-752C-45B3-902F-E69ADB212CA7}" name="Column815"/>
    <tableColumn id="821" xr3:uid="{0AD33E94-02FD-40E9-ABA0-92F9E555F2B9}" name="Column816"/>
    <tableColumn id="822" xr3:uid="{0C29EB4C-87DD-4A6A-B00C-012B0BA5C18D}" name="Column817"/>
    <tableColumn id="823" xr3:uid="{DF2543E1-F48D-48EE-B961-769267B21697}" name="Column818"/>
    <tableColumn id="824" xr3:uid="{F185E694-747A-42A4-9AE4-A322CA1E0582}" name="Column819"/>
    <tableColumn id="825" xr3:uid="{BA632C8D-7774-4CC7-A234-E0985CA7494F}" name="Column820"/>
    <tableColumn id="826" xr3:uid="{18CFBB69-C5C1-4573-A92C-FBE64F0CB243}" name="Column821"/>
    <tableColumn id="827" xr3:uid="{75258E9F-F46F-4819-80F0-56F0F6DC37FA}" name="Column822"/>
    <tableColumn id="828" xr3:uid="{33458F9D-6132-4C38-AF25-3265A4334596}" name="Column823"/>
    <tableColumn id="829" xr3:uid="{1D8781A1-0D50-4714-9754-254B30F88A73}" name="Column824"/>
    <tableColumn id="830" xr3:uid="{5D80F9AA-DD18-47B6-A78C-EC30293F0801}" name="Column825"/>
    <tableColumn id="831" xr3:uid="{B9977468-C77F-408C-95E7-4B98CFCD556D}" name="Column826"/>
    <tableColumn id="832" xr3:uid="{11A063CA-BE09-47C4-9F33-740EE8D3C588}" name="Column827"/>
    <tableColumn id="833" xr3:uid="{C8B1B0A5-DC31-4181-B8B9-979F10CF0A3F}" name="Column828"/>
    <tableColumn id="834" xr3:uid="{0046955E-2510-441D-B0A5-A9AE47C93D35}" name="Column829"/>
    <tableColumn id="835" xr3:uid="{61F3E57D-91C2-46E4-8305-A01BF5A2C75A}" name="Column830"/>
    <tableColumn id="836" xr3:uid="{A7A5B159-BE87-40A9-9A6E-2A26AF46741E}" name="Column831"/>
    <tableColumn id="837" xr3:uid="{11C111D6-A728-46E6-B716-A201A4A23307}" name="Column832"/>
    <tableColumn id="838" xr3:uid="{6585BEEB-1218-4ED1-8CDE-1D8A65654EC8}" name="Column833"/>
    <tableColumn id="839" xr3:uid="{D1E90A4E-757B-41D3-8ABF-FAD1A89A84C6}" name="Column834"/>
    <tableColumn id="840" xr3:uid="{F5F1A1A7-9160-45F6-8B35-FFD94946B329}" name="Column835"/>
    <tableColumn id="841" xr3:uid="{FD916330-9060-4494-9A25-A9F1EF457D7A}" name="Column836"/>
    <tableColumn id="842" xr3:uid="{11AFCE34-8E9B-47AE-9340-B6C836DC9983}" name="Column837"/>
    <tableColumn id="843" xr3:uid="{CC116742-AA27-4A22-9F59-7EA8080CC7E8}" name="Column838"/>
    <tableColumn id="844" xr3:uid="{DEE81193-8F86-4845-956E-B99D965B101D}" name="Column839"/>
    <tableColumn id="845" xr3:uid="{5A278D36-C651-439B-9C49-5F607A4BF67D}" name="Column840"/>
    <tableColumn id="846" xr3:uid="{0A4DD625-6EDC-44DF-9BF6-0F1E05A0FB52}" name="Column841"/>
    <tableColumn id="847" xr3:uid="{8B404CD0-22C0-44A9-A4DF-F907EF3848D0}" name="Column842"/>
    <tableColumn id="848" xr3:uid="{DE542886-9415-4779-A01B-656EC4B680B0}" name="Column843"/>
    <tableColumn id="849" xr3:uid="{BA3BDD12-C974-4C2E-A0A8-6723722859B2}" name="Column844"/>
    <tableColumn id="850" xr3:uid="{4275728E-004F-409E-84B0-BCC14955D60C}" name="Column845"/>
    <tableColumn id="851" xr3:uid="{7E599BD9-6528-47DF-BE0C-2DD83506C1D5}" name="Column846"/>
    <tableColumn id="852" xr3:uid="{9C5920DD-8386-4ED4-AB83-DB7510F47F55}" name="Column847"/>
    <tableColumn id="853" xr3:uid="{51834D31-4A5F-47E9-A21E-856BD957CFC0}" name="Column848"/>
    <tableColumn id="854" xr3:uid="{5212D751-B541-447E-A768-3FF6BFDDACB5}" name="Column849"/>
    <tableColumn id="855" xr3:uid="{137A1B43-55E5-4CA8-A239-922A1B3FB7B0}" name="Column850"/>
    <tableColumn id="856" xr3:uid="{0FF4481D-E22A-4054-B7CA-D0A0D9940B19}" name="Column851"/>
    <tableColumn id="857" xr3:uid="{9AC02DD8-F693-4C9A-BA20-FADF96AE1258}" name="Column852"/>
    <tableColumn id="858" xr3:uid="{C11833F4-266B-430F-906D-E35D7100249C}" name="Column853"/>
    <tableColumn id="859" xr3:uid="{CB615A47-E1C1-4757-A313-40A5F2AFC22F}" name="Column854"/>
    <tableColumn id="860" xr3:uid="{49D6DF49-C34F-4B9F-B2FD-0B1D91594A19}" name="Column855"/>
    <tableColumn id="861" xr3:uid="{B4FADBA1-4594-4D6E-922B-23BADA50CF02}" name="Column856"/>
    <tableColumn id="862" xr3:uid="{214ACDE9-A308-497A-B10F-3DBAC514BE8F}" name="Column857"/>
    <tableColumn id="863" xr3:uid="{3F571982-9489-4982-ACF2-6D62D878A5A2}" name="Column858"/>
    <tableColumn id="864" xr3:uid="{5D7E91F2-A9E4-4952-BF76-04258C8DA228}" name="Column859"/>
    <tableColumn id="865" xr3:uid="{B1B02D17-3EFB-4C20-908E-92F4183A6AA3}" name="Column860"/>
    <tableColumn id="866" xr3:uid="{56E136DB-4BDD-4CD5-B0E7-07217555EBD0}" name="Column861"/>
    <tableColumn id="867" xr3:uid="{2CEF8F12-B038-404A-A524-F6596BA7262C}" name="Column862"/>
    <tableColumn id="868" xr3:uid="{6EBB453F-E87D-4398-A329-82439BB76352}" name="Column863"/>
    <tableColumn id="869" xr3:uid="{64F3FB7F-EA42-4F63-BE0D-E3E66FC8163F}" name="Column864"/>
    <tableColumn id="870" xr3:uid="{07549DBC-5F9C-4944-A523-8ED9833F3228}" name="Column865"/>
    <tableColumn id="871" xr3:uid="{C3453E7D-A4DE-4C72-BFDD-B5D060C21E68}" name="Column866"/>
    <tableColumn id="872" xr3:uid="{35D93B76-6391-4FEB-B1E6-34BFD187F35D}" name="Column867"/>
    <tableColumn id="873" xr3:uid="{DB31F611-B0E8-40A6-B613-18E1DBA0B2B1}" name="Column868"/>
    <tableColumn id="874" xr3:uid="{1BF403C0-BD5D-4D0A-9F25-CF075BEF0FEB}" name="Column869"/>
    <tableColumn id="875" xr3:uid="{53E775E5-1CA3-46EA-BDFE-86A9628EBED2}" name="Column870"/>
    <tableColumn id="876" xr3:uid="{95ECD8BC-1A11-41E1-A627-3B6329F5134E}" name="Column871"/>
    <tableColumn id="877" xr3:uid="{9A00106D-D0C8-430A-9B72-72C1413F4DE5}" name="Column872"/>
    <tableColumn id="878" xr3:uid="{EA49027F-DEC0-43EB-ACCF-A60D740F8E18}" name="Column873"/>
    <tableColumn id="879" xr3:uid="{5735EA54-58E7-4D84-9D62-3BEA88C83B15}" name="Column874"/>
    <tableColumn id="880" xr3:uid="{10C8D8DE-ED1C-4B1D-8189-A362E27EA5E4}" name="Column875"/>
    <tableColumn id="881" xr3:uid="{00C2BA75-EBDA-4F9F-8AFC-41CC72AB9C40}" name="Column876"/>
    <tableColumn id="882" xr3:uid="{D4F05474-4D01-4E63-8D5A-E3E0091E42DE}" name="Column877"/>
    <tableColumn id="883" xr3:uid="{E69D9CA8-FAF3-4606-A5A3-3E15B502F9A7}" name="Column878"/>
    <tableColumn id="884" xr3:uid="{C3CF6C69-EF66-40C7-86FF-DD97FA3F8D19}" name="Column879"/>
    <tableColumn id="885" xr3:uid="{94E075B4-A5D7-4679-AC87-195A217C461D}" name="Column880"/>
    <tableColumn id="886" xr3:uid="{91901747-E616-45A1-B227-F4BD1CCD2490}" name="Column881"/>
    <tableColumn id="887" xr3:uid="{80A7D002-7D85-44C3-928B-01B633662A92}" name="Column882"/>
    <tableColumn id="888" xr3:uid="{5F0186BA-989A-46FA-823E-2F12179137A3}" name="Column883"/>
    <tableColumn id="889" xr3:uid="{7617E91A-FE81-46D3-B84F-1949AFDD5D29}" name="Column884"/>
    <tableColumn id="890" xr3:uid="{0D3935E7-3ABF-4D76-B31E-9158AC7BF380}" name="Column885"/>
    <tableColumn id="891" xr3:uid="{94571D9D-3D2B-41D2-8D66-B12D3879F6E4}" name="Column886"/>
    <tableColumn id="892" xr3:uid="{8306020E-BEB9-4D62-B3E3-2C03F460C911}" name="Column887"/>
    <tableColumn id="893" xr3:uid="{29990AD6-88B9-4808-BDB6-5928EBB1542F}" name="Column888"/>
    <tableColumn id="894" xr3:uid="{2DAA1A08-80DD-4005-9329-2AB93DCCBCD1}" name="Column889"/>
    <tableColumn id="895" xr3:uid="{4160804C-45E5-4F60-8541-74FE1B5731BE}" name="Column890"/>
    <tableColumn id="896" xr3:uid="{95C884AE-E9F4-42FE-922B-EA7B9C16435E}" name="Column891"/>
    <tableColumn id="897" xr3:uid="{06C43391-53DF-496E-908B-7AC0CE135299}" name="Column892"/>
    <tableColumn id="898" xr3:uid="{B60BBB1A-37F5-4EA0-8498-1A5B0B35EE65}" name="Column893"/>
    <tableColumn id="899" xr3:uid="{4304ED8A-7787-4E5D-9738-78244AE19258}" name="Column894"/>
    <tableColumn id="900" xr3:uid="{3D552193-BD06-4351-8766-F059CB305459}" name="Column895"/>
    <tableColumn id="901" xr3:uid="{3FB2D64D-4669-4941-9E74-12E8037CD2B0}" name="Column896"/>
    <tableColumn id="902" xr3:uid="{6729AE88-5DC0-4B11-AEB4-375F52546A36}" name="Column897"/>
    <tableColumn id="903" xr3:uid="{CEA23E93-E2F1-46FF-BC09-91A919EA6872}" name="Column898"/>
    <tableColumn id="904" xr3:uid="{70E675BF-7ECC-4851-BBC1-BAF36F2E4D08}" name="Column899"/>
    <tableColumn id="905" xr3:uid="{652D0B35-4E50-4C02-942B-31CA1DFF535E}" name="Column900"/>
    <tableColumn id="906" xr3:uid="{700DFF40-572D-4CE3-881C-CD4AC4AA5FC3}" name="Column901"/>
    <tableColumn id="907" xr3:uid="{3B01E853-C74C-4707-AAE5-D3D9F2972C08}" name="Column902"/>
    <tableColumn id="908" xr3:uid="{EB481F77-DFFC-4392-97C0-E5D4E37B1B2D}" name="Column903"/>
    <tableColumn id="909" xr3:uid="{A75EB9EB-DA74-4A65-9C2A-A21DD7332F0B}" name="Column904"/>
    <tableColumn id="910" xr3:uid="{307B143B-6063-43B1-B9EA-985C26EA9368}" name="Column905"/>
    <tableColumn id="911" xr3:uid="{AF78152A-7B08-4107-9341-C683BE1C7F61}" name="Column906"/>
    <tableColumn id="912" xr3:uid="{A7C11E2B-CABA-4B8D-A813-512DA8231385}" name="Column907"/>
    <tableColumn id="913" xr3:uid="{83EDA235-E8A1-4F0E-8D56-83FF41DA654A}" name="Column908"/>
    <tableColumn id="914" xr3:uid="{94473F65-ABAB-4BC9-86CB-44F2591C66B7}" name="Column909"/>
    <tableColumn id="915" xr3:uid="{374CC8F0-868D-42D0-B1E2-A85FF285DD93}" name="Column910"/>
    <tableColumn id="916" xr3:uid="{C80CC427-D2F7-483E-9997-4F817BCFC8D8}" name="Column911"/>
    <tableColumn id="917" xr3:uid="{ED38B2DE-FDAF-4EE8-B0D2-B3878A506CE7}" name="Column912"/>
    <tableColumn id="918" xr3:uid="{ECBDE169-764F-43F9-A0C0-B15883D20004}" name="Column913"/>
    <tableColumn id="919" xr3:uid="{54D2BB5D-887C-46C5-B28D-60E469AFDE66}" name="Column914"/>
    <tableColumn id="920" xr3:uid="{185AF2B4-8328-48FA-963A-E8D2744F325E}" name="Column915"/>
    <tableColumn id="921" xr3:uid="{276B38E7-694D-48C2-BA70-DBB48FA8B6AD}" name="Column916"/>
    <tableColumn id="922" xr3:uid="{99F50736-1BA2-474A-9551-677104EED394}" name="Column917"/>
    <tableColumn id="923" xr3:uid="{470A866A-D3AA-41CF-BF88-D3A61393F3B3}" name="Column918"/>
    <tableColumn id="924" xr3:uid="{2CD9593D-8680-44D3-9B34-90031202AC9B}" name="Column919"/>
    <tableColumn id="925" xr3:uid="{AAD9E279-CD1E-4017-B7B1-C9336F3E275A}" name="Column920"/>
    <tableColumn id="926" xr3:uid="{9F8A34EF-69ED-4AE8-8314-A800E7B5CF1F}" name="Column921"/>
    <tableColumn id="927" xr3:uid="{A1811F13-FAFC-4B90-9DAB-E1A28C9D2DEC}" name="Column922"/>
    <tableColumn id="928" xr3:uid="{764BEAB3-4976-452C-802D-3E11DBD371CA}" name="Column923"/>
    <tableColumn id="929" xr3:uid="{BDD7540F-70E6-421E-8264-CC044DE09CD7}" name="Column924"/>
    <tableColumn id="930" xr3:uid="{20F3EB22-6ED7-413F-A586-181C87FA47E3}" name="Column925"/>
    <tableColumn id="931" xr3:uid="{94664172-E4DC-4F53-8836-C96A8E782CB6}" name="Column926"/>
    <tableColumn id="932" xr3:uid="{0A51842A-443A-47E9-AB89-1F14DC654DB3}" name="Column927"/>
    <tableColumn id="933" xr3:uid="{83EA58F9-180C-46D3-8C4E-F2E0A0D4828F}" name="Column928"/>
    <tableColumn id="934" xr3:uid="{DC089B00-EF66-4759-9440-A0FE70485943}" name="Column929"/>
    <tableColumn id="935" xr3:uid="{B63E77EC-6E11-48CD-BB72-709FF6B99D2F}" name="Column930"/>
    <tableColumn id="936" xr3:uid="{8A1A91DE-FEB0-4575-A6BA-6EDACC854B3F}" name="Column931"/>
    <tableColumn id="937" xr3:uid="{3CD36657-CFE3-48DB-BF69-ACEDAAC67912}" name="Column932"/>
    <tableColumn id="938" xr3:uid="{C215C7F2-6457-4B64-959A-8359985FEB25}" name="Column933"/>
    <tableColumn id="939" xr3:uid="{728908BF-16CA-48C6-8D6B-AA61612FE8EA}" name="Column934"/>
    <tableColumn id="940" xr3:uid="{E6269C55-9928-4DF1-B18A-B722DB0B6502}" name="Column935"/>
    <tableColumn id="941" xr3:uid="{A727D44B-55C0-4D24-AB4B-37AAF44CC29E}" name="Column936"/>
    <tableColumn id="942" xr3:uid="{33FAD31D-C2BA-4236-9D4D-3960B19DF2D0}" name="Column937"/>
    <tableColumn id="943" xr3:uid="{A7E2ECBF-F6BB-4960-897F-78E249C1A4B0}" name="Column938"/>
    <tableColumn id="944" xr3:uid="{204C27F2-B325-45C8-946D-88EF9F27FAF4}" name="Column939"/>
    <tableColumn id="945" xr3:uid="{EEA10AE6-8331-4340-8D66-7415C9E28EBC}" name="Column940"/>
    <tableColumn id="946" xr3:uid="{72AF53E2-649B-40EC-874C-0973CF894816}" name="Column941"/>
    <tableColumn id="947" xr3:uid="{B139C543-CE5F-45B3-B734-63D6828BC9B7}" name="Column942"/>
    <tableColumn id="948" xr3:uid="{345EA1C3-FFFA-46A2-BF97-8E0405F4CA56}" name="Column943"/>
    <tableColumn id="949" xr3:uid="{87BFB996-A5F7-4B15-BC97-0D1854D71C75}" name="Column944"/>
    <tableColumn id="950" xr3:uid="{FF1E08A7-9FBB-4639-B7F2-02DE622F7C7B}" name="Column945"/>
    <tableColumn id="951" xr3:uid="{80D31A3F-5B1C-4201-ACB4-6B65034E1C3F}" name="Column946"/>
    <tableColumn id="952" xr3:uid="{63C2C81B-D6CB-4B1F-9A9C-CBA1AC0B97E5}" name="Column947"/>
    <tableColumn id="953" xr3:uid="{1610C9CA-7A68-40B0-825F-AF177F1E4121}" name="Column948"/>
    <tableColumn id="954" xr3:uid="{71F02C32-609C-4B72-ACE9-2A1243FF962D}" name="Column949"/>
    <tableColumn id="955" xr3:uid="{98BB6587-F1BB-4748-A601-428843EB384E}" name="Column950"/>
    <tableColumn id="956" xr3:uid="{C8BA23A0-2693-4994-B2C3-42D5E18CB100}" name="Column951"/>
    <tableColumn id="957" xr3:uid="{14BE4517-D8C0-4AD9-B0B9-80E817F8A714}" name="Column952"/>
    <tableColumn id="958" xr3:uid="{973C7F76-9D54-4B55-B3BF-806FCC18C14D}" name="Column953"/>
    <tableColumn id="959" xr3:uid="{6FED09BC-64E4-4C3E-AF5B-269529EE33E5}" name="Column954"/>
    <tableColumn id="960" xr3:uid="{9E9C7AE4-D090-4294-AD43-5F693FF98F73}" name="Column955"/>
    <tableColumn id="961" xr3:uid="{89BDEB0F-D91F-4FD8-9723-83AEEE6C1865}" name="Column956"/>
    <tableColumn id="962" xr3:uid="{3D211A7B-A307-4796-B815-79EABCCF741E}" name="Column957"/>
    <tableColumn id="963" xr3:uid="{59EBDD3D-201A-401E-9E54-A787C47780AE}" name="Column958"/>
    <tableColumn id="964" xr3:uid="{9F25040C-BB55-4932-ADF0-1D34A5B87E27}" name="Column959"/>
    <tableColumn id="965" xr3:uid="{EFEB5FB0-D268-43CE-B19F-7C28E95BC045}" name="Column960"/>
    <tableColumn id="966" xr3:uid="{9683001E-FE6B-4F09-A89F-5D26E5955ABC}" name="Column961"/>
    <tableColumn id="967" xr3:uid="{ADBC3A6F-D57D-40A1-9871-BAACECBC62EC}" name="Column962"/>
    <tableColumn id="968" xr3:uid="{487DFCEF-91B5-40FF-AA74-3F06BA99EABA}" name="Column963"/>
    <tableColumn id="969" xr3:uid="{FAA525D0-B070-4BC6-A490-BCDFEA095C2D}" name="Column964"/>
    <tableColumn id="970" xr3:uid="{B5D94A88-34F0-4871-9254-7AAA6854551F}" name="Column965"/>
    <tableColumn id="971" xr3:uid="{ACF5F5DE-5A35-42C0-B392-455334BC8C4B}" name="Column966"/>
    <tableColumn id="972" xr3:uid="{CCCF6C8F-786F-4123-A050-A74457061C07}" name="Column967"/>
    <tableColumn id="973" xr3:uid="{C6C260AF-685D-4C91-9951-31100C001D81}" name="Column968"/>
    <tableColumn id="974" xr3:uid="{9747B585-1770-4825-B942-248E546596E3}" name="Column969"/>
    <tableColumn id="975" xr3:uid="{494D9334-4715-4596-A94E-9541CBFC815E}" name="Column970"/>
    <tableColumn id="976" xr3:uid="{FB556F1C-F578-42BE-ADC7-59B8E931F6C4}" name="Column971"/>
    <tableColumn id="977" xr3:uid="{4D4CE739-47E9-4C83-B881-7EFBCC9A5258}" name="Column972"/>
    <tableColumn id="978" xr3:uid="{9C4D185D-D4FB-4F7A-B64B-A8EA4383833D}" name="Column973"/>
    <tableColumn id="979" xr3:uid="{5221F092-3A30-4AE3-BE20-D2710E41C2F9}" name="Column974"/>
    <tableColumn id="980" xr3:uid="{670A4069-CC70-41B3-A702-8CBD184F3CA6}" name="Column975"/>
    <tableColumn id="981" xr3:uid="{458F4E0E-2AEE-4902-969F-9304669610A4}" name="Column976"/>
    <tableColumn id="982" xr3:uid="{9B3DEBE9-78CF-40C6-A240-09E658584D66}" name="Column977"/>
    <tableColumn id="983" xr3:uid="{55C34CAB-427E-41AD-8145-EF430163709B}" name="Column978"/>
    <tableColumn id="984" xr3:uid="{A8067A50-F6CB-486A-BF49-C777575DEB5A}" name="Column979"/>
    <tableColumn id="985" xr3:uid="{90666BD5-BF2E-41C1-B9AC-F710157A157C}" name="Column980"/>
    <tableColumn id="986" xr3:uid="{41F97CED-5FB2-4FE0-8FCF-24388ACE4E83}" name="Column981"/>
    <tableColumn id="987" xr3:uid="{835E69CE-1E72-4C7A-82B5-D83C77F6B7DF}" name="Column982"/>
    <tableColumn id="988" xr3:uid="{BAA9B45F-9ACC-4646-A867-FD59CBF9FCF0}" name="Column983"/>
    <tableColumn id="989" xr3:uid="{2E4EE3E9-0855-4E30-9674-22CE771C2E02}" name="Column984"/>
    <tableColumn id="990" xr3:uid="{F89D01B4-E949-40F7-94CC-E912B65C8FE0}" name="Column985"/>
    <tableColumn id="991" xr3:uid="{3AFEF9C9-2D80-4B0D-86CB-46F27CF6665A}" name="Column986"/>
    <tableColumn id="992" xr3:uid="{80C586DA-C7A6-4D85-ADF0-67902866800A}" name="Column987"/>
    <tableColumn id="993" xr3:uid="{51CDB619-6D9A-4D2D-BCF2-56EE17BC2F30}" name="Column988"/>
    <tableColumn id="994" xr3:uid="{D98AACC1-C4B5-4248-B314-881118397BD6}" name="Column989"/>
    <tableColumn id="995" xr3:uid="{CCDD4FE4-C754-45B2-AF53-2FD6E4706C65}" name="Column990"/>
    <tableColumn id="996" xr3:uid="{1BA6424B-2C73-4FFC-ACAB-9DCCAAB478A8}" name="Column991"/>
    <tableColumn id="997" xr3:uid="{99673FED-6D5E-4968-87F5-7F2352511B50}" name="Column992"/>
    <tableColumn id="998" xr3:uid="{8AE6A188-8EF2-4FFC-9CD8-FA1ABBDF7623}" name="Column993"/>
    <tableColumn id="999" xr3:uid="{AC3356D3-7A37-4CDE-9261-F05CA224B54E}" name="Column994"/>
    <tableColumn id="1000" xr3:uid="{BFD61B26-8A08-4C0E-96E6-3FF7C74680CA}" name="Column995"/>
    <tableColumn id="1001" xr3:uid="{A1ECC507-2C60-4CFB-9E49-1A236E233669}" name="Column996"/>
    <tableColumn id="1002" xr3:uid="{F1AE0716-58DF-429F-B8F6-BAFC3A729B2B}" name="Column997"/>
    <tableColumn id="1003" xr3:uid="{219D3EC5-24DA-439D-998F-BD8462C16B06}" name="Column998"/>
    <tableColumn id="1004" xr3:uid="{0A358223-9780-4925-81F3-0D0C8134F42C}" name="Column999"/>
    <tableColumn id="1005" xr3:uid="{A9EBF246-B7CD-4EA5-B188-1C15032E46E1}" name="Column1000"/>
    <tableColumn id="1006" xr3:uid="{6F8919CF-334C-41ED-BFCD-CD0707EE67F8}" name="Column1001"/>
    <tableColumn id="1007" xr3:uid="{1996EDAC-109B-4027-8F3B-D65DE7FB6CB5}" name="Column1002"/>
    <tableColumn id="1008" xr3:uid="{BE3960EB-E65D-445F-AEDE-5830BE57B0AA}" name="Column1003"/>
    <tableColumn id="1009" xr3:uid="{6E21C321-4C84-4426-8DAA-5C864E9E4CC2}" name="Column1004"/>
    <tableColumn id="1010" xr3:uid="{06E2D29C-5C1B-485E-A47D-67A69F0AD2A5}" name="Column1005"/>
    <tableColumn id="1011" xr3:uid="{11B4D307-75AA-44CC-9695-9C4FF1BF9D79}" name="Column1006"/>
    <tableColumn id="1012" xr3:uid="{C6C6ACE9-6EBE-4B0F-9BA4-509734ACB7F1}" name="Column1007"/>
    <tableColumn id="1013" xr3:uid="{A2A3A139-0798-4436-95C9-2EA34DF39C46}" name="Column1008"/>
    <tableColumn id="1014" xr3:uid="{30AF82E8-F8F7-4E6E-8852-F58EEE1BFEEB}" name="Column1009"/>
    <tableColumn id="1015" xr3:uid="{1755D4D6-9F70-4425-B408-8E8BAD58858E}" name="Column1010"/>
    <tableColumn id="1016" xr3:uid="{E3F5A354-F67C-4128-BF56-AB17E510628F}" name="Column1011"/>
    <tableColumn id="1017" xr3:uid="{1071B71F-2854-40E3-8ED5-8829031AD9F6}" name="Column1012"/>
    <tableColumn id="1018" xr3:uid="{0F19D84E-4CCB-4B89-8B84-55F6026401A0}" name="Column1013"/>
    <tableColumn id="1019" xr3:uid="{DA438F5E-4A84-4893-94FF-6197E26A41AB}" name="Column1014"/>
    <tableColumn id="1020" xr3:uid="{2FACB925-3684-4B66-993C-75506E510891}" name="Column1015"/>
    <tableColumn id="1021" xr3:uid="{F12DB401-072C-4566-BD72-466474F44611}" name="Column1016"/>
    <tableColumn id="1022" xr3:uid="{D1DF3F44-9366-4B08-8A05-700F320C3CA7}" name="Column1017"/>
    <tableColumn id="1023" xr3:uid="{34AAE7BE-3B4C-4B2C-B0E6-8C8C47794FBB}" name="Column1018"/>
    <tableColumn id="1024" xr3:uid="{E8036C8A-5E50-42B3-853A-DA8336B81516}" name="Column1019"/>
    <tableColumn id="1025" xr3:uid="{245A7FE2-01F3-4AB4-A104-203215FE1A90}" name="Column1020"/>
    <tableColumn id="1026" xr3:uid="{E9300120-EC88-47F9-A6C7-22FF24E3FFBB}" name="Column1021"/>
    <tableColumn id="1027" xr3:uid="{DC52A547-B98C-4FAA-BC8A-0B5F8E08EA42}" name="Column1022"/>
    <tableColumn id="1028" xr3:uid="{FCC3A486-C9D0-40BE-8251-BFE85845F3A1}" name="Column1023"/>
    <tableColumn id="1029" xr3:uid="{A5A44F02-0EF7-41C5-B153-BBE4DA5D08C7}" name="Column1024"/>
    <tableColumn id="1030" xr3:uid="{4FAEE262-E201-4EAA-9CD5-0E177036E60E}" name="Column1025"/>
    <tableColumn id="1031" xr3:uid="{9EAEE880-C660-446F-9FAE-FB292E22CFBF}" name="Column1026"/>
    <tableColumn id="1032" xr3:uid="{022F92BA-EA62-4358-A95D-BC1D066D7661}" name="Column1027"/>
    <tableColumn id="1033" xr3:uid="{0FCF585A-8A72-4F10-92E7-B5A468A6879D}" name="Column1028"/>
    <tableColumn id="1034" xr3:uid="{90BAB439-A908-45CF-9D80-C8F9EE37A4E6}" name="Column1029"/>
    <tableColumn id="1035" xr3:uid="{1BD32BD9-8A56-4E74-A77A-33DFC4805E52}" name="Column1030"/>
    <tableColumn id="1036" xr3:uid="{FED7D716-49CC-435A-9AEF-CE79E217AD3C}" name="Column1031"/>
    <tableColumn id="1037" xr3:uid="{AF08A0AC-EF3C-4370-B79C-EAC615D1E9EE}" name="Column1032"/>
    <tableColumn id="1038" xr3:uid="{B295996B-E3CA-4C9C-B60E-57C886A48CED}" name="Column1033"/>
    <tableColumn id="1039" xr3:uid="{6495D3FD-AC84-4165-8204-118C94A39E12}" name="Column1034"/>
    <tableColumn id="1040" xr3:uid="{026BAE66-A0F2-4B36-BDA1-B25652181BE8}" name="Column1035"/>
    <tableColumn id="1041" xr3:uid="{9F0834A2-B2F5-4C43-B0AD-3276B70C75E9}" name="Column1036"/>
    <tableColumn id="1042" xr3:uid="{305CB028-C77C-4AAF-8CB9-8A46A0F9041E}" name="Column1037"/>
    <tableColumn id="1043" xr3:uid="{EF70A455-E981-461F-AF02-A58E0FA8E734}" name="Column1038"/>
    <tableColumn id="1044" xr3:uid="{536E3826-988C-44A7-AAB0-02DAEDCD8C00}" name="Column1039"/>
    <tableColumn id="1045" xr3:uid="{37BA5A9E-4B98-42BD-96E7-D40E4CD9EF11}" name="Column1040"/>
    <tableColumn id="1046" xr3:uid="{76B2174F-A084-46E6-9686-F435B55015F0}" name="Column1041"/>
    <tableColumn id="1047" xr3:uid="{946E6F28-C945-44D8-9716-FE5CBEC01CDE}" name="Column1042"/>
    <tableColumn id="1048" xr3:uid="{111F860F-B73C-4ACB-8196-5877466F5ADD}" name="Column1043"/>
    <tableColumn id="1049" xr3:uid="{9B3FEF56-4331-45CD-9131-11482D74646F}" name="Column1044"/>
    <tableColumn id="1050" xr3:uid="{60FAC9AD-2330-429E-9740-B259577CBB63}" name="Column1045"/>
    <tableColumn id="1051" xr3:uid="{3693626A-CB0F-4E0B-8EE5-6F064B03E6BF}" name="Column1046"/>
    <tableColumn id="1052" xr3:uid="{0A5F89AF-3512-4AE4-ADC1-70839AE7064B}" name="Column1047"/>
    <tableColumn id="1053" xr3:uid="{979CE685-3AD3-4826-AD02-7D29D88785D4}" name="Column1048"/>
    <tableColumn id="1054" xr3:uid="{63E829DB-3090-4C2B-A6D9-042D580CEFD5}" name="Column1049"/>
    <tableColumn id="1055" xr3:uid="{C94D9F0B-F115-4148-9D12-6039606F709A}" name="Column1050"/>
    <tableColumn id="1056" xr3:uid="{0F309040-1CE0-471C-A910-0A0672A4AB98}" name="Column1051"/>
    <tableColumn id="1057" xr3:uid="{A9D265C2-F144-4D3B-A7EB-AEF2D8DD7AA3}" name="Column1052"/>
    <tableColumn id="1058" xr3:uid="{9530A93B-39E6-4962-8EA1-813A90E8C070}" name="Column1053"/>
    <tableColumn id="1059" xr3:uid="{526FF02B-CB60-4BB6-AB0B-4C64AE71C7E1}" name="Column1054"/>
    <tableColumn id="1060" xr3:uid="{0F8039ED-E901-4D84-B647-206B071C9611}" name="Column1055"/>
    <tableColumn id="1061" xr3:uid="{B2BD6226-CD5C-477F-874D-8A9A273E22A6}" name="Column1056"/>
    <tableColumn id="1062" xr3:uid="{FE06DBFB-7D5F-49E5-B5AE-FE40CEEADAFE}" name="Column1057"/>
    <tableColumn id="1063" xr3:uid="{063E5E0E-2FE1-4446-B912-19AE8437D075}" name="Column1058"/>
    <tableColumn id="1064" xr3:uid="{0F9B9ECF-6C14-491F-B48D-436A469F7641}" name="Column1059"/>
    <tableColumn id="1065" xr3:uid="{C5973F2F-113A-43E9-A0E9-508A4A872ADE}" name="Column1060"/>
    <tableColumn id="1066" xr3:uid="{CD43F08D-E349-4A67-911E-BE5ACF687780}" name="Column1061"/>
    <tableColumn id="1067" xr3:uid="{B937E1E9-78D6-42A0-B004-C10F54D5985D}" name="Column1062"/>
    <tableColumn id="1068" xr3:uid="{3442AA08-11F6-48EB-AA09-2CAE46D9E9E1}" name="Column1063"/>
    <tableColumn id="1069" xr3:uid="{EA24A43C-D7A6-4E1E-A645-FB8983F6AECD}" name="Column1064"/>
    <tableColumn id="1070" xr3:uid="{4F048736-5A4A-4D88-BACE-EE13E4E874D1}" name="Column1065"/>
    <tableColumn id="1071" xr3:uid="{D3E9F3F8-27F5-4286-8B2E-49F7AE17FD5C}" name="Column1066"/>
    <tableColumn id="1072" xr3:uid="{9E1AF679-7012-4887-A101-71A4AF42C14F}" name="Column1067"/>
    <tableColumn id="1073" xr3:uid="{D27EAB28-D7F0-4916-93CB-7B49CF1B0692}" name="Column1068"/>
    <tableColumn id="1074" xr3:uid="{DAC3887C-0A27-42CE-A339-2AAA6BBBF079}" name="Column1069"/>
    <tableColumn id="1075" xr3:uid="{6A16D772-6258-4F4F-B8DF-DEEF9E35F5DB}" name="Column1070"/>
    <tableColumn id="1076" xr3:uid="{FF9E6A88-883B-47D7-AA5D-ED80393AA81B}" name="Column1071"/>
    <tableColumn id="1077" xr3:uid="{9E31475A-C5B9-4786-86B9-7B74AD6D6AF8}" name="Column1072"/>
    <tableColumn id="1078" xr3:uid="{0B4470FA-6311-41D2-8691-3C0309E06DEA}" name="Column1073"/>
    <tableColumn id="1079" xr3:uid="{3C789072-8149-4BC9-AF11-04277338BB78}" name="Column1074"/>
    <tableColumn id="1080" xr3:uid="{BE0425A4-1F22-490C-AAA9-DF309F33EC81}" name="Column1075"/>
    <tableColumn id="1081" xr3:uid="{99266C98-1CBF-4486-A5EC-F12333F7369F}" name="Column1076"/>
    <tableColumn id="1082" xr3:uid="{CB596D22-A56B-4B4F-A813-83ECCCE14E71}" name="Column1077"/>
    <tableColumn id="1083" xr3:uid="{A0B874D6-09DD-4A80-9BE6-A690F03EAEED}" name="Column1078"/>
    <tableColumn id="1084" xr3:uid="{605B36BC-1376-45F4-AF07-E83AED5B3F77}" name="Column1079"/>
    <tableColumn id="1085" xr3:uid="{76DBD79C-9A4C-45C6-A5B1-E811619A6008}" name="Column1080"/>
    <tableColumn id="1086" xr3:uid="{4B495D80-A8A7-45E0-B896-99CDA1804411}" name="Column1081"/>
    <tableColumn id="1087" xr3:uid="{59CC9EE9-39B7-4F3F-9D07-196239284FF5}" name="Column1082"/>
    <tableColumn id="1088" xr3:uid="{9BC76542-CFB9-4D80-A32F-B302CCC5E77F}" name="Column1083"/>
    <tableColumn id="1089" xr3:uid="{51D65E5A-E63D-45FD-8EBD-6CE69F353C4E}" name="Column1084"/>
    <tableColumn id="1090" xr3:uid="{6032DCA7-9196-4B11-9A31-952259E43D7D}" name="Column1085"/>
    <tableColumn id="1091" xr3:uid="{5CC55A22-2FEF-4EBD-9122-C247B3AB868F}" name="Column1086"/>
    <tableColumn id="1092" xr3:uid="{B581A768-533C-4F00-996D-F68EAFE8A118}" name="Column1087"/>
    <tableColumn id="1093" xr3:uid="{AAEC0D6B-4ACF-4A7B-AE36-2839C32A8747}" name="Column1088"/>
    <tableColumn id="1094" xr3:uid="{2DB83937-D40C-44ED-8006-0A12649B7F07}" name="Column1089"/>
    <tableColumn id="1095" xr3:uid="{68A08F8B-E23E-4BBD-907D-D10E1F38B303}" name="Column1090"/>
    <tableColumn id="1096" xr3:uid="{45ECD2C0-8A51-4F4A-8DF0-D44BE8E393DE}" name="Column1091"/>
    <tableColumn id="1097" xr3:uid="{74CDCC47-AF73-400A-B44F-93EC5EB34279}" name="Column1092"/>
    <tableColumn id="1098" xr3:uid="{728159D1-404A-411F-9902-8E8D02510077}" name="Column1093"/>
    <tableColumn id="1099" xr3:uid="{14866618-E0B9-4B3C-AFCB-C854853F3C71}" name="Column1094"/>
    <tableColumn id="1100" xr3:uid="{D6F2C725-FF14-4EDA-A533-E77D4C845D55}" name="Column1095"/>
    <tableColumn id="1101" xr3:uid="{EE96723C-1401-4B19-8C87-E4C124302AEA}" name="Column1096"/>
    <tableColumn id="1102" xr3:uid="{2EABD5B3-9CD7-42E4-BEFA-A3D43DFAE21B}" name="Column1097"/>
    <tableColumn id="1103" xr3:uid="{3FCF455B-ED33-478A-841B-F627AFA671F9}" name="Column1098"/>
    <tableColumn id="1104" xr3:uid="{DE3FC8DC-E143-4DC5-BC83-F6B88EFC638F}" name="Column1099"/>
    <tableColumn id="1105" xr3:uid="{B4ED950D-3240-481E-8C94-4EAE8F280B8C}" name="Column1100"/>
    <tableColumn id="1106" xr3:uid="{2060F70A-63C8-4243-97AF-75DBAF355415}" name="Column1101"/>
    <tableColumn id="1107" xr3:uid="{67ECCFC5-FE80-4CDE-93CA-870087EE7194}" name="Column1102"/>
    <tableColumn id="1108" xr3:uid="{76BC7C6E-FDF9-4E80-AA18-F38383C23E32}" name="Column1103"/>
    <tableColumn id="1109" xr3:uid="{7164DE4C-834C-4538-8F52-391AB708A4BC}" name="Column1104"/>
    <tableColumn id="1110" xr3:uid="{B71C3F57-4A26-4EE2-9FFA-FDC37E531BA8}" name="Column1105"/>
    <tableColumn id="1111" xr3:uid="{93D0BE45-D73C-4483-BE49-C5D8E4711FEA}" name="Column1106"/>
    <tableColumn id="1112" xr3:uid="{4B306926-D1CB-4C9B-966F-CB6D591B26ED}" name="Column1107"/>
    <tableColumn id="1113" xr3:uid="{F61B5669-0C73-46CD-B1E9-77805B89F37D}" name="Column1108"/>
    <tableColumn id="1114" xr3:uid="{3AE96859-EF80-4606-8B8C-8EC74FBF4EE8}" name="Column1109"/>
    <tableColumn id="1115" xr3:uid="{7B9AAB05-164B-4CDB-964E-F0E9CE2C3FE7}" name="Column1110"/>
    <tableColumn id="1116" xr3:uid="{2CA13967-4DEB-412D-B37F-B32DD90EA73C}" name="Column1111"/>
    <tableColumn id="1117" xr3:uid="{4B19AE7F-840E-462D-9DF8-B42B1C7C7FF6}" name="Column1112"/>
    <tableColumn id="1118" xr3:uid="{AF4A6F23-8D7D-4C24-9777-ABB268A1C899}" name="Column1113"/>
    <tableColumn id="1119" xr3:uid="{113E628C-9BE6-47C6-B230-5550DE9231D8}" name="Column1114"/>
    <tableColumn id="1120" xr3:uid="{A57D8EC3-2615-4841-BC05-0340A97D18B8}" name="Column1115"/>
    <tableColumn id="1121" xr3:uid="{F81A5E15-3E85-48E0-B6F8-A2ED24F45CCB}" name="Column1116"/>
    <tableColumn id="1122" xr3:uid="{8B6EE438-3A38-469E-A684-A898FD83AA61}" name="Column1117"/>
    <tableColumn id="1123" xr3:uid="{FAED3881-5ADE-439D-B4BF-8D4BD3788F20}" name="Column1118"/>
    <tableColumn id="1124" xr3:uid="{BA35EBBA-E6D2-4F76-956E-A91FDEA3B2B4}" name="Column1119"/>
    <tableColumn id="1125" xr3:uid="{FE5068B6-885B-47C1-BF8D-75EDBAEA9D08}" name="Column1120"/>
    <tableColumn id="1126" xr3:uid="{61B51C7C-9270-4558-BC6A-12CB45B80995}" name="Column1121"/>
    <tableColumn id="1127" xr3:uid="{5750D626-E0DE-4837-A879-A8106A3EA289}" name="Column1122"/>
    <tableColumn id="1128" xr3:uid="{8E95CD69-EDCF-4A0B-AECF-54476214F316}" name="Column1123"/>
    <tableColumn id="1129" xr3:uid="{FEA31D98-9515-418B-A3D9-6BA2F4C121F7}" name="Column1124"/>
    <tableColumn id="1130" xr3:uid="{15369E3F-4E9F-4151-9CAF-F53A6774C902}" name="Column1125"/>
    <tableColumn id="1131" xr3:uid="{B2312E84-BFA0-4C19-9FD8-1130CAEA386A}" name="Column1126"/>
    <tableColumn id="1132" xr3:uid="{5C033A26-D1BF-4621-AEC1-A955C80A0E66}" name="Column1127"/>
    <tableColumn id="1133" xr3:uid="{9213CD03-DCD4-4444-8948-EF33304B0AB9}" name="Column1128"/>
    <tableColumn id="1134" xr3:uid="{16C19815-5E2B-493B-81D7-FEA774E63EE9}" name="Column1129"/>
    <tableColumn id="1135" xr3:uid="{4EE24FF7-46AC-42C5-AAD3-B93C2BEB0492}" name="Column1130"/>
    <tableColumn id="1136" xr3:uid="{658BB053-C866-47C1-8AAC-44DE84C729C5}" name="Column1131"/>
    <tableColumn id="1137" xr3:uid="{3847F0C6-5528-492B-9B6E-BAA3A11CC20F}" name="Column1132"/>
    <tableColumn id="1138" xr3:uid="{1B6B1EED-2FD3-42A6-9622-1D6A06CC7C7B}" name="Column1133"/>
    <tableColumn id="1139" xr3:uid="{37110BA5-72E9-4D2C-94F0-0305A638CA25}" name="Column1134"/>
    <tableColumn id="1140" xr3:uid="{2BE71B40-4326-422F-A660-1D507CDB72AD}" name="Column1135"/>
    <tableColumn id="1141" xr3:uid="{65AAE682-572E-44C6-A467-CCC41A1CB65A}" name="Column1136"/>
    <tableColumn id="1142" xr3:uid="{F5AB5EF3-B77C-42FD-B02A-47B8C4A54BB5}" name="Column1137"/>
    <tableColumn id="1143" xr3:uid="{D490BFA3-6E33-4248-BC96-7C91C48225FE}" name="Column1138"/>
    <tableColumn id="1144" xr3:uid="{451F9203-75C0-4574-8035-FE3CDD5442B8}" name="Column1139"/>
    <tableColumn id="1145" xr3:uid="{803AC308-F7BE-4D88-8EE9-BED657397ABA}" name="Column1140"/>
    <tableColumn id="1146" xr3:uid="{C4E8106B-AC18-45E6-B232-7666C243717D}" name="Column1141"/>
    <tableColumn id="1147" xr3:uid="{02E945F4-18D1-4373-879E-43870ABCE4BD}" name="Column1142"/>
    <tableColumn id="1148" xr3:uid="{383E742C-B3AB-4DFD-AB37-CFD1CCDC7028}" name="Column1143"/>
    <tableColumn id="1149" xr3:uid="{0A768338-04A8-4501-AFDA-6917923005B8}" name="Column1144"/>
    <tableColumn id="1150" xr3:uid="{6F36BC0E-C5F2-4D5A-8BDF-5138F53F5FCA}" name="Column1145"/>
    <tableColumn id="1151" xr3:uid="{5DC02E4A-0FFF-45BE-BAA9-969C1EEC889D}" name="Column1146"/>
    <tableColumn id="1152" xr3:uid="{8D4CFB0D-A200-4CAF-B058-8E5F9E74C92A}" name="Column1147"/>
    <tableColumn id="1153" xr3:uid="{B51B7AA5-2DEA-495E-A1C9-525E24DD006F}" name="Column1148"/>
    <tableColumn id="1154" xr3:uid="{C5A0A47E-0FFB-4211-8E1F-C2A02FE20742}" name="Column1149"/>
    <tableColumn id="1155" xr3:uid="{D49563DC-F430-4AF0-AA5F-CA643DDD6315}" name="Column1150"/>
    <tableColumn id="1156" xr3:uid="{3C5865F5-A095-4DEE-B383-B5DE112B5FA5}" name="Column1151"/>
    <tableColumn id="1157" xr3:uid="{379F769F-415C-4E36-B22C-1A1FBC40FB06}" name="Column1152"/>
    <tableColumn id="1158" xr3:uid="{2AFB8B36-8705-41E2-8C6A-F79D8EE4DE53}" name="Column1153"/>
    <tableColumn id="1159" xr3:uid="{EC32E240-751B-429A-9B0B-84F6F8005331}" name="Column1154"/>
    <tableColumn id="1160" xr3:uid="{A982F44B-E7E6-4DE9-BEAD-C564C5364861}" name="Column1155"/>
    <tableColumn id="1161" xr3:uid="{F17BE437-6F79-46FB-8902-B3937CC0626E}" name="Column1156"/>
    <tableColumn id="1162" xr3:uid="{4051B7A3-E752-410E-A8DD-1985E9E67F41}" name="Column1157"/>
    <tableColumn id="1163" xr3:uid="{1EDF1747-5278-4F66-8798-437277CC3BF1}" name="Column1158"/>
    <tableColumn id="1164" xr3:uid="{153797F0-8AB7-4F46-8FEF-835F3F2D8BBA}" name="Column1159"/>
    <tableColumn id="1165" xr3:uid="{83FA56AE-4710-460A-A38C-BAA034DB4B72}" name="Column1160"/>
    <tableColumn id="1166" xr3:uid="{11D252BD-4174-4868-A6A0-9FF1960DD51D}" name="Column1161"/>
    <tableColumn id="1167" xr3:uid="{8079CB5D-F0BC-4543-B098-0A6082E67E5B}" name="Column1162"/>
    <tableColumn id="1168" xr3:uid="{A73BEB82-0686-4B8A-B715-83ED63BFEC04}" name="Column1163"/>
    <tableColumn id="1169" xr3:uid="{7DC6834E-216B-411D-A63E-2216F78A8FB2}" name="Column1164"/>
    <tableColumn id="1170" xr3:uid="{2AFC77A7-5F38-4829-AA7B-2AB56028F002}" name="Column1165"/>
    <tableColumn id="1171" xr3:uid="{F2256E8E-12B0-4963-9FEA-B495D8975EB0}" name="Column1166"/>
    <tableColumn id="1172" xr3:uid="{13BE0970-52B8-4987-BC9C-C50E8A3523AC}" name="Column1167"/>
    <tableColumn id="1173" xr3:uid="{7A6831B7-31F6-4189-B879-07FE2E3F51A6}" name="Column1168"/>
    <tableColumn id="1174" xr3:uid="{46EE03A6-AA1F-436A-B24A-A7961D0D328E}" name="Column1169"/>
    <tableColumn id="1175" xr3:uid="{D00AC0B6-CD48-44DD-BE67-63937A2AB391}" name="Column1170"/>
    <tableColumn id="1176" xr3:uid="{A0A5ED0F-33E4-456C-9E09-A01F1146ADC5}" name="Column1171"/>
    <tableColumn id="1177" xr3:uid="{D44647C9-D24E-4821-83FF-F4F2167D376A}" name="Column1172"/>
    <tableColumn id="1178" xr3:uid="{B6B0F64E-5BE0-406D-AE96-FE67C56684FE}" name="Column1173"/>
    <tableColumn id="1179" xr3:uid="{B316ED86-8137-4A6A-A488-67FC65349AEC}" name="Column1174"/>
    <tableColumn id="1180" xr3:uid="{FA88A955-F8AC-4960-853B-120CF757F7E0}" name="Column1175"/>
    <tableColumn id="1181" xr3:uid="{B0549634-8529-480B-AFF8-B39ADAE89EEF}" name="Column1176"/>
    <tableColumn id="1182" xr3:uid="{62034F0A-4CBC-4F8E-86A6-D6B0E4761FEF}" name="Column1177"/>
    <tableColumn id="1183" xr3:uid="{42E45F54-C729-4FA6-B971-FC914E68D916}" name="Column1178"/>
    <tableColumn id="1184" xr3:uid="{CDDBDE88-84D0-4F7E-B0FB-9EE66F695CCB}" name="Column1179"/>
    <tableColumn id="1185" xr3:uid="{AEE90362-1E9F-4C9B-AE25-100DAE825799}" name="Column1180"/>
    <tableColumn id="1186" xr3:uid="{BDEFF003-0EC1-4F2C-8367-E97752D28E5D}" name="Column1181"/>
    <tableColumn id="1187" xr3:uid="{B3EC680E-F871-46FD-A55F-35658A6E87E5}" name="Column1182"/>
    <tableColumn id="1188" xr3:uid="{D810E589-950E-45E6-8627-26F741EB0C1B}" name="Column1183"/>
    <tableColumn id="1189" xr3:uid="{00988348-FC79-4240-8AFA-F2CD7211194F}" name="Column1184"/>
    <tableColumn id="1190" xr3:uid="{3DBF4D0D-F316-4ECC-AD33-E94880467580}" name="Column1185"/>
    <tableColumn id="1191" xr3:uid="{7DC6DC07-A887-48EE-9DAC-F2C8FA835BFC}" name="Column1186"/>
    <tableColumn id="1192" xr3:uid="{6FFA54B1-9404-40B2-8441-A7ED59788704}" name="Column1187"/>
    <tableColumn id="1193" xr3:uid="{D4A3AEB5-6856-427B-817E-0AA619C45E03}" name="Column1188"/>
    <tableColumn id="1194" xr3:uid="{43B7E2A3-238A-4F77-9FEA-993A6EDB81E6}" name="Column1189"/>
    <tableColumn id="1195" xr3:uid="{D77EC9D8-105B-4652-A4E9-2069CE7647AA}" name="Column1190"/>
    <tableColumn id="1196" xr3:uid="{6569879B-E283-4C95-A4F9-6EEDE2AF1194}" name="Column1191"/>
    <tableColumn id="1197" xr3:uid="{EF5FB6FD-82AE-4A3B-877C-BC99B33F617D}" name="Column1192"/>
    <tableColumn id="1198" xr3:uid="{85E58BE2-70AF-4585-B436-545765388052}" name="Column1193"/>
    <tableColumn id="1199" xr3:uid="{36CF1DE6-C53F-4A85-BE19-3C9AF8D65AE4}" name="Column1194"/>
    <tableColumn id="1200" xr3:uid="{1DD44D25-C2B9-44BB-A01B-45D8C6F33B4F}" name="Column1195"/>
    <tableColumn id="1201" xr3:uid="{9D8837B7-6256-4E0D-A6F1-5A55877E50B2}" name="Column1196"/>
    <tableColumn id="1202" xr3:uid="{5C95239E-6C9B-4689-9C4C-1C51317E3D02}" name="Column1197"/>
    <tableColumn id="1203" xr3:uid="{8535008E-6ED5-4BA0-8315-8306F83115E1}" name="Column1198"/>
    <tableColumn id="1204" xr3:uid="{2CC9046E-A018-49DA-9D34-778F9A71BBC2}" name="Column1199"/>
    <tableColumn id="1205" xr3:uid="{ECD95E77-8C98-4F28-9E08-2E173360FA24}" name="Column1200"/>
    <tableColumn id="1206" xr3:uid="{BD59BB88-6DCA-4A2F-834B-5439B061D270}" name="Column1201"/>
    <tableColumn id="1207" xr3:uid="{E5517E99-E49E-473E-8DFE-C7D8E34D33E6}" name="Column1202"/>
    <tableColumn id="1208" xr3:uid="{84C36BCE-79C0-4B42-A218-3A117E9CE8BD}" name="Column1203"/>
    <tableColumn id="1209" xr3:uid="{3D72F082-4A75-41C4-831C-E937D4D9BB96}" name="Column1204"/>
    <tableColumn id="1210" xr3:uid="{A781F891-385E-4EFD-8102-974068F6DE00}" name="Column1205"/>
    <tableColumn id="1211" xr3:uid="{378A9E2A-EAEF-4286-8967-B60986310BA2}" name="Column1206"/>
    <tableColumn id="1212" xr3:uid="{FFB1AEEC-A2EC-4A94-AA07-C6BBBC91B71B}" name="Column1207"/>
    <tableColumn id="1213" xr3:uid="{3A425C5F-EA04-47D6-BCD7-619BA63F332E}" name="Column1208"/>
    <tableColumn id="1214" xr3:uid="{5B8F68F5-C044-4CA5-8438-7DCDC4EA2FDE}" name="Column1209"/>
    <tableColumn id="1215" xr3:uid="{AD887038-D300-4C68-A93A-57E8CDA1294A}" name="Column1210"/>
    <tableColumn id="1216" xr3:uid="{D36E7363-A379-4A41-8A39-29AC10C88E27}" name="Column1211"/>
    <tableColumn id="1217" xr3:uid="{54DEA430-C99B-450C-A6D0-61A25E3AF4F2}" name="Column1212"/>
    <tableColumn id="1218" xr3:uid="{C83440C9-512D-436E-82E5-C15E1CE06926}" name="Column1213"/>
    <tableColumn id="1219" xr3:uid="{91B982AC-0E7B-406A-A713-BC49B5E33AEB}" name="Column1214"/>
    <tableColumn id="1220" xr3:uid="{9BC3C928-C035-45BB-808D-B4871EE8121E}" name="Column1215"/>
    <tableColumn id="1221" xr3:uid="{A7DCA0C5-9788-4505-BAFD-4BC6C9BDC442}" name="Column1216"/>
    <tableColumn id="1222" xr3:uid="{83759BA0-AEB1-4472-A51D-927A58BF6FD3}" name="Column1217"/>
    <tableColumn id="1223" xr3:uid="{C85E0622-8B7D-4949-B510-7907A141FDEE}" name="Column1218"/>
    <tableColumn id="1224" xr3:uid="{B8F24042-1855-4343-91BE-09F92A9D5986}" name="Column1219"/>
    <tableColumn id="1225" xr3:uid="{10BD78DA-42DB-4611-B6DB-48F4B9D6BDB4}" name="Column1220"/>
    <tableColumn id="1226" xr3:uid="{B0454C93-731A-48CD-80F9-485FBFF85064}" name="Column1221"/>
    <tableColumn id="1227" xr3:uid="{C00E9AD8-D83E-4A0A-B59E-B9C5C24C59D1}" name="Column1222"/>
    <tableColumn id="1228" xr3:uid="{800F0F29-C0C7-4F51-A6AB-B91CD050045F}" name="Column1223"/>
    <tableColumn id="1229" xr3:uid="{992B90A2-7B85-4C01-8940-F7DE69CB2B7F}" name="Column1224"/>
    <tableColumn id="1230" xr3:uid="{9788F00C-4280-4EF0-B1DB-35EB0D3E60D5}" name="Column1225"/>
    <tableColumn id="1231" xr3:uid="{FD58CA32-A802-46C3-B06A-11017C1FA23D}" name="Column1226"/>
    <tableColumn id="1232" xr3:uid="{26615523-79CD-4E2A-82A3-28361AC3CDA7}" name="Column1227"/>
    <tableColumn id="1233" xr3:uid="{EADB9A1F-98E6-4010-9DE5-DC386D480687}" name="Column1228"/>
    <tableColumn id="1234" xr3:uid="{1F1677E7-4D75-413B-A028-CC08CDB5F850}" name="Column1229"/>
    <tableColumn id="1235" xr3:uid="{BFA77A7A-C6AD-4C64-BE7B-25C48CED4151}" name="Column1230"/>
    <tableColumn id="1236" xr3:uid="{19A23387-B340-48AB-8321-A501C17DB931}" name="Column1231"/>
    <tableColumn id="1237" xr3:uid="{BEF95F45-E7B0-4D40-BED0-BDEA3BAAA636}" name="Column1232"/>
    <tableColumn id="1238" xr3:uid="{B49B598B-57C0-4367-B914-43DEABC07F14}" name="Column1233"/>
    <tableColumn id="1239" xr3:uid="{A3A85483-E916-43F3-AE35-30A096C23A2F}" name="Column1234"/>
    <tableColumn id="1240" xr3:uid="{4A118B27-55B0-47FD-A797-7F66F864EDA8}" name="Column1235"/>
    <tableColumn id="1241" xr3:uid="{F4D0484A-A77C-4817-9125-B10A5786A422}" name="Column1236"/>
    <tableColumn id="1242" xr3:uid="{D65A2887-A567-4587-8B46-D3BE9BB60FF5}" name="Column1237"/>
    <tableColumn id="1243" xr3:uid="{52843B82-13DB-4689-9A5C-05BBF987B8DA}" name="Column1238"/>
    <tableColumn id="1244" xr3:uid="{1F21BDEC-F64B-4484-9DBA-4824BB477E7D}" name="Column1239"/>
    <tableColumn id="1245" xr3:uid="{3CE44EE0-126A-408C-9518-7B69B7A0208B}" name="Column1240"/>
    <tableColumn id="1246" xr3:uid="{E65DEFC6-9235-4754-80EC-3E4A88FEB941}" name="Column1241"/>
    <tableColumn id="1247" xr3:uid="{7ED24932-FDAC-4B55-8CE5-E6596807CDF6}" name="Column1242"/>
    <tableColumn id="1248" xr3:uid="{2BDE3B75-2566-4F1F-B093-2FDEF552AC32}" name="Column1243"/>
    <tableColumn id="1249" xr3:uid="{72E2C3AF-FCED-4F7A-AACA-E566BF5BDAD2}" name="Column1244"/>
    <tableColumn id="1250" xr3:uid="{E360A776-83DB-4E52-88F7-14E43DCB4A6C}" name="Column1245"/>
    <tableColumn id="1251" xr3:uid="{15A65A56-B81B-4DBC-8A8F-1FD77473E9B0}" name="Column1246"/>
    <tableColumn id="1252" xr3:uid="{03949003-2C09-4AE3-ABCE-3E803F875F31}" name="Column1247"/>
    <tableColumn id="1253" xr3:uid="{B5DDCF87-0B81-4A5A-876D-F203A16A6C5C}" name="Column1248"/>
    <tableColumn id="1254" xr3:uid="{A7423F1B-4099-4685-95B5-6E33A93BE9DD}" name="Column1249"/>
    <tableColumn id="1255" xr3:uid="{6DBFA68F-6B4F-4779-9919-0E81FC56282B}" name="Column1250"/>
    <tableColumn id="1256" xr3:uid="{5680BECC-9F49-487C-866D-80E66EF984BC}" name="Column1251"/>
    <tableColumn id="1257" xr3:uid="{13622EAE-0540-4699-9FC5-32906E86CEFD}" name="Column1252"/>
    <tableColumn id="1258" xr3:uid="{643AF39A-6C1E-4139-A8EE-3C75D236B287}" name="Column1253"/>
    <tableColumn id="1259" xr3:uid="{89D40E33-F145-4D76-A4CB-0839DEDC566F}" name="Column1254"/>
    <tableColumn id="1260" xr3:uid="{D5FBE831-8888-4AE0-B672-65BC9F8A50B4}" name="Column1255"/>
    <tableColumn id="1261" xr3:uid="{E264124E-9C25-4266-B1C1-D63B324B7811}" name="Column1256"/>
    <tableColumn id="1262" xr3:uid="{D9088243-5DF9-49F8-B4F0-39BB424DF9EB}" name="Column1257"/>
    <tableColumn id="1263" xr3:uid="{30AF0E72-534B-4740-BECC-3C25E42652F8}" name="Column1258"/>
    <tableColumn id="1264" xr3:uid="{23B6590E-6274-4B1F-8D57-70AFD4AEA9D5}" name="Column1259"/>
    <tableColumn id="1265" xr3:uid="{327E8BDF-CE2B-46D8-ABE9-800C7DD98B0D}" name="Column1260"/>
    <tableColumn id="1266" xr3:uid="{B6760106-2E93-43D9-A9B4-421D9EA61294}" name="Column1261"/>
    <tableColumn id="1267" xr3:uid="{DD81DC28-2733-4D8F-830F-44BD1C736D86}" name="Column1262"/>
    <tableColumn id="1268" xr3:uid="{8580DEF7-74D9-4910-AE13-B9C9866229D1}" name="Column1263"/>
    <tableColumn id="1269" xr3:uid="{2E851587-2952-4D7D-89EC-A34951C9556C}" name="Column1264"/>
    <tableColumn id="1270" xr3:uid="{8DFED303-8D91-4085-891C-C74936C5265F}" name="Column1265"/>
    <tableColumn id="1271" xr3:uid="{1E573FE6-A98B-4E25-B617-D5CE76EFE47F}" name="Column1266"/>
    <tableColumn id="1272" xr3:uid="{8FEA61FF-2FC4-4B35-A2BC-29D6FA63E2E3}" name="Column1267"/>
    <tableColumn id="1273" xr3:uid="{0B01013F-7A47-4529-962E-8082B1ED7682}" name="Column1268"/>
    <tableColumn id="1274" xr3:uid="{64F63141-3CCB-4F31-A4BF-BBD24E778588}" name="Column1269"/>
    <tableColumn id="1275" xr3:uid="{92683100-9298-4A51-8831-C112F4F40F58}" name="Column1270"/>
    <tableColumn id="1276" xr3:uid="{CACEC490-CE8A-43BB-875E-7C4EB63E8A21}" name="Column1271"/>
    <tableColumn id="1277" xr3:uid="{5253979E-D89B-4FB5-BCCA-59C090D548AC}" name="Column1272"/>
    <tableColumn id="1278" xr3:uid="{FB85D290-106D-4680-86E1-EE4791407042}" name="Column1273"/>
    <tableColumn id="1279" xr3:uid="{C8F5DCD5-ED78-43C4-BFE8-97C38903BECE}" name="Column1274"/>
    <tableColumn id="1280" xr3:uid="{2E491D8E-474F-4154-9F39-376DE1CDB608}" name="Column1275"/>
    <tableColumn id="1281" xr3:uid="{B45A3C01-2169-47BC-9376-E0E301E9A688}" name="Column1276"/>
    <tableColumn id="1282" xr3:uid="{E564DC58-CBF8-4585-B4EE-A0D2CD1F92AC}" name="Column1277"/>
    <tableColumn id="1283" xr3:uid="{D74BB4A8-421E-4959-A8A0-84CE2814CA37}" name="Column1278"/>
    <tableColumn id="1284" xr3:uid="{33EF72B5-195A-45BE-8474-0E75C40CF24A}" name="Column1279"/>
    <tableColumn id="1285" xr3:uid="{6E5CE069-01EB-4950-A994-5421EA55266C}" name="Column1280"/>
    <tableColumn id="1286" xr3:uid="{9054589E-8952-43BD-AB18-519FA0F02377}" name="Column1281"/>
    <tableColumn id="1287" xr3:uid="{8E996835-F15E-41DC-9ACB-C8981FCCDDD7}" name="Column1282"/>
    <tableColumn id="1288" xr3:uid="{038E3C41-106D-40AE-A006-563A8EFADE0D}" name="Column1283"/>
    <tableColumn id="1289" xr3:uid="{23F9DB1C-70CA-4E86-9DF2-EC5C506A3F5A}" name="Column1284"/>
    <tableColumn id="1290" xr3:uid="{F8361C6D-F348-4205-B99E-3BD7CAF71D9D}" name="Column1285"/>
    <tableColumn id="1291" xr3:uid="{2738B4B3-DBCC-4D27-B9CB-D563EDF024B4}" name="Column1286"/>
    <tableColumn id="1292" xr3:uid="{F007E266-E070-4710-8C5B-66CA907D93EF}" name="Column1287"/>
    <tableColumn id="1293" xr3:uid="{CA673F74-D17E-4B97-8807-CBF3E15AB257}" name="Column1288"/>
    <tableColumn id="1294" xr3:uid="{62A865F0-42B3-401A-947A-78BFD6A663A7}" name="Column1289"/>
    <tableColumn id="1295" xr3:uid="{4BB564D8-79FE-41DE-9A58-C43A261D2FA7}" name="Column1290"/>
    <tableColumn id="1296" xr3:uid="{5C4B4F6F-BD4D-43ED-A5C7-D1B8B10159C1}" name="Column1291"/>
    <tableColumn id="1297" xr3:uid="{CEE251B5-1E17-47E1-A9C9-142C2E68F379}" name="Column1292"/>
    <tableColumn id="1298" xr3:uid="{26995C4A-6F04-43FF-B2C3-8847976D7444}" name="Column1293"/>
    <tableColumn id="1299" xr3:uid="{540F19E3-3FAF-40EA-98D7-7E59F9496480}" name="Column1294"/>
    <tableColumn id="1300" xr3:uid="{99BB4C00-22AB-4816-BD84-967798F21BE3}" name="Column1295"/>
    <tableColumn id="1301" xr3:uid="{3366772C-11F5-465B-93EC-9C391906A394}" name="Column1296"/>
    <tableColumn id="1302" xr3:uid="{E0BEE256-A45F-45E2-81F5-03E11C6879E5}" name="Column1297"/>
    <tableColumn id="1303" xr3:uid="{F2700428-AD6F-47B6-A105-FFECC894ADE1}" name="Column1298"/>
    <tableColumn id="1304" xr3:uid="{32296C99-60FF-4E8B-8885-13E221E079CA}" name="Column1299"/>
    <tableColumn id="1305" xr3:uid="{2A0F53BD-421E-4E94-AD1E-7BDBD0CEFB56}" name="Column1300"/>
    <tableColumn id="1306" xr3:uid="{B59F3C9C-3144-465D-A528-7CC2E58B828A}" name="Column1301"/>
    <tableColumn id="1307" xr3:uid="{2FB00E3C-9756-4A6D-BF9D-178D62C558BC}" name="Column1302"/>
    <tableColumn id="1308" xr3:uid="{7096E259-1B24-4315-9967-BCF53DADC32C}" name="Column1303"/>
    <tableColumn id="1309" xr3:uid="{0AFE4CBA-B400-44B8-BBFC-9A0298E6FC2A}" name="Column1304"/>
    <tableColumn id="1310" xr3:uid="{99F92551-FE61-4E28-9F0C-E4C62086E946}" name="Column1305"/>
    <tableColumn id="1311" xr3:uid="{EE424243-9B79-4A15-89CC-F804AAEF74A3}" name="Column1306"/>
    <tableColumn id="1312" xr3:uid="{CA9C7DDB-DAAB-4EC5-B4FF-4A5AD26E553F}" name="Column1307"/>
    <tableColumn id="1313" xr3:uid="{ECA7F8BD-2D7F-448C-BC14-DCE256201BF6}" name="Column1308"/>
    <tableColumn id="1314" xr3:uid="{D00FE6BE-2731-4B56-AEFE-0A9EE3970B74}" name="Column1309"/>
    <tableColumn id="1315" xr3:uid="{3B670756-989B-40BA-B620-0D843C301739}" name="Column1310"/>
    <tableColumn id="1316" xr3:uid="{FF793625-E522-415A-AC53-5A7A673FB72E}" name="Column1311"/>
    <tableColumn id="1317" xr3:uid="{34C26959-83F1-4168-8C85-21F833A50591}" name="Column1312"/>
    <tableColumn id="1318" xr3:uid="{32A9BFC6-1CC4-4B5A-9045-D690E661D430}" name="Column1313"/>
    <tableColumn id="1319" xr3:uid="{771EFF68-A1AC-4D35-BD69-57AD9B2C8D69}" name="Column1314"/>
    <tableColumn id="1320" xr3:uid="{9BC21372-7F10-4EC7-A9B9-EA6571FD84E1}" name="Column1315"/>
    <tableColumn id="1321" xr3:uid="{1FA224DC-B980-471C-BD1C-BEBCB4A7269E}" name="Column1316"/>
    <tableColumn id="1322" xr3:uid="{F76BB1C0-274D-433B-852E-8CEA7340E614}" name="Column1317"/>
    <tableColumn id="1323" xr3:uid="{5C5BE0BC-617D-4A0A-A315-B7E60071CAC9}" name="Column1318"/>
    <tableColumn id="1324" xr3:uid="{7AB8A7A4-955D-4A3B-BB0A-A9E2946C79FA}" name="Column1319"/>
    <tableColumn id="1325" xr3:uid="{AC14E609-E404-414B-8D8E-5BE2356CE92E}" name="Column1320"/>
    <tableColumn id="1326" xr3:uid="{AAA089A2-7394-46C3-AD9E-8A7D3E59E37F}" name="Column1321"/>
    <tableColumn id="1327" xr3:uid="{30BCFC9B-D19A-4B8A-9AF3-89869F5E5198}" name="Column1322"/>
    <tableColumn id="1328" xr3:uid="{A4F9C8BF-27BD-4914-9AE9-9B35591019E0}" name="Column1323"/>
    <tableColumn id="1329" xr3:uid="{C7511120-7864-4AFA-A5D2-3ACDD883B4F9}" name="Column1324"/>
    <tableColumn id="1330" xr3:uid="{3150EDB8-EBA1-46A7-BEA3-6BF564BA8ED7}" name="Column1325"/>
    <tableColumn id="1331" xr3:uid="{F0EF7173-899A-4EFD-9ECC-306949DECD12}" name="Column1326"/>
    <tableColumn id="1332" xr3:uid="{AD4E6EBA-A265-44A9-930D-E539CE3881DC}" name="Column1327"/>
    <tableColumn id="1333" xr3:uid="{843BA783-92BB-42A1-8E2D-F081698D5FDE}" name="Column1328"/>
    <tableColumn id="1334" xr3:uid="{559294E4-C6E4-4589-808F-B5211FE2961A}" name="Column1329"/>
    <tableColumn id="1335" xr3:uid="{13FA5D45-BDCE-4106-B334-EC9EA1203834}" name="Column1330"/>
    <tableColumn id="1336" xr3:uid="{B2BF6DDD-FE4A-4A54-9012-E98D30402CC1}" name="Column1331"/>
    <tableColumn id="1337" xr3:uid="{ACB42358-CBF9-4D97-8E02-561931C13EA0}" name="Column1332"/>
    <tableColumn id="1338" xr3:uid="{A8B72F8A-9C47-4207-BB74-F4DC3BB3A078}" name="Column1333"/>
    <tableColumn id="1339" xr3:uid="{ED623D0F-F194-4405-84AE-B947FD2C35A0}" name="Column1334"/>
    <tableColumn id="1340" xr3:uid="{7CA8157B-CE77-4848-8601-D6C5F7A44CE4}" name="Column1335"/>
    <tableColumn id="1341" xr3:uid="{DA2CD0E5-BC36-45A1-9FA1-F2DE17317554}" name="Column1336"/>
    <tableColumn id="1342" xr3:uid="{9F31E36E-C8B6-4FB6-8D77-FB605797397F}" name="Column1337"/>
    <tableColumn id="1343" xr3:uid="{E3584F52-C370-472D-BF56-F968DDD53CFE}" name="Column1338"/>
    <tableColumn id="1344" xr3:uid="{78CE918C-28D3-48E7-B684-06705BD6B60B}" name="Column1339"/>
    <tableColumn id="1345" xr3:uid="{173D125D-D087-4F2F-A3F9-78D8B86BF07A}" name="Column1340"/>
    <tableColumn id="1346" xr3:uid="{1CC867E8-7691-40AE-98DA-611C758BCCF7}" name="Column1341"/>
    <tableColumn id="1347" xr3:uid="{A1B641D8-6589-4D8B-BD77-6229962AD664}" name="Column1342"/>
    <tableColumn id="1348" xr3:uid="{6E4B981A-7ABB-4CC0-B09D-1BC127DD6766}" name="Column1343"/>
    <tableColumn id="1349" xr3:uid="{4E79D967-BB97-4D5B-B18C-66E95361CAB3}" name="Column1344"/>
    <tableColumn id="1350" xr3:uid="{FC2771FC-7B42-41C1-A679-A930D9BF9F54}" name="Column1345"/>
    <tableColumn id="1351" xr3:uid="{FABEE1A4-9DDD-402B-8A2E-122C09F4C5CE}" name="Column1346"/>
    <tableColumn id="1352" xr3:uid="{16CD2A3D-656C-4D54-9F1D-E67FE8C0215E}" name="Column1347"/>
    <tableColumn id="1353" xr3:uid="{E611ED1A-5859-436C-B38C-112287592333}" name="Column1348"/>
    <tableColumn id="1354" xr3:uid="{28595456-AFE9-4961-9DE4-F6246B582F2B}" name="Column1349"/>
    <tableColumn id="1355" xr3:uid="{43104565-47B0-4D13-840E-3354596B17D5}" name="Column1350"/>
    <tableColumn id="1356" xr3:uid="{DCE56A07-64DC-4E0C-A94A-78F724089055}" name="Column1351"/>
    <tableColumn id="1357" xr3:uid="{871EC3B4-B5E6-43AA-B6AF-CD18D7DA5C0F}" name="Column1352"/>
    <tableColumn id="1358" xr3:uid="{6127EC01-9957-4A3A-B213-2A5E16798225}" name="Column1353"/>
    <tableColumn id="1359" xr3:uid="{BEFFBA5F-65D6-46DD-A6E9-2585D1646B11}" name="Column1354"/>
    <tableColumn id="1360" xr3:uid="{050B494D-0FFE-4DB1-9159-F13578786199}" name="Column1355"/>
    <tableColumn id="1361" xr3:uid="{1695F2E0-66C4-4888-8DE9-2A309004FFE5}" name="Column1356"/>
    <tableColumn id="1362" xr3:uid="{A4DE3D73-71C2-4AAA-9675-9B0E0CDE872B}" name="Column1357"/>
    <tableColumn id="1363" xr3:uid="{E1D2A8C5-0CC7-422B-B7AE-DD501C5C7BE7}" name="Column1358"/>
    <tableColumn id="1364" xr3:uid="{048011D3-4A46-4A85-9A58-AF54B46142BC}" name="Column1359"/>
    <tableColumn id="1365" xr3:uid="{6CFBBB26-7578-4C84-B366-3F6FC835892E}" name="Column1360"/>
    <tableColumn id="1366" xr3:uid="{63FC5666-8EF4-46ED-81B1-AF5F1F490292}" name="Column1361"/>
    <tableColumn id="1367" xr3:uid="{3132A12D-83BD-423C-996D-B95D1132640E}" name="Column1362"/>
    <tableColumn id="1368" xr3:uid="{6A3EC4C2-ADC6-44EE-A5BB-CB10F431CC65}" name="Column1363"/>
    <tableColumn id="1369" xr3:uid="{84261CBF-E223-4521-8543-42B12E7675C2}" name="Column1364"/>
    <tableColumn id="1370" xr3:uid="{C9DB94CB-D78A-47BE-B537-71B5339616DE}" name="Column1365"/>
    <tableColumn id="1371" xr3:uid="{A85CBB0B-A194-4777-91A2-26FA8CF3F09C}" name="Column1366"/>
    <tableColumn id="1372" xr3:uid="{FF7FE044-0E43-4EA8-AF9E-314F38950609}" name="Column1367"/>
    <tableColumn id="1373" xr3:uid="{7BA91FFC-E5FD-413E-A981-BE27B0397667}" name="Column1368"/>
    <tableColumn id="1374" xr3:uid="{F37E7892-619B-4959-94D6-8E7F6B55459A}" name="Column1369"/>
    <tableColumn id="1375" xr3:uid="{9ED24575-68DB-4E8A-83E8-DDD026AD76B8}" name="Column1370"/>
    <tableColumn id="1376" xr3:uid="{D284C727-D260-4197-86CC-2A9A1C314FC3}" name="Column1371"/>
    <tableColumn id="1377" xr3:uid="{556E8F67-43AA-41B7-A375-14E28E02C780}" name="Column1372"/>
    <tableColumn id="1378" xr3:uid="{46451A6A-2038-473F-BA75-20FFCE79E9F6}" name="Column1373"/>
    <tableColumn id="1379" xr3:uid="{8D91914B-188F-40E3-8819-00066DBCCC67}" name="Column1374"/>
    <tableColumn id="1380" xr3:uid="{9440D6B8-FDBA-4055-A583-54FB73FCB243}" name="Column1375"/>
    <tableColumn id="1381" xr3:uid="{C839BDDE-BF6B-48ED-BA01-86CEF41B7D92}" name="Column1376"/>
    <tableColumn id="1382" xr3:uid="{90ACDA2F-F9F4-45BD-8D0C-66DE7494E561}" name="Column1377"/>
    <tableColumn id="1383" xr3:uid="{F33499A9-B0B6-430D-AC3B-7013A9BAE74A}" name="Column1378"/>
    <tableColumn id="1384" xr3:uid="{2878230D-17AC-4FB1-86CA-1B6511470E61}" name="Column1379"/>
    <tableColumn id="1385" xr3:uid="{71837BD8-0B62-4834-8DF3-1A8168B86491}" name="Column1380"/>
    <tableColumn id="1386" xr3:uid="{244BED00-19CB-4253-9C81-D4F0F0CB3C45}" name="Column1381"/>
    <tableColumn id="1387" xr3:uid="{BA9D54C1-5C22-404A-9731-AC78FA08CB0E}" name="Column1382"/>
    <tableColumn id="1388" xr3:uid="{897FC7B4-1376-476D-81DD-A345332D2E63}" name="Column1383"/>
    <tableColumn id="1389" xr3:uid="{368A3982-8AAE-4717-919A-1AF207976A28}" name="Column1384"/>
    <tableColumn id="1390" xr3:uid="{4527816F-EC40-406F-89B7-114BD7069A9C}" name="Column1385"/>
    <tableColumn id="1391" xr3:uid="{BB2AA15A-460A-4F96-96EC-DD59AA91EA19}" name="Column1386"/>
    <tableColumn id="1392" xr3:uid="{EDB7ACD2-53B6-44A4-A7AE-2CDF5E693C00}" name="Column1387"/>
    <tableColumn id="1393" xr3:uid="{DE8CB35C-FD80-47CA-AB1F-109B8BA62D57}" name="Column1388"/>
    <tableColumn id="1394" xr3:uid="{A3F205DA-6858-453D-B07C-93206F852A76}" name="Column1389"/>
    <tableColumn id="1395" xr3:uid="{2430A765-7DB4-4D3C-A56E-A048EE8CB747}" name="Column1390"/>
    <tableColumn id="1396" xr3:uid="{174111F8-073E-4B43-8A45-1AB2555C5B22}" name="Column1391"/>
    <tableColumn id="1397" xr3:uid="{71559632-D961-424E-B3CE-AE0D6FB49378}" name="Column1392"/>
    <tableColumn id="1398" xr3:uid="{5AB4118F-83C2-4371-8DBD-01944F0895A3}" name="Column1393"/>
    <tableColumn id="1399" xr3:uid="{17095820-2CE1-4778-9152-F301B7D674F7}" name="Column1394"/>
    <tableColumn id="1400" xr3:uid="{61A12101-AEF4-4D6D-88FF-D57F8E1DCBE3}" name="Column1395"/>
    <tableColumn id="1401" xr3:uid="{27820821-8487-4F03-B2AC-050257126733}" name="Column1396"/>
    <tableColumn id="1402" xr3:uid="{14D0F7AF-4485-4F4E-8A56-F6004D3C15F2}" name="Column1397"/>
    <tableColumn id="1403" xr3:uid="{70A610D9-8858-400B-AA2F-93074AD84D56}" name="Column1398"/>
    <tableColumn id="1404" xr3:uid="{51AE2C75-B6FD-4735-A7AD-FAA496F9CB16}" name="Column1399"/>
    <tableColumn id="1405" xr3:uid="{90961A28-546D-4E2A-8976-8F62F81B384A}" name="Column1400"/>
    <tableColumn id="1406" xr3:uid="{82546608-692A-413C-A8D4-E60B98C686ED}" name="Column1401"/>
    <tableColumn id="1407" xr3:uid="{6F3DEEC8-C61A-48A2-9CA3-F5DDEE855A01}" name="Column1402"/>
    <tableColumn id="1408" xr3:uid="{15541319-6E6A-4AD5-920F-9612BD81BD13}" name="Column1403"/>
    <tableColumn id="1409" xr3:uid="{5C5ECAFD-8839-4EE4-A307-FF3CBA5AC702}" name="Column1404"/>
    <tableColumn id="1410" xr3:uid="{2931C568-0E1C-407F-894F-0D0735713EDE}" name="Column1405"/>
    <tableColumn id="1411" xr3:uid="{3ACD8E48-010C-4314-9425-722F975257DC}" name="Column1406"/>
    <tableColumn id="1412" xr3:uid="{84AFD1F4-7B42-4B3F-9AEC-C75A43608C46}" name="Column1407"/>
    <tableColumn id="1413" xr3:uid="{12782676-496A-4D72-9E1B-C8E3EE7F0CAA}" name="Column1408"/>
    <tableColumn id="1414" xr3:uid="{C6A15AA6-3045-41C1-9729-08971D5FD191}" name="Column1409"/>
    <tableColumn id="1415" xr3:uid="{3B70A308-FA98-471D-B88C-094DDCF2C978}" name="Column1410"/>
    <tableColumn id="1416" xr3:uid="{E14D78BD-7CFE-4254-8AB0-B1F355E83543}" name="Column1411"/>
    <tableColumn id="1417" xr3:uid="{761A2DC8-4DA0-4EFB-AB6D-D1C61AFF3783}" name="Column1412"/>
    <tableColumn id="1418" xr3:uid="{BDF07798-9CB8-4753-B510-CEDF8895CF8E}" name="Column1413"/>
    <tableColumn id="1419" xr3:uid="{F3615958-0A0F-4117-BFBE-C6943DF2732F}" name="Column1414"/>
    <tableColumn id="1420" xr3:uid="{180CC529-035C-4ECD-B48A-1C39214744DC}" name="Column1415"/>
    <tableColumn id="1421" xr3:uid="{32360795-8F7A-491A-B4E2-67DDBF3FAA58}" name="Column1416"/>
    <tableColumn id="1422" xr3:uid="{4DB81D72-64DA-484E-9E75-B8739EBF7BD3}" name="Column1417"/>
    <tableColumn id="1423" xr3:uid="{EDA5F7B2-4B8E-48B1-A969-BFD231E942E7}" name="Column1418"/>
    <tableColumn id="1424" xr3:uid="{AE48EBE5-9FF3-48F1-9D76-F7AEB4CA767D}" name="Column1419"/>
    <tableColumn id="1425" xr3:uid="{7FB1D0DC-A535-419F-9C34-407B1D978D35}" name="Column1420"/>
    <tableColumn id="1426" xr3:uid="{23330A4F-B197-4516-A7F6-EDC5DFF088F0}" name="Column1421"/>
    <tableColumn id="1427" xr3:uid="{76F9D130-35A4-4D9B-BFFA-C21A128A63A6}" name="Column1422"/>
    <tableColumn id="1428" xr3:uid="{A6078C88-7A19-4C55-B941-BA1BCA6209AD}" name="Column1423"/>
    <tableColumn id="1429" xr3:uid="{6A3AA840-201A-4591-9333-67FAADE8F7FF}" name="Column1424"/>
    <tableColumn id="1430" xr3:uid="{D69F4060-111A-4386-B7D7-F86DB4E53280}" name="Column1425"/>
    <tableColumn id="1431" xr3:uid="{4A8E44C5-791F-4936-9323-566EC9A9D170}" name="Column1426"/>
    <tableColumn id="1432" xr3:uid="{A7E868B5-437B-4C65-AE74-0C80EBC4E948}" name="Column1427"/>
    <tableColumn id="1433" xr3:uid="{CDBE7FA9-3C0B-4533-A9C2-9522CB098968}" name="Column1428"/>
    <tableColumn id="1434" xr3:uid="{835D7872-7612-4147-9038-595FBC81D377}" name="Column1429"/>
    <tableColumn id="1435" xr3:uid="{7F85D0EC-A261-4C6D-BF51-8C022E42FACB}" name="Column1430"/>
    <tableColumn id="1436" xr3:uid="{1748388A-B9AC-442C-ACF9-DB1A58081799}" name="Column1431"/>
    <tableColumn id="1437" xr3:uid="{75778BEF-4D36-4572-B49B-C817475F6522}" name="Column1432"/>
    <tableColumn id="1438" xr3:uid="{CB21BFA7-60B6-4747-B9DD-FDC715B0F6E0}" name="Column1433"/>
    <tableColumn id="1439" xr3:uid="{B5CE8658-3038-498A-8140-A7E8BD4F5B24}" name="Column1434"/>
    <tableColumn id="1440" xr3:uid="{9038B1B3-99A5-42DD-989B-EE069B8AC7EE}" name="Column1435"/>
    <tableColumn id="1441" xr3:uid="{DCA9728C-2C90-48D1-B67B-2E695955A8E4}" name="Column1436"/>
    <tableColumn id="1442" xr3:uid="{3979E82F-186F-4E91-A1C6-41D25122A111}" name="Column1437"/>
    <tableColumn id="1443" xr3:uid="{EDA85313-A90B-461C-9E40-F9E7F02CD1E0}" name="Column1438"/>
    <tableColumn id="1444" xr3:uid="{99BC494E-2156-413E-9AD9-CA3430E2F689}" name="Column1439"/>
    <tableColumn id="1445" xr3:uid="{778C0A2B-08E8-42F6-B7B2-6A96CAF41C03}" name="Column1440"/>
    <tableColumn id="1446" xr3:uid="{B0E991D2-1EF2-4635-AB5B-6540518BAEBC}" name="Column1441"/>
    <tableColumn id="1447" xr3:uid="{BA372121-0B31-4388-A788-949841A2C892}" name="Column1442"/>
    <tableColumn id="1448" xr3:uid="{4E28094C-6C9B-4DD7-8C0A-3042FDB55B5B}" name="Column1443"/>
    <tableColumn id="1449" xr3:uid="{AEDC07B7-1382-486B-AEDA-8AB69908FF48}" name="Column1444"/>
    <tableColumn id="1450" xr3:uid="{A80E6A4B-7C94-4663-8719-2B8835A798D1}" name="Column1445"/>
    <tableColumn id="1451" xr3:uid="{EEF0A989-EAB3-404D-ACEC-87AF7993A7ED}" name="Column1446"/>
    <tableColumn id="1452" xr3:uid="{5E8135D3-B472-4DF5-AAF8-4C159F4010CC}" name="Column1447"/>
    <tableColumn id="1453" xr3:uid="{A9D6D791-9765-425F-A599-19C97E3E4A47}" name="Column1448"/>
    <tableColumn id="1454" xr3:uid="{0BD5CEB1-29D2-42CB-8B9C-36F016AAC41D}" name="Column1449"/>
    <tableColumn id="1455" xr3:uid="{53FFEFFA-10B6-47AA-A077-85ED263CA0C6}" name="Column1450"/>
    <tableColumn id="1456" xr3:uid="{575225AC-E3E8-4822-9FF9-B7F7ADA0E761}" name="Column1451"/>
    <tableColumn id="1457" xr3:uid="{1379D63D-A792-4943-B9AC-16933A8E15DC}" name="Column1452"/>
    <tableColumn id="1458" xr3:uid="{52ACFA75-D578-4188-8E17-DEAE925526A9}" name="Column1453"/>
    <tableColumn id="1459" xr3:uid="{F3D9CC32-B494-4291-AE4F-4998E475A1EA}" name="Column1454"/>
    <tableColumn id="1460" xr3:uid="{4596E14E-52C6-443E-951F-D9800782198D}" name="Column1455"/>
    <tableColumn id="1461" xr3:uid="{36C1D681-7CC0-484B-B615-555AF5903A67}" name="Column1456"/>
    <tableColumn id="1462" xr3:uid="{614A227B-6C1F-44C7-92CC-86B5C1323DFC}" name="Column1457"/>
    <tableColumn id="1463" xr3:uid="{A4E31A29-3088-4480-939D-D93E4E6E0536}" name="Column1458"/>
    <tableColumn id="1464" xr3:uid="{40B138FA-BD78-4C59-BC9A-EDB19EF29730}" name="Column1459"/>
    <tableColumn id="1465" xr3:uid="{D082EC93-B1A9-411A-815D-85F957920A7A}" name="Column1460"/>
    <tableColumn id="1466" xr3:uid="{8DCF7AD5-DDE4-4704-B1AE-0253B96AD48C}" name="Column1461"/>
    <tableColumn id="1467" xr3:uid="{B74528FE-BE7B-4477-A0C8-04BCB39D6B25}" name="Column1462"/>
    <tableColumn id="1468" xr3:uid="{6E7DFBC2-EC65-4516-9C22-3A02E9D06ED4}" name="Column1463"/>
    <tableColumn id="1469" xr3:uid="{5AF0F21F-EDE9-4572-9259-1BA7117109FD}" name="Column1464"/>
    <tableColumn id="1470" xr3:uid="{EACA3339-8AC6-44E9-B0B1-506F18C91284}" name="Column1465"/>
    <tableColumn id="1471" xr3:uid="{07C28AEA-23C1-4482-A365-BB83B6DC9DD7}" name="Column1466"/>
    <tableColumn id="1472" xr3:uid="{FCEA8A95-BBA1-4A70-AF0D-681F499F5CC4}" name="Column1467"/>
    <tableColumn id="1473" xr3:uid="{AAC5C62F-98BE-42C4-99AF-47CCECEDD01D}" name="Column1468"/>
    <tableColumn id="1474" xr3:uid="{EC3CC4D9-CF78-4A4A-B4E3-1875586012C5}" name="Column1469"/>
    <tableColumn id="1475" xr3:uid="{3FD4FE59-847A-4373-B8F2-2175D1B51A6A}" name="Column1470"/>
    <tableColumn id="1476" xr3:uid="{57000A31-CBEE-440F-BED3-3677263146A3}" name="Column1471"/>
    <tableColumn id="1477" xr3:uid="{6473C463-BCC1-4638-9FEA-6F626B39F3A2}" name="Column1472"/>
    <tableColumn id="1478" xr3:uid="{3913046B-4097-49F4-9EFD-437A6B16590A}" name="Column1473"/>
    <tableColumn id="1479" xr3:uid="{CC44B057-99E1-4425-86B0-B0620E6AE5F3}" name="Column1474"/>
    <tableColumn id="1480" xr3:uid="{6007F905-EED0-4198-A01B-4B9F8D6C2819}" name="Column1475"/>
    <tableColumn id="1481" xr3:uid="{08ECF728-79C4-413F-B518-E0B8A2391DBD}" name="Column1476"/>
    <tableColumn id="1482" xr3:uid="{208FF185-202C-49DE-83FF-32550329BED5}" name="Column1477"/>
    <tableColumn id="1483" xr3:uid="{E13A70B5-A746-486F-9C5E-12338F41A71F}" name="Column1478"/>
    <tableColumn id="1484" xr3:uid="{13947E47-A2F4-4337-BEFD-54D552ABAFE1}" name="Column1479"/>
    <tableColumn id="1485" xr3:uid="{110A468C-D15E-4057-AA19-BC01097C116F}" name="Column1480"/>
    <tableColumn id="1486" xr3:uid="{3311BDDE-0AB8-4442-B32F-F0876AFDA610}" name="Column1481"/>
    <tableColumn id="1487" xr3:uid="{518E1DBD-B846-47DF-8547-862B1BEE5873}" name="Column1482"/>
    <tableColumn id="1488" xr3:uid="{7699D9EF-AA14-4BB8-B2F2-BFB7E8CD276B}" name="Column1483"/>
    <tableColumn id="1489" xr3:uid="{9F655009-B2EB-418D-85B8-B08FDC384899}" name="Column1484"/>
    <tableColumn id="1490" xr3:uid="{DB95A069-AA2F-4BA8-8C84-EE1DB4580176}" name="Column1485"/>
    <tableColumn id="1491" xr3:uid="{6CFC73B2-1B62-4380-A319-C0CA17E9B86C}" name="Column1486"/>
    <tableColumn id="1492" xr3:uid="{41AC8DB8-B8C3-4E4C-930F-6A81C8D16BF9}" name="Column1487"/>
    <tableColumn id="1493" xr3:uid="{D10C55F6-8A8A-4C14-921A-0548A80477CE}" name="Column1488"/>
    <tableColumn id="1494" xr3:uid="{124B2E77-FC4E-4282-A6B7-C522C1DF8986}" name="Column1489"/>
    <tableColumn id="1495" xr3:uid="{0C466963-FCD2-4830-B335-DF80BC9F53B2}" name="Column1490"/>
    <tableColumn id="1496" xr3:uid="{797920F0-7864-440C-9647-CBC06D9BB1C4}" name="Column1491"/>
    <tableColumn id="1497" xr3:uid="{2E7057A4-436F-4C7E-B74F-6C412D609181}" name="Column1492"/>
    <tableColumn id="1498" xr3:uid="{7E082A82-58D6-4EFD-9C28-7A61939138F1}" name="Column1493"/>
    <tableColumn id="1499" xr3:uid="{552CB239-3A17-4FDC-B01B-DE17900A3870}" name="Column1494"/>
    <tableColumn id="1500" xr3:uid="{77CE7C65-CCE0-47E2-8A5E-2849D35FD750}" name="Column1495"/>
    <tableColumn id="1501" xr3:uid="{CAA7248C-DBE2-4E8E-9956-5D995CE8AC1E}" name="Column1496"/>
    <tableColumn id="1502" xr3:uid="{B8661110-CEC2-4C43-99DF-75A8136BDD55}" name="Column1497"/>
    <tableColumn id="1503" xr3:uid="{D96220B4-2EEF-4910-9CFC-A0CAC4381469}" name="Column1498"/>
    <tableColumn id="1504" xr3:uid="{EDE847A9-105D-46F3-9B10-1CAF515C6777}" name="Column1499"/>
    <tableColumn id="1505" xr3:uid="{299D2580-5A75-4F76-A4A9-E2714C29AA75}" name="Column1500"/>
    <tableColumn id="1506" xr3:uid="{68F3A813-2065-42CA-8BD4-EBDFD399D23B}" name="Column1501"/>
    <tableColumn id="1507" xr3:uid="{91B40DC3-82DD-4469-B597-81F8AACCB8E1}" name="Column1502"/>
    <tableColumn id="1508" xr3:uid="{38417B2A-A907-41DB-96DD-D38B2AA0E887}" name="Column1503"/>
    <tableColumn id="1509" xr3:uid="{AEFD6E3A-9940-4CB1-BC7B-8CA5427A5BF5}" name="Column1504"/>
    <tableColumn id="1510" xr3:uid="{2FFDD461-785F-40D7-B62A-25A35955431C}" name="Column1505"/>
    <tableColumn id="1511" xr3:uid="{81A4274E-E080-413D-9F2B-8FF6835133AD}" name="Column1506"/>
    <tableColumn id="1512" xr3:uid="{4819DDE1-0CA3-4916-AB50-14797766C243}" name="Column1507"/>
    <tableColumn id="1513" xr3:uid="{204CDE88-EB5A-462A-B101-296A30EB88B7}" name="Column1508"/>
    <tableColumn id="1514" xr3:uid="{CF9C5BAE-DEA3-4744-A156-96087A05AC18}" name="Column1509"/>
    <tableColumn id="1515" xr3:uid="{D903F231-7228-4D9F-81F1-8C8473116EAA}" name="Column1510"/>
    <tableColumn id="1516" xr3:uid="{E57EF0EA-F337-427F-98C5-8B98E23A26CC}" name="Column1511"/>
    <tableColumn id="1517" xr3:uid="{34775EDB-B7C3-4227-9DBA-580AFFD6E4B0}" name="Column1512"/>
    <tableColumn id="1518" xr3:uid="{9F790F8D-4099-4610-9BB0-027DD3C520B8}" name="Column1513"/>
    <tableColumn id="1519" xr3:uid="{0C0B26B4-9459-4586-8CD3-C7EC622C19E7}" name="Column1514"/>
    <tableColumn id="1520" xr3:uid="{31698AD4-A626-4637-A234-8DD1ECADA150}" name="Column1515"/>
    <tableColumn id="1521" xr3:uid="{8DBCD505-9064-4375-8729-81C290CB67B8}" name="Column1516"/>
    <tableColumn id="1522" xr3:uid="{1DD8E784-E548-4C70-AA59-EFA397D3C45E}" name="Column1517"/>
    <tableColumn id="1523" xr3:uid="{7AEFEF2A-182F-4E96-9CF7-CBF860D4529D}" name="Column1518"/>
    <tableColumn id="1524" xr3:uid="{54DE900D-2795-4D35-8068-F0F9C3A34F39}" name="Column1519"/>
    <tableColumn id="1525" xr3:uid="{E21E4945-7827-4925-B117-404FD2F78CC5}" name="Column1520"/>
    <tableColumn id="1526" xr3:uid="{CA971DF1-8D9B-4E45-91BD-66F62313606F}" name="Column1521"/>
    <tableColumn id="1527" xr3:uid="{9A7C56BD-5E9C-4D35-AE1D-D438394767B6}" name="Column1522"/>
    <tableColumn id="1528" xr3:uid="{16A8F26E-70B2-4E8F-B575-F08B7190B52D}" name="Column1523"/>
    <tableColumn id="1529" xr3:uid="{D69EA458-178D-4AAF-8BFC-9995CA119511}" name="Column1524"/>
    <tableColumn id="1530" xr3:uid="{2853E88A-D8AF-499A-85AC-72DE90738939}" name="Column1525"/>
    <tableColumn id="1531" xr3:uid="{34187395-E092-41B8-B7CA-5B1256730ADD}" name="Column1526"/>
    <tableColumn id="1532" xr3:uid="{92469408-B065-4E2F-B2B8-4788605722BC}" name="Column1527"/>
    <tableColumn id="1533" xr3:uid="{ED33200A-DEE2-4049-BE24-6B54AC8E7A18}" name="Column1528"/>
    <tableColumn id="1534" xr3:uid="{1B0A6DA3-989C-4EFE-93E4-1F0E792B4775}" name="Column1529"/>
    <tableColumn id="1535" xr3:uid="{7AA1428B-D60C-4812-969A-C1119FF95D6F}" name="Column1530"/>
    <tableColumn id="1536" xr3:uid="{3B8266A1-22F8-444F-9A90-D6B6C4F85221}" name="Column1531"/>
    <tableColumn id="1537" xr3:uid="{6F50F14E-9AEB-42E8-875C-262558BAB14D}" name="Column1532"/>
    <tableColumn id="1538" xr3:uid="{3F8E8593-FCD2-4032-95E3-C603ECE17E5F}" name="Column1533"/>
    <tableColumn id="1539" xr3:uid="{82862721-8D78-4425-913E-72EF072E277C}" name="Column1534"/>
    <tableColumn id="1540" xr3:uid="{445D6AE8-36F1-48CB-AA4E-14190D1664A0}" name="Column1535"/>
    <tableColumn id="1541" xr3:uid="{B51AFB4B-64AE-42EF-8AA3-71D5CA08B748}" name="Column1536"/>
    <tableColumn id="1542" xr3:uid="{97ED02CC-672E-47F1-A45C-4EA8C7EBC009}" name="Column1537"/>
    <tableColumn id="1543" xr3:uid="{3004C939-B1BD-490D-80FD-7DE23D40FE71}" name="Column1538"/>
    <tableColumn id="1544" xr3:uid="{CF09B687-72EC-42B9-853B-95E517EE9732}" name="Column1539"/>
    <tableColumn id="1545" xr3:uid="{2CFC105B-829D-46E7-B5DF-0E5389769E07}" name="Column1540"/>
    <tableColumn id="1546" xr3:uid="{29795EAE-D8C3-45D6-9A24-A0CAD706CF48}" name="Column1541"/>
    <tableColumn id="1547" xr3:uid="{069CB4CB-DE35-4B90-A5A3-67D7238EF192}" name="Column1542"/>
    <tableColumn id="1548" xr3:uid="{4AC7EE44-B56C-493C-991D-6FB71259CD50}" name="Column1543"/>
    <tableColumn id="1549" xr3:uid="{FD7498C3-710D-4AFA-B3E9-FED0B3DB120C}" name="Column1544"/>
    <tableColumn id="1550" xr3:uid="{58F1CB79-CB03-47FE-B713-F61FA0FEB1C4}" name="Column1545"/>
    <tableColumn id="1551" xr3:uid="{3EF52001-1908-4161-BF84-0A18932DE1BB}" name="Column1546"/>
    <tableColumn id="1552" xr3:uid="{A899345F-1F8A-4CBA-A631-F6045FF890E6}" name="Column1547"/>
    <tableColumn id="1553" xr3:uid="{5057888F-5D9F-4ABA-88CB-5DB47A16D5B2}" name="Column1548"/>
    <tableColumn id="1554" xr3:uid="{CD74F70F-4F2C-40CF-A380-7EDB02048E81}" name="Column1549"/>
    <tableColumn id="1555" xr3:uid="{FF67AD0C-7A76-4F3D-925A-0D1D21D27A84}" name="Column1550"/>
    <tableColumn id="1556" xr3:uid="{486E9D3F-B1DF-478D-855B-886D3F1C0566}" name="Column1551"/>
    <tableColumn id="1557" xr3:uid="{3E1CB28C-851A-4334-8754-C7DEDFAF018E}" name="Column1552"/>
    <tableColumn id="1558" xr3:uid="{B890711F-3585-4346-8C56-54E6061041BF}" name="Column1553"/>
    <tableColumn id="1559" xr3:uid="{FCB2A762-3FCB-4F9B-BFAB-C10BA7F643FC}" name="Column1554"/>
    <tableColumn id="1560" xr3:uid="{DFB03BD7-79F4-4D5A-A631-3BC44FD8C60E}" name="Column1555"/>
    <tableColumn id="1561" xr3:uid="{E5F3D8F5-DD7A-44BC-ACB9-9CA382B3F940}" name="Column1556"/>
    <tableColumn id="1562" xr3:uid="{B0FB9598-000E-49DB-B9F5-98E71F8C5BD2}" name="Column1557"/>
    <tableColumn id="1563" xr3:uid="{EE703AAF-59F7-4304-BC6C-851E8A923814}" name="Column1558"/>
    <tableColumn id="1564" xr3:uid="{6636606A-1697-4443-BE8D-A326B27CB3A3}" name="Column1559"/>
    <tableColumn id="1565" xr3:uid="{D08535F6-16A5-4AA7-9712-A58970EDED0C}" name="Column1560"/>
    <tableColumn id="1566" xr3:uid="{CC981755-E159-485F-B594-452D6F80BD2F}" name="Column1561"/>
    <tableColumn id="1567" xr3:uid="{AE403754-F629-4F46-923B-B43567240705}" name="Column1562"/>
    <tableColumn id="1568" xr3:uid="{8C40D151-E8EF-4870-8807-58B6E624827F}" name="Column1563"/>
    <tableColumn id="1569" xr3:uid="{AC28A39A-4E5A-4467-85E4-B529E76F3342}" name="Column1564"/>
    <tableColumn id="1570" xr3:uid="{A989D09A-FF84-4A8F-97AB-8D795815CC3B}" name="Column1565"/>
    <tableColumn id="1571" xr3:uid="{F3EFC7F1-F068-48CD-9F7C-EFD59D15149A}" name="Column1566"/>
    <tableColumn id="1572" xr3:uid="{D39F4224-9A89-4373-B670-04C10A84D2C9}" name="Column1567"/>
    <tableColumn id="1573" xr3:uid="{14901491-ED1D-43DE-8848-189E3E26D7DF}" name="Column1568"/>
    <tableColumn id="1574" xr3:uid="{0BC3278F-3939-4830-A272-69943065E086}" name="Column1569"/>
    <tableColumn id="1575" xr3:uid="{576688D4-A086-4B98-AF04-72DECE9B3E16}" name="Column1570"/>
    <tableColumn id="1576" xr3:uid="{442289C5-EF3F-4951-B870-64290F19EDE1}" name="Column1571"/>
    <tableColumn id="1577" xr3:uid="{C88661E9-83E6-4387-86C0-8094045D9CD7}" name="Column1572"/>
    <tableColumn id="1578" xr3:uid="{11E84DE9-7F41-4545-9C1C-E228EB2B59DF}" name="Column1573"/>
    <tableColumn id="1579" xr3:uid="{DCCA1482-ED47-46DE-B4C8-2D97A1AD6DF1}" name="Column1574"/>
    <tableColumn id="1580" xr3:uid="{C281D22A-EB1C-4740-8099-1ED974604084}" name="Column1575"/>
    <tableColumn id="1581" xr3:uid="{F912E41E-D58A-47DB-823F-D3A340EE78B4}" name="Column1576"/>
    <tableColumn id="1582" xr3:uid="{DF1BEEA2-F547-4DA7-A0DE-230E7E51E34F}" name="Column1577"/>
    <tableColumn id="1583" xr3:uid="{D5CC1FE7-248F-48F4-BB4B-92D110E0D112}" name="Column1578"/>
    <tableColumn id="1584" xr3:uid="{1854D34F-D51B-491A-B5AD-8895D208D5AA}" name="Column1579"/>
    <tableColumn id="1585" xr3:uid="{A744F613-AAD6-449C-B6A3-7B1FCAC76635}" name="Column1580"/>
    <tableColumn id="1586" xr3:uid="{9F407B75-0EF3-411D-854C-6DAFE6CAF173}" name="Column1581"/>
    <tableColumn id="1587" xr3:uid="{162FFD3A-E8A1-4426-81DD-4FAE718E2494}" name="Column1582"/>
    <tableColumn id="1588" xr3:uid="{7BAF6067-61D9-48E1-B5D4-42EC0A61C308}" name="Column1583"/>
    <tableColumn id="1589" xr3:uid="{E7DEB35C-5B4D-4B09-8100-F108A66BA9E6}" name="Column1584"/>
    <tableColumn id="1590" xr3:uid="{273B1C47-E504-4823-9CF0-8ED4DAF73146}" name="Column1585"/>
    <tableColumn id="1591" xr3:uid="{3AE37739-C399-4456-8D54-BDFCB64B424E}" name="Column1586"/>
    <tableColumn id="1592" xr3:uid="{6000FD9D-0FC5-4CD5-A905-5BC1A5E02064}" name="Column1587"/>
    <tableColumn id="1593" xr3:uid="{BF7B3112-D693-4DE3-9311-38DE90FC1276}" name="Column1588"/>
    <tableColumn id="1594" xr3:uid="{D79BFB8B-5566-4858-8E7C-9D550BE4BC47}" name="Column1589"/>
    <tableColumn id="1595" xr3:uid="{10B45853-47A2-4761-85DC-7D80C8FA2D44}" name="Column1590"/>
    <tableColumn id="1596" xr3:uid="{1DCF49D5-C5AA-4A6F-A708-0EA4C292E3C0}" name="Column1591"/>
    <tableColumn id="1597" xr3:uid="{4231BF75-DD71-4B44-A43D-C80F598D99CC}" name="Column1592"/>
    <tableColumn id="1598" xr3:uid="{379D7EA7-28F5-4312-A305-DA956A78219C}" name="Column1593"/>
    <tableColumn id="1599" xr3:uid="{D20EF400-3BF2-422A-AA45-8CDCD9565EB5}" name="Column1594"/>
    <tableColumn id="1600" xr3:uid="{9425B3C7-62D6-4A04-B257-241E5471B1AF}" name="Column1595"/>
    <tableColumn id="1601" xr3:uid="{110FDC48-C1DE-4CAC-9599-936A5AEA1B3F}" name="Column1596"/>
    <tableColumn id="1602" xr3:uid="{36E623EE-2895-49A9-9364-6FA0DDBE5A49}" name="Column1597"/>
    <tableColumn id="1603" xr3:uid="{FC8D1B50-AE01-4859-B3FA-EC54D5949DA8}" name="Column1598"/>
    <tableColumn id="1604" xr3:uid="{E4826123-A027-4496-A84B-7C30EEBF0A59}" name="Column1599"/>
    <tableColumn id="1605" xr3:uid="{E6500201-3DCB-400F-9C3F-5D7B49B7F394}" name="Column1600"/>
    <tableColumn id="1606" xr3:uid="{45E59196-3E72-4224-B82D-DFA2A07B0D34}" name="Column1601"/>
    <tableColumn id="1607" xr3:uid="{93AFAC89-082C-4F71-B162-BBF223F4E75D}" name="Column1602"/>
    <tableColumn id="1608" xr3:uid="{96CFE617-57FE-48F5-98FB-C20A13877D42}" name="Column1603"/>
    <tableColumn id="1609" xr3:uid="{DABD1229-B618-4192-99EA-7213F3094D3C}" name="Column1604"/>
    <tableColumn id="1610" xr3:uid="{DE6E6137-D5DB-4FA0-9EAB-8FE4FD5615B2}" name="Column1605"/>
    <tableColumn id="1611" xr3:uid="{FE64E608-76E8-43D8-BE7B-A11D76194068}" name="Column1606"/>
    <tableColumn id="1612" xr3:uid="{C68FD7AE-04C4-42B2-B1BD-F3D6C2FEA8F4}" name="Column1607"/>
    <tableColumn id="1613" xr3:uid="{CCDA90DF-589B-4B93-B505-32A7183B3B58}" name="Column1608"/>
    <tableColumn id="1614" xr3:uid="{651095A7-8F41-462A-9973-611F227D1EE5}" name="Column1609"/>
    <tableColumn id="1615" xr3:uid="{533DFDF9-26A9-4045-BC68-34F1AE80E956}" name="Column1610"/>
    <tableColumn id="1616" xr3:uid="{8A1E577F-8003-4C31-9F60-8BF77D787368}" name="Column1611"/>
    <tableColumn id="1617" xr3:uid="{886A0642-F40D-48E5-B2DA-CC8904BBCB08}" name="Column1612"/>
    <tableColumn id="1618" xr3:uid="{6C829567-5B91-44DE-A114-C37A940E4723}" name="Column1613"/>
    <tableColumn id="1619" xr3:uid="{9552A2EE-9A84-45EF-89AD-24A40DE220DF}" name="Column1614"/>
    <tableColumn id="1620" xr3:uid="{B1DCF6C6-D18F-4D0F-A728-4250F3EFA21B}" name="Column1615"/>
    <tableColumn id="1621" xr3:uid="{3EDA4CB2-29C2-45F4-B781-1BC28538DC7F}" name="Column1616"/>
    <tableColumn id="1622" xr3:uid="{77BA4061-3DB7-4053-95AF-9946FE39D255}" name="Column1617"/>
    <tableColumn id="1623" xr3:uid="{125849DD-98C5-48F0-AEAC-A338C7681500}" name="Column1618"/>
    <tableColumn id="1624" xr3:uid="{89578EB2-7262-4276-A6FC-D1327F2FC1D6}" name="Column1619"/>
    <tableColumn id="1625" xr3:uid="{226CCD60-6B13-4066-A05F-39BED3CDDF4D}" name="Column1620"/>
    <tableColumn id="1626" xr3:uid="{4CF5641B-76CB-4EED-A429-0DCF7A036952}" name="Column1621"/>
    <tableColumn id="1627" xr3:uid="{C6B77008-108A-4588-A3D7-B1D1F973D114}" name="Column1622"/>
    <tableColumn id="1628" xr3:uid="{6BE0039B-A3A1-4F61-969D-9DD736C6A1F7}" name="Column1623"/>
    <tableColumn id="1629" xr3:uid="{4B43E70F-1564-4834-910E-CB5EDCFDE2CB}" name="Column1624"/>
    <tableColumn id="1630" xr3:uid="{DF4439E2-4290-414E-9EA9-7CE52D5B0B6F}" name="Column1625"/>
    <tableColumn id="1631" xr3:uid="{21375B17-CCEF-4CD3-B745-BC4F118FEE9B}" name="Column1626"/>
    <tableColumn id="1632" xr3:uid="{A837547A-16E9-4C7F-B453-15E653C54E66}" name="Column1627"/>
    <tableColumn id="1633" xr3:uid="{A325DC62-08B0-46B6-BE6A-6B72C90C9617}" name="Column1628"/>
    <tableColumn id="1634" xr3:uid="{C779325B-9D55-4144-A6E4-09624A32DA5B}" name="Column1629"/>
    <tableColumn id="1635" xr3:uid="{25CA7902-4E0C-485C-8CD6-0C89626F3ACA}" name="Column1630"/>
    <tableColumn id="1636" xr3:uid="{61C992CD-7847-488C-B725-CF08ECC9683A}" name="Column1631"/>
    <tableColumn id="1637" xr3:uid="{676A6E07-1A49-454C-8AF8-047316016E1E}" name="Column1632"/>
    <tableColumn id="1638" xr3:uid="{1F91F9A6-CF71-4B56-8908-066960FC596B}" name="Column1633"/>
    <tableColumn id="1639" xr3:uid="{34C2F93C-4F55-4FC2-A05C-DB2C628AB345}" name="Column1634"/>
    <tableColumn id="1640" xr3:uid="{95E33989-0692-4AF7-B71C-AEFA66B48E38}" name="Column1635"/>
    <tableColumn id="1641" xr3:uid="{5642A250-2BB1-4826-92D7-73B04E51F7AF}" name="Column1636"/>
    <tableColumn id="1642" xr3:uid="{0F120D81-27F2-4D74-9F02-5121FC4FBBF3}" name="Column1637"/>
    <tableColumn id="1643" xr3:uid="{C8B9AA17-95E9-44E8-9C0F-BA54B330927E}" name="Column1638"/>
    <tableColumn id="1644" xr3:uid="{F10E7D51-CDDC-4752-99F9-42C6385E1CAF}" name="Column1639"/>
    <tableColumn id="1645" xr3:uid="{5EF5EFCD-59BA-4006-ADCA-47F67DF40197}" name="Column1640"/>
    <tableColumn id="1646" xr3:uid="{5940CAC3-A66F-4BBF-A18A-29D79367F629}" name="Column1641"/>
    <tableColumn id="1647" xr3:uid="{A50F6D02-7942-4762-AAA5-34A9DEC4166E}" name="Column1642"/>
    <tableColumn id="1648" xr3:uid="{995362A4-0012-47E1-95D4-00E30DE0B3FB}" name="Column1643"/>
    <tableColumn id="1649" xr3:uid="{1AB96BCC-D5FC-48F2-B73C-632102520966}" name="Column1644"/>
    <tableColumn id="1650" xr3:uid="{F978E3DB-85B0-4B40-AEDF-AAC9E8EF7217}" name="Column1645"/>
    <tableColumn id="1651" xr3:uid="{AFA8F838-CAD8-41BE-9F3B-73238FCA8B75}" name="Column1646"/>
    <tableColumn id="1652" xr3:uid="{CC0A5FF3-3127-4216-AD8E-B04E5AB13B7D}" name="Column1647"/>
    <tableColumn id="1653" xr3:uid="{8ADBD3EF-2341-4D53-A5FD-885A614B8DB8}" name="Column1648"/>
    <tableColumn id="1654" xr3:uid="{3C27430C-13F5-4CEC-97DE-A57F5522D94C}" name="Column1649"/>
    <tableColumn id="1655" xr3:uid="{FDDFCF2D-ECDB-4F57-8FA9-DAA792296A6F}" name="Column1650"/>
    <tableColumn id="1656" xr3:uid="{0EB9DE6B-5F9C-42A4-8FA8-0B88AA9C20BF}" name="Column1651"/>
    <tableColumn id="1657" xr3:uid="{DC505EC8-A078-40B3-91D4-5A4E981CB66C}" name="Column1652"/>
    <tableColumn id="1658" xr3:uid="{614A3A30-3765-451F-8139-989389240F42}" name="Column1653"/>
    <tableColumn id="1659" xr3:uid="{074BC66C-CE41-41AB-A41C-E52FDC321EB7}" name="Column1654"/>
    <tableColumn id="1660" xr3:uid="{561819B6-B385-40F3-BFE7-E2D15F15A6DB}" name="Column1655"/>
    <tableColumn id="1661" xr3:uid="{7219B625-6EF4-402B-9FFE-1B07C868DF24}" name="Column1656"/>
    <tableColumn id="1662" xr3:uid="{EC11EBCB-61D2-4518-BB20-FBE729E696B0}" name="Column1657"/>
    <tableColumn id="1663" xr3:uid="{966771C7-C282-413D-998F-78708721F12D}" name="Column1658"/>
    <tableColumn id="1664" xr3:uid="{D7DD8061-11E6-4FCC-916B-C66FD47C798A}" name="Column1659"/>
    <tableColumn id="1665" xr3:uid="{BF49991D-BD6F-4A48-A8BA-138AC49FD026}" name="Column1660"/>
    <tableColumn id="1666" xr3:uid="{BFD950CA-2122-404D-9DE3-563BE09717E2}" name="Column1661"/>
    <tableColumn id="1667" xr3:uid="{C779FA2D-E3D5-40BD-9C02-57CB38F569E3}" name="Column1662"/>
    <tableColumn id="1668" xr3:uid="{F8750984-91DE-45DA-8894-1828F63BFB2C}" name="Column1663"/>
    <tableColumn id="1669" xr3:uid="{60B7E83A-7814-448F-B7A9-CF9F8EF46A00}" name="Column1664"/>
    <tableColumn id="1670" xr3:uid="{16273F3E-2BB9-4060-AD45-296234667743}" name="Column1665"/>
    <tableColumn id="1671" xr3:uid="{898BE7A6-9BF5-4C2D-8D6A-1333E82C4A98}" name="Column1666"/>
    <tableColumn id="1672" xr3:uid="{1A6D87A6-0EBF-48CC-B807-D390A71225CF}" name="Column1667"/>
    <tableColumn id="1673" xr3:uid="{779414AE-EDAA-4777-B976-26D07EB1F7C0}" name="Column1668"/>
    <tableColumn id="1674" xr3:uid="{B312BCAD-530D-4263-AF98-49D45C51BA9F}" name="Column1669"/>
    <tableColumn id="1675" xr3:uid="{6067C98B-5A66-4902-98BE-48C162109798}" name="Column1670"/>
    <tableColumn id="1676" xr3:uid="{8E44F7EE-CD10-4470-A433-D5C57A8CC449}" name="Column1671"/>
    <tableColumn id="1677" xr3:uid="{DDCB3164-4571-4D2C-BCBA-D28DD8BC3D01}" name="Column1672"/>
    <tableColumn id="1678" xr3:uid="{381E93DC-8912-43F6-A9CF-3A68B43109D4}" name="Column1673"/>
    <tableColumn id="1679" xr3:uid="{176DBF66-F768-4889-9CEC-C7C3B91A9238}" name="Column1674"/>
    <tableColumn id="1680" xr3:uid="{485C9194-EBCD-4E6E-964C-5D75A0C10E06}" name="Column1675"/>
    <tableColumn id="1681" xr3:uid="{2D249A19-BA6F-43AC-B7A4-25FBE3C61DC8}" name="Column1676"/>
    <tableColumn id="1682" xr3:uid="{4F1C11E6-D17E-4DDD-8C58-236F6D5A956D}" name="Column1677"/>
    <tableColumn id="1683" xr3:uid="{828EDF11-BE69-44E9-8FE4-5C31E624635D}" name="Column1678"/>
    <tableColumn id="1684" xr3:uid="{F5B7246E-83D5-4C28-841C-4613D34CF753}" name="Column1679"/>
    <tableColumn id="1685" xr3:uid="{CFD3939A-8EC3-4ABF-A517-96A312C2E5AA}" name="Column1680"/>
    <tableColumn id="1686" xr3:uid="{A95BBCAE-BE28-4A6B-8B53-F1171748BE5D}" name="Column1681"/>
    <tableColumn id="1687" xr3:uid="{EF31E6C9-88D9-4333-A8B2-198670D6F02D}" name="Column1682"/>
    <tableColumn id="1688" xr3:uid="{60307C8B-CC7D-4CED-BDD8-8716173F8D06}" name="Column1683"/>
    <tableColumn id="1689" xr3:uid="{5E76E918-804B-4D64-8179-F822B269D9CB}" name="Column1684"/>
    <tableColumn id="1690" xr3:uid="{A57AE0FD-E661-4E3D-B1B0-F0FED9F2B7DC}" name="Column1685"/>
    <tableColumn id="1691" xr3:uid="{FF49DBE9-2B37-45A3-BDE5-5D652FE7F996}" name="Column1686"/>
    <tableColumn id="1692" xr3:uid="{85663D83-A424-4C4B-B593-F16A0AF6DE6E}" name="Column1687"/>
    <tableColumn id="1693" xr3:uid="{95817270-036A-4461-9C06-9A038ECAC4A1}" name="Column1688"/>
    <tableColumn id="1694" xr3:uid="{5C93E804-0BFF-465C-B348-F75603CDEC23}" name="Column1689"/>
    <tableColumn id="1695" xr3:uid="{0D49E420-E862-4086-AEC9-E49033388008}" name="Column1690"/>
    <tableColumn id="1696" xr3:uid="{B9CBD85E-7B13-4DA6-B65E-110FEB02676C}" name="Column1691"/>
    <tableColumn id="1697" xr3:uid="{8DD41288-1D2B-4F3D-98C2-CB32E8D46C43}" name="Column1692"/>
    <tableColumn id="1698" xr3:uid="{1E42A080-4FC9-40BC-B969-64A500A41CB0}" name="Column1693"/>
    <tableColumn id="1699" xr3:uid="{971D47AD-1DFB-411E-BCC5-AB21DEF547BB}" name="Column1694"/>
    <tableColumn id="1700" xr3:uid="{858E8FC4-D3AE-4988-80F4-1E40D0A1D143}" name="Column1695"/>
    <tableColumn id="1701" xr3:uid="{D7ED64B7-9C00-4612-96D0-2D35F1BE2E34}" name="Column1696"/>
    <tableColumn id="1702" xr3:uid="{56ABAB73-E046-4FF7-A4BB-0CC403838120}" name="Column1697"/>
    <tableColumn id="1703" xr3:uid="{23FCA0E3-9C9E-4F91-AD9A-508678E6C334}" name="Column1698"/>
    <tableColumn id="1704" xr3:uid="{F62E5CBF-9E8E-4CBC-9CD7-DBF4565E78F2}" name="Column1699"/>
    <tableColumn id="1705" xr3:uid="{9E49AD2B-B1DC-4C3C-A60B-55E89AD5D0C2}" name="Column1700"/>
    <tableColumn id="1706" xr3:uid="{BCBA3B05-F21D-4C85-903E-30178FADF9F3}" name="Column1701"/>
    <tableColumn id="1707" xr3:uid="{A4E17C98-4897-4EDD-830E-90E7E18D1903}" name="Column1702"/>
    <tableColumn id="1708" xr3:uid="{38BAC24D-5681-4ED6-9C28-845E81FD45C4}" name="Column1703"/>
    <tableColumn id="1709" xr3:uid="{C143D57B-25E9-4436-950A-49901C41D299}" name="Column1704"/>
    <tableColumn id="1710" xr3:uid="{3F91B6E8-64AC-4E3A-A4F9-31E2F9DEB0F7}" name="Column1705"/>
    <tableColumn id="1711" xr3:uid="{39C1E56B-BC4F-4D09-B286-D46F4B301B2B}" name="Column1706"/>
    <tableColumn id="1712" xr3:uid="{1C514CA5-819D-4831-BDC8-A9BED311C421}" name="Column1707"/>
    <tableColumn id="1713" xr3:uid="{688793B6-380D-4EBB-B662-DFAD9E5A8B40}" name="Column1708"/>
    <tableColumn id="1714" xr3:uid="{77943ABA-9AC4-48A2-9A30-93F91A86E121}" name="Column1709"/>
    <tableColumn id="1715" xr3:uid="{B5EA64DE-A5D1-4321-8C5C-78C4ABA3132C}" name="Column1710"/>
    <tableColumn id="1716" xr3:uid="{16F60B4E-77D5-4796-881F-1F032549AF27}" name="Column1711"/>
    <tableColumn id="1717" xr3:uid="{1E7C12A8-918C-45FF-9273-A3B5624D94AB}" name="Column1712"/>
    <tableColumn id="1718" xr3:uid="{6C527E75-41B8-476D-A42D-007252404254}" name="Column1713"/>
    <tableColumn id="1719" xr3:uid="{E7DED7F5-C5B6-47DA-9005-21D5EC76BA0A}" name="Column1714"/>
    <tableColumn id="1720" xr3:uid="{B1946A26-2C8F-45A3-85A2-0B638128A1BB}" name="Column1715"/>
    <tableColumn id="1721" xr3:uid="{3665A2CE-9C32-43B3-980F-DE824568ED66}" name="Column1716"/>
    <tableColumn id="1722" xr3:uid="{D1CB7A05-6219-4334-9D59-476E10E1B6BE}" name="Column1717"/>
    <tableColumn id="1723" xr3:uid="{EB709440-B4B0-4A83-ADB4-737C5734E4B4}" name="Column1718"/>
    <tableColumn id="1724" xr3:uid="{3F039ED7-0974-41B0-BAD6-F82EB6E9E71D}" name="Column1719"/>
    <tableColumn id="1725" xr3:uid="{9FE150BF-D8C2-45A8-8679-97EF74787100}" name="Column1720"/>
    <tableColumn id="1726" xr3:uid="{B5CB6413-FB70-4205-9E85-31DA320A36AD}" name="Column1721"/>
    <tableColumn id="1727" xr3:uid="{8058EDE0-C8BF-4A0A-8BB4-D2814FB4E108}" name="Column1722"/>
    <tableColumn id="1728" xr3:uid="{E79AE25D-091A-4B81-9CB6-02A489F02E86}" name="Column1723"/>
    <tableColumn id="1729" xr3:uid="{8B49582D-04DA-49C5-90F1-33EF2EC89AAF}" name="Column1724"/>
    <tableColumn id="1730" xr3:uid="{5A0F6A98-B525-45B5-A031-CC5C59EF8089}" name="Column1725"/>
    <tableColumn id="1731" xr3:uid="{ABD4DE5C-AAF7-4A60-BBD3-C8B3A28EBCE0}" name="Column1726"/>
    <tableColumn id="1732" xr3:uid="{3B9D7B6E-CDD0-466A-A450-1C1B03674898}" name="Column1727"/>
    <tableColumn id="1733" xr3:uid="{59581DFC-87D0-4F03-9C86-815C59BC5520}" name="Column1728"/>
    <tableColumn id="1734" xr3:uid="{4846CF73-866B-4BC4-BEDE-BF10F94C9194}" name="Column1729"/>
    <tableColumn id="1735" xr3:uid="{C0C22CBE-F498-4B97-8B47-5C0805417743}" name="Column1730"/>
    <tableColumn id="1736" xr3:uid="{BC813890-172D-4A32-B2D5-7C12937F7B94}" name="Column1731"/>
    <tableColumn id="1737" xr3:uid="{C8BEDE82-4110-4F7D-970B-D6745B13A47A}" name="Column1732"/>
    <tableColumn id="1738" xr3:uid="{181AB36B-1356-4D23-BF53-4E337AFB0E29}" name="Column1733"/>
    <tableColumn id="1739" xr3:uid="{5F01FF76-2238-46C8-9EFE-8F79B9995F4F}" name="Column1734"/>
    <tableColumn id="1740" xr3:uid="{6A7B222C-9274-48A9-9FF3-12DCFE2036B7}" name="Column1735"/>
    <tableColumn id="1741" xr3:uid="{85915B98-13E7-4166-9CCB-B97EA40AB0A7}" name="Column1736"/>
    <tableColumn id="1742" xr3:uid="{EA5A78AB-62C4-416A-8C89-44AEC4431B73}" name="Column1737"/>
    <tableColumn id="1743" xr3:uid="{EAAD5B74-D755-4375-AFF7-9D135F052CA4}" name="Column1738"/>
    <tableColumn id="1744" xr3:uid="{DCE90953-7B19-4BE9-8CAD-F7DCF4CCB1A2}" name="Column1739"/>
    <tableColumn id="1745" xr3:uid="{3738A8C4-9338-47F1-9B70-B21649BC082E}" name="Column1740"/>
    <tableColumn id="1746" xr3:uid="{CE5E3350-03FC-4ECA-BAB6-7FC6E3B7224A}" name="Column1741"/>
    <tableColumn id="1747" xr3:uid="{A5AF0110-0438-435A-A391-75FC4C958213}" name="Column1742"/>
    <tableColumn id="1748" xr3:uid="{C1030F39-85CB-4D28-A62F-C9224B387A9A}" name="Column1743"/>
    <tableColumn id="1749" xr3:uid="{9663E8BF-0870-4015-9571-C8E69477002D}" name="Column1744"/>
    <tableColumn id="1750" xr3:uid="{C673EE6C-1655-48BF-9458-539FB5FF3852}" name="Column1745"/>
    <tableColumn id="1751" xr3:uid="{F93143A2-0EB2-4BDE-878F-B0185B79671C}" name="Column1746"/>
    <tableColumn id="1752" xr3:uid="{DA9F492A-0D85-4C78-9A46-7400EE849C13}" name="Column1747"/>
    <tableColumn id="1753" xr3:uid="{794F6B5D-840E-4270-8F05-D41A604953E8}" name="Column1748"/>
    <tableColumn id="1754" xr3:uid="{F9766E0F-37FF-4DE2-BAE7-87E8ACD41173}" name="Column1749"/>
    <tableColumn id="1755" xr3:uid="{8373B9AE-1E17-4371-B18C-C49B8F5ED002}" name="Column1750"/>
    <tableColumn id="1756" xr3:uid="{09A89E65-A1D5-49FD-9DB2-4D143BB2AF52}" name="Column1751"/>
    <tableColumn id="1757" xr3:uid="{7FDE3B09-E61A-4811-92F1-10C23EB862E0}" name="Column1752"/>
    <tableColumn id="1758" xr3:uid="{6B18354C-630E-4796-BE45-8B02B3F89AED}" name="Column1753"/>
    <tableColumn id="1759" xr3:uid="{5DBD5B81-7734-41CA-BCD7-7998CEAB8469}" name="Column1754"/>
    <tableColumn id="1760" xr3:uid="{FA1FC66F-9038-4B74-ACBC-EC7A9112232C}" name="Column1755"/>
    <tableColumn id="1761" xr3:uid="{48DD3ECF-5B82-4CB3-A455-BE833B7B6009}" name="Column1756"/>
    <tableColumn id="1762" xr3:uid="{276B8495-8933-4263-8677-0C1149FEE7CC}" name="Column1757"/>
    <tableColumn id="1763" xr3:uid="{C4598B3A-4532-4270-A11F-CF7157EFD897}" name="Column1758"/>
    <tableColumn id="1764" xr3:uid="{D4DC2F9B-B51E-4322-8F69-EE256FC1B1F6}" name="Column1759"/>
    <tableColumn id="1765" xr3:uid="{23EF08FF-F1CA-47B6-8CB6-30E6FF77D6BF}" name="Column1760"/>
    <tableColumn id="1766" xr3:uid="{FEA8891A-7103-48BC-92E6-1C0907AFB529}" name="Column1761"/>
    <tableColumn id="1767" xr3:uid="{BE89AA28-3CA3-4DB9-82E1-E216D6516198}" name="Column1762"/>
    <tableColumn id="1768" xr3:uid="{005F3640-A57D-4D2B-B583-02AB42CD7191}" name="Column1763"/>
    <tableColumn id="1769" xr3:uid="{BA7380ED-5281-4F55-8BD8-AAB857D07D3D}" name="Column1764"/>
    <tableColumn id="1770" xr3:uid="{20FABF10-641F-4210-8945-5293C471EABA}" name="Column1765"/>
    <tableColumn id="1771" xr3:uid="{AD05BB7D-A774-46E4-9F98-747B0BC89BBB}" name="Column1766"/>
    <tableColumn id="1772" xr3:uid="{FA72F82C-E776-4A8C-A357-DA06C22F11A7}" name="Column1767"/>
    <tableColumn id="1773" xr3:uid="{F0779B2C-3E7E-4B02-A0A3-DAA6D81D4EF7}" name="Column1768"/>
    <tableColumn id="1774" xr3:uid="{18E4B245-9118-4E70-9951-E7C91054D3C1}" name="Column1769"/>
    <tableColumn id="1775" xr3:uid="{25D98C64-A002-4805-A3A3-8D0880FCAFC9}" name="Column1770"/>
    <tableColumn id="1776" xr3:uid="{DAC4A295-984F-4024-BC21-FD7F52EAC9BB}" name="Column1771"/>
    <tableColumn id="1777" xr3:uid="{33C9D73D-74AA-42F9-8067-E4FA01D135EF}" name="Column1772"/>
    <tableColumn id="1778" xr3:uid="{9E8E48EE-ABB7-4BA5-9FA6-264F0BB7BE72}" name="Column1773"/>
    <tableColumn id="1779" xr3:uid="{53E9A95A-3A6D-40EC-8CDC-0D9702528AA1}" name="Column1774"/>
    <tableColumn id="1780" xr3:uid="{F1D15357-CA36-4FCE-8BA4-AC62E384A179}" name="Column1775"/>
    <tableColumn id="1781" xr3:uid="{90FA3C26-9705-4AD7-854C-AD1016C3DF6C}" name="Column1776"/>
    <tableColumn id="1782" xr3:uid="{C85F6F89-7E76-4171-B0C4-22F96C47228C}" name="Column1777"/>
    <tableColumn id="1783" xr3:uid="{162B16E6-89AE-4A74-A919-0776BDDF300E}" name="Column1778"/>
    <tableColumn id="1784" xr3:uid="{5CAB9CC2-71D7-493D-A7CF-A666C5F5A3EB}" name="Column1779"/>
    <tableColumn id="1785" xr3:uid="{384FBB82-BD77-4901-A635-4A26E41201CC}" name="Column1780"/>
    <tableColumn id="1786" xr3:uid="{F634611E-5F05-45FC-8913-1E64BBA81870}" name="Column1781"/>
    <tableColumn id="1787" xr3:uid="{FAAC9C4D-46A0-4113-A1C0-B279E45ECEC9}" name="Column1782"/>
    <tableColumn id="1788" xr3:uid="{3C170976-C7CC-406F-8456-294D6D3353EA}" name="Column1783"/>
    <tableColumn id="1789" xr3:uid="{7BF30512-FAC8-45CD-AB87-6F02CCF31EBB}" name="Column1784"/>
    <tableColumn id="1790" xr3:uid="{0BEDE36C-E771-45D6-B17D-96352F14A17C}" name="Column1785"/>
    <tableColumn id="1791" xr3:uid="{1249E274-91D8-4F14-B6E2-081C79C7F069}" name="Column1786"/>
    <tableColumn id="1792" xr3:uid="{58167778-7481-4343-9C45-D8FD690ACA0C}" name="Column1787"/>
    <tableColumn id="1793" xr3:uid="{A5CBDE0F-1EAE-40AE-84DB-81715B4F4A41}" name="Column1788"/>
    <tableColumn id="1794" xr3:uid="{8CA4A592-F52E-4E0A-A538-C37EBC2A7B61}" name="Column1789"/>
    <tableColumn id="1795" xr3:uid="{01442D79-A00A-4FC0-B89B-D76F27DA6C2D}" name="Column1790"/>
    <tableColumn id="1796" xr3:uid="{D6008639-33C0-4582-B534-59CCB71074EB}" name="Column1791"/>
    <tableColumn id="1797" xr3:uid="{DD7752DA-08A1-4825-A6C1-CB070A1E7327}" name="Column1792"/>
    <tableColumn id="1798" xr3:uid="{FD8741B6-B79B-4A7D-940C-4A2E66435A8E}" name="Column1793"/>
    <tableColumn id="1799" xr3:uid="{8590852A-D1C4-4494-994F-763FF59F533D}" name="Column1794"/>
    <tableColumn id="1800" xr3:uid="{9F2AF39C-2E80-4C8C-804A-64D97BB7F019}" name="Column1795"/>
    <tableColumn id="1801" xr3:uid="{2883195F-3BBE-4C53-81E8-57F0AC26138F}" name="Column1796"/>
    <tableColumn id="1802" xr3:uid="{51E4788D-E382-4BEC-9AA3-9B5D7944100E}" name="Column1797"/>
    <tableColumn id="1803" xr3:uid="{F4B2E246-A5A5-4C32-AB00-BF55908128D2}" name="Column1798"/>
    <tableColumn id="1804" xr3:uid="{0DFF1AFA-F9E2-4A38-8AAE-E881D5E685A5}" name="Column1799"/>
    <tableColumn id="1805" xr3:uid="{CE05F9EE-4D5D-4D8B-8BDC-414FCA4232C9}" name="Column1800"/>
    <tableColumn id="1806" xr3:uid="{3CFF3AD0-79DC-4E68-99BC-F3C7A623F2E6}" name="Column1801"/>
    <tableColumn id="1807" xr3:uid="{AAA9C659-B768-41C5-ACA8-E7C12539744F}" name="Column1802"/>
    <tableColumn id="1808" xr3:uid="{982D5D7B-3CBC-4D04-AD93-9349CB360E3F}" name="Column1803"/>
    <tableColumn id="1809" xr3:uid="{4B4634D6-C9D2-45D9-BA68-DDE1B143B541}" name="Column1804"/>
    <tableColumn id="1810" xr3:uid="{AEB3EE1B-FA8F-49A4-9E4A-8E4B2A694D43}" name="Column1805"/>
    <tableColumn id="1811" xr3:uid="{4A239C2A-01F4-4611-A7E3-FF757A2B2B6E}" name="Column1806"/>
    <tableColumn id="1812" xr3:uid="{C8DC1662-E60D-4832-8A5E-AC7EE1ACA8B8}" name="Column1807"/>
    <tableColumn id="1813" xr3:uid="{049FB51C-C9BC-48A2-B4E6-F97DBCA67D0B}" name="Column1808"/>
    <tableColumn id="1814" xr3:uid="{3ED4BC88-7DE7-4329-BB3E-AEF0B5B74F11}" name="Column1809"/>
    <tableColumn id="1815" xr3:uid="{A8DAFF72-AE55-4031-A7C0-FB678FDA5B95}" name="Column1810"/>
    <tableColumn id="1816" xr3:uid="{939C2B66-3E3B-48D5-8054-2ACE5A4E0D79}" name="Column1811"/>
    <tableColumn id="1817" xr3:uid="{E74E6CB2-2EEA-40C5-AF3D-06990A90063E}" name="Column1812"/>
    <tableColumn id="1818" xr3:uid="{353ADB3E-FC5D-4F1E-8F5A-F712BCB00E1C}" name="Column1813"/>
    <tableColumn id="1819" xr3:uid="{1C4F9CC2-9C45-4C7A-89D1-4EECD5D79AD9}" name="Column1814"/>
    <tableColumn id="1820" xr3:uid="{21B4A25F-90BB-4364-8672-AC901925D04A}" name="Column1815"/>
    <tableColumn id="1821" xr3:uid="{39B3D450-720D-4483-8832-D19AB862D68E}" name="Column1816"/>
    <tableColumn id="1822" xr3:uid="{00F2ED19-061E-4E3A-BF49-38FC258AF2B5}" name="Column1817"/>
    <tableColumn id="1823" xr3:uid="{BEE511CD-1802-4466-B0A7-34B7EBB86B9F}" name="Column1818"/>
    <tableColumn id="1824" xr3:uid="{3A633E63-8BE5-497E-AD2B-6CA75BB3CA41}" name="Column1819"/>
    <tableColumn id="1825" xr3:uid="{7AFAF2A7-2FA2-4D1C-AA3E-762280BCD54A}" name="Column1820"/>
    <tableColumn id="1826" xr3:uid="{8A787875-5D70-46C4-A98B-E670AAAF53F2}" name="Column1821"/>
    <tableColumn id="1827" xr3:uid="{CDEA7D32-CF2B-4C66-829A-9C704525CF07}" name="Column1822"/>
    <tableColumn id="1828" xr3:uid="{A2C0F30D-890C-4510-8FDA-7F8056024097}" name="Column1823"/>
    <tableColumn id="1829" xr3:uid="{061793EB-AE8E-4849-BF10-D6FCFDC14AD5}" name="Column1824"/>
    <tableColumn id="1830" xr3:uid="{7D7F5973-E407-47C3-9D94-B5462D7C42C3}" name="Column1825"/>
    <tableColumn id="1831" xr3:uid="{4CD437E0-226B-4893-831A-0CCBE6594595}" name="Column1826"/>
    <tableColumn id="1832" xr3:uid="{CF15A769-124F-4E28-9051-B056BBA80986}" name="Column1827"/>
    <tableColumn id="1833" xr3:uid="{A3C0AD39-1997-4E40-AEF0-F7FFC3D7E31D}" name="Column1828"/>
    <tableColumn id="1834" xr3:uid="{0F604758-13D3-4657-942A-9766D338812A}" name="Column1829"/>
    <tableColumn id="1835" xr3:uid="{4BBE25BF-C79C-464C-A09C-3CF5D6E52D95}" name="Column1830"/>
    <tableColumn id="1836" xr3:uid="{E649B210-7392-4149-99F9-ADBFDD120170}" name="Column1831"/>
    <tableColumn id="1837" xr3:uid="{72ADCC6F-62F4-4CD7-BACA-FFC979387303}" name="Column1832"/>
    <tableColumn id="1838" xr3:uid="{C531D63D-D174-465F-9C6A-187066992E25}" name="Column1833"/>
    <tableColumn id="1839" xr3:uid="{4BA81B23-10F5-4ACD-8939-45C1139A7870}" name="Column1834"/>
    <tableColumn id="1840" xr3:uid="{08B76C5A-0F25-4E04-BD41-4CCCAA386297}" name="Column1835"/>
    <tableColumn id="1841" xr3:uid="{E4BC6209-3059-493A-855D-DE179E3EE9BA}" name="Column1836"/>
    <tableColumn id="1842" xr3:uid="{A20E4B3F-BEB8-4211-BBEE-24B6B14C79DA}" name="Column1837"/>
    <tableColumn id="1843" xr3:uid="{6A3428A3-A4BD-4279-8E06-1FE535362BE6}" name="Column1838"/>
    <tableColumn id="1844" xr3:uid="{388CDD1C-6DD8-403A-BF91-B8A702098C00}" name="Column1839"/>
    <tableColumn id="1845" xr3:uid="{ABA9D7A5-98AD-4D86-9C40-67D53632721E}" name="Column1840"/>
    <tableColumn id="1846" xr3:uid="{F578DC42-C2E3-460E-9240-79256D457E3B}" name="Column1841"/>
    <tableColumn id="1847" xr3:uid="{9E004934-84B4-4E49-9BFC-079718455971}" name="Column1842"/>
    <tableColumn id="1848" xr3:uid="{363491A8-9275-4D3A-951C-2C4A7DC4191C}" name="Column1843"/>
    <tableColumn id="1849" xr3:uid="{BFF3C038-B4F7-4586-A995-2BBD95568E00}" name="Column1844"/>
    <tableColumn id="1850" xr3:uid="{AFF8F1EF-C32A-4AC5-A200-6A90F8B751AF}" name="Column1845"/>
    <tableColumn id="1851" xr3:uid="{9F3D7D5A-2279-47A7-B533-DBD350AD76B2}" name="Column1846"/>
    <tableColumn id="1852" xr3:uid="{7D272E49-AB65-4A91-950B-6491880A4116}" name="Column1847"/>
    <tableColumn id="1853" xr3:uid="{0AFAADCA-028B-4BC0-891D-F8EC8923723A}" name="Column1848"/>
    <tableColumn id="1854" xr3:uid="{AD6E756F-2F9C-4E7D-9982-CFC41A55F744}" name="Column1849"/>
    <tableColumn id="1855" xr3:uid="{A7D99620-E996-4E10-8BA1-B784C372E320}" name="Column1850"/>
    <tableColumn id="1856" xr3:uid="{1876B12B-1D19-4D3A-A5B1-56121C8C3FFF}" name="Column1851"/>
    <tableColumn id="1857" xr3:uid="{2F0E2659-2AAC-41B8-BE8B-B8E45742419A}" name="Column1852"/>
    <tableColumn id="1858" xr3:uid="{0FBD0286-C8BE-4173-8FC2-716EAB09F39F}" name="Column1853"/>
    <tableColumn id="1859" xr3:uid="{B511C8E0-BFBE-413C-8152-944070AE3EDC}" name="Column1854"/>
    <tableColumn id="1860" xr3:uid="{5404F266-1FE8-4EE8-8065-7B8F3866BF2A}" name="Column1855"/>
    <tableColumn id="1861" xr3:uid="{650F4684-C878-4442-8EDB-BBC776112282}" name="Column1856"/>
    <tableColumn id="1862" xr3:uid="{46CD9533-F87C-4459-A77F-F78491200875}" name="Column1857"/>
    <tableColumn id="1863" xr3:uid="{E2D38410-3C3C-431D-AA1E-49DB17BD444B}" name="Column1858"/>
    <tableColumn id="1864" xr3:uid="{F7C2C77E-02D1-4FC1-9936-41654354FF76}" name="Column1859"/>
    <tableColumn id="1865" xr3:uid="{18FA7389-D2B5-4212-A16C-13B584EF85BC}" name="Column1860"/>
    <tableColumn id="1866" xr3:uid="{6BC78C25-1452-40DC-848D-990118257881}" name="Column1861"/>
    <tableColumn id="1867" xr3:uid="{A97831C2-0740-4C44-BBDC-721A1C8FED8F}" name="Column1862"/>
    <tableColumn id="1868" xr3:uid="{9073BB10-ECCC-47D0-8200-CCCB0FFA79BA}" name="Column1863"/>
    <tableColumn id="1869" xr3:uid="{43BA450D-9F76-4BFA-B1F2-21EE340221C7}" name="Column1864"/>
    <tableColumn id="1870" xr3:uid="{F5E62485-A98F-4F1C-B79E-ECD5482ECAE2}" name="Column1865"/>
    <tableColumn id="1871" xr3:uid="{41DED199-18C4-44AF-A5B8-66BA069B902C}" name="Column1866"/>
    <tableColumn id="1872" xr3:uid="{92BDC6E1-EB19-43EB-8744-2314CA017C10}" name="Column1867"/>
    <tableColumn id="1873" xr3:uid="{34DC66FF-1B1D-4353-BB36-35320B48377A}" name="Column1868"/>
    <tableColumn id="1874" xr3:uid="{04FA4084-1613-4402-861C-1F7BCC17BE47}" name="Column1869"/>
    <tableColumn id="1875" xr3:uid="{9D4A2D25-0FB3-4910-BF20-4B1633A8F065}" name="Column1870"/>
    <tableColumn id="1876" xr3:uid="{36BC1358-8BF6-4566-9CED-2D3FBC62CCD9}" name="Column1871"/>
    <tableColumn id="1877" xr3:uid="{380241F1-EBDF-43A7-977A-6E4867011A76}" name="Column1872"/>
    <tableColumn id="1878" xr3:uid="{6D0B1F8E-2A29-407B-83D7-2112F8687165}" name="Column1873"/>
    <tableColumn id="1879" xr3:uid="{5CD2E4AD-37B3-4A02-BA12-258F61E3782A}" name="Column1874"/>
    <tableColumn id="1880" xr3:uid="{50493219-57F1-4219-BB9E-1D7AB1BD3D44}" name="Column1875"/>
    <tableColumn id="1881" xr3:uid="{E4FC876E-EA4A-4AD6-9401-7DF3E92B759C}" name="Column1876"/>
    <tableColumn id="1882" xr3:uid="{0F04748A-E136-4422-AE3B-F4BBE0012263}" name="Column1877"/>
    <tableColumn id="1883" xr3:uid="{F445D5E1-D1C2-4985-8F77-887374D903CD}" name="Column1878"/>
    <tableColumn id="1884" xr3:uid="{108D8F71-0B99-461F-9589-DBCD5DBD9264}" name="Column1879"/>
    <tableColumn id="1885" xr3:uid="{5FFEDF34-31A2-455A-AF0F-EDDB235887CA}" name="Column1880"/>
    <tableColumn id="1886" xr3:uid="{B1E9A874-6722-4AC2-96AC-03E4FC57CEA9}" name="Column1881"/>
    <tableColumn id="1887" xr3:uid="{B6E0AEE9-DD5A-40DD-BFAE-157746B0F374}" name="Column1882"/>
    <tableColumn id="1888" xr3:uid="{8DD6C7C5-DFC4-492A-83A9-B6AE0F4ABACE}" name="Column1883"/>
    <tableColumn id="1889" xr3:uid="{54A16862-F4CE-4A58-AAC0-862645619170}" name="Column1884"/>
    <tableColumn id="1890" xr3:uid="{B0BBB417-F7B5-476D-BEB5-AA57F7A4F48C}" name="Column1885"/>
    <tableColumn id="1891" xr3:uid="{45EABED8-B900-42CA-AC51-95863FB4DFD4}" name="Column1886"/>
    <tableColumn id="1892" xr3:uid="{90C15C3E-C84B-4E37-A5B0-BC7D50B517D9}" name="Column1887"/>
    <tableColumn id="1893" xr3:uid="{F72E8A53-26D9-4173-81B6-F31BE1BAA92D}" name="Column1888"/>
    <tableColumn id="1894" xr3:uid="{8AA41865-371D-4C92-B7BF-946FD4C9D475}" name="Column1889"/>
    <tableColumn id="1895" xr3:uid="{1DECE1BA-706D-418B-A6EF-E9B2D87E113A}" name="Column1890"/>
    <tableColumn id="1896" xr3:uid="{6CE61B09-3749-4B12-9D61-D8A0837E228B}" name="Column1891"/>
    <tableColumn id="1897" xr3:uid="{765E6435-2CE0-4D3C-A1C9-E62FC48F4F1D}" name="Column1892"/>
    <tableColumn id="1898" xr3:uid="{16F76DD5-8BD1-4C00-8273-D385A30FF4D3}" name="Column1893"/>
    <tableColumn id="1899" xr3:uid="{5BF5E8EE-402E-4D18-AD68-7659D9C8900E}" name="Column1894"/>
    <tableColumn id="1900" xr3:uid="{F9AADD74-6B4F-4EFA-8EA1-A2152356D83B}" name="Column1895"/>
    <tableColumn id="1901" xr3:uid="{C2B43F06-B610-47CF-B740-52EF3DFDE963}" name="Column1896"/>
    <tableColumn id="1902" xr3:uid="{B5BD0B0E-1D65-4EDD-810E-2CB3F1D8D0DA}" name="Column1897"/>
    <tableColumn id="1903" xr3:uid="{09C0267A-EF38-45C1-B204-6FAA62DA2E3A}" name="Column1898"/>
    <tableColumn id="1904" xr3:uid="{19C581C2-4AD0-4C1A-AE07-7D10D016C63B}" name="Column1899"/>
    <tableColumn id="1905" xr3:uid="{5B952E50-9F6B-4754-943E-FFAF28D39450}" name="Column1900"/>
    <tableColumn id="1906" xr3:uid="{80E071BB-4799-4421-8021-55A541403C39}" name="Column1901"/>
    <tableColumn id="1907" xr3:uid="{F352DF1C-023D-4805-8981-D860C2A68BC9}" name="Column1902"/>
    <tableColumn id="1908" xr3:uid="{B79EC339-E730-43F5-967B-1812BFFF837A}" name="Column1903"/>
    <tableColumn id="1909" xr3:uid="{2887CE17-A23D-481B-B892-9341AC75BEF0}" name="Column1904"/>
    <tableColumn id="1910" xr3:uid="{EF5DD66B-89B8-49C2-B02F-3621B027AF80}" name="Column1905"/>
    <tableColumn id="1911" xr3:uid="{58828C6C-2F44-4678-9BEA-6593AB4EFEBE}" name="Column1906"/>
    <tableColumn id="1912" xr3:uid="{3106A953-9555-4ECD-9685-68E736AB7CC0}" name="Column1907"/>
    <tableColumn id="1913" xr3:uid="{871BE514-467B-4835-8093-066F95627840}" name="Column1908"/>
    <tableColumn id="1914" xr3:uid="{879CC1FE-A487-43A0-9756-E3B91D9418E2}" name="Column1909"/>
    <tableColumn id="1915" xr3:uid="{41AB1107-D4E6-4731-9A7D-2FC7E1CD777A}" name="Column1910"/>
    <tableColumn id="1916" xr3:uid="{E562BE05-D16F-40B0-8C0E-70CEA1D1C092}" name="Column1911"/>
    <tableColumn id="1917" xr3:uid="{A1ACDF48-8995-4F92-A520-3601E6139770}" name="Column1912"/>
    <tableColumn id="1918" xr3:uid="{A3C0066E-6BB1-4946-83FD-767C12293D9D}" name="Column1913"/>
    <tableColumn id="1919" xr3:uid="{824C5735-D81A-4862-ABF2-73F16055DEAD}" name="Column1914"/>
    <tableColumn id="1920" xr3:uid="{4D5403F5-EDD4-47FB-8E5F-ED22CE3564B7}" name="Column1915"/>
    <tableColumn id="1921" xr3:uid="{655ADEF8-0E78-45BD-B852-88244CEA9931}" name="Column1916"/>
    <tableColumn id="1922" xr3:uid="{23A3BE9D-3B4F-4872-BBD2-0DCC8274D19C}" name="Column1917"/>
    <tableColumn id="1923" xr3:uid="{73F164C6-A815-496A-AF67-609AD8FEB40B}" name="Column1918"/>
    <tableColumn id="1924" xr3:uid="{92DD8EE5-A837-4114-A74F-2A9CE1734B5A}" name="Column1919"/>
    <tableColumn id="1925" xr3:uid="{632E54D2-239C-41C0-81B6-F4B49922F3AC}" name="Column1920"/>
    <tableColumn id="1926" xr3:uid="{8DCFBF07-ADFD-4045-94FF-BFD3AE521B0B}" name="Column1921"/>
    <tableColumn id="1927" xr3:uid="{34F2E400-8311-493B-AAD4-55722F7A04A4}" name="Column1922"/>
    <tableColumn id="1928" xr3:uid="{E847C97E-97EF-49CE-AFF3-84961CC3CA43}" name="Column1923"/>
    <tableColumn id="1929" xr3:uid="{800290F1-15DD-4726-8160-24752298D67E}" name="Column1924"/>
    <tableColumn id="1930" xr3:uid="{26A8049C-E9E1-423C-8A49-A75C581927E2}" name="Column1925"/>
    <tableColumn id="1931" xr3:uid="{6FC55B8D-A28B-4D21-9930-E04AF23AA9DD}" name="Column1926"/>
    <tableColumn id="1932" xr3:uid="{875F6D24-9353-4360-917B-8902BA647785}" name="Column1927"/>
    <tableColumn id="1933" xr3:uid="{3FFD5B48-C46C-4F38-9F3A-B1F9A90A9523}" name="Column1928"/>
    <tableColumn id="1934" xr3:uid="{5EBF01F9-40F1-4829-8184-8F3D23F357FB}" name="Column1929"/>
    <tableColumn id="1935" xr3:uid="{26B9AD4F-AFB1-4622-B3C1-5CA17D2A643D}" name="Column1930"/>
    <tableColumn id="1936" xr3:uid="{DBD83284-0AF8-4F24-A5FF-39391BA57175}" name="Column1931"/>
    <tableColumn id="1937" xr3:uid="{7B9378F0-C6B0-4A94-9F5D-9B1A55047475}" name="Column1932"/>
    <tableColumn id="1938" xr3:uid="{418CF435-5433-469A-83B0-E076419A2BC7}" name="Column1933"/>
    <tableColumn id="1939" xr3:uid="{3633A5D9-6226-4F8B-A1E6-D55D54C55ACC}" name="Column1934"/>
    <tableColumn id="1940" xr3:uid="{738CB55E-21D5-4F8F-9945-360197FBC3C3}" name="Column1935"/>
    <tableColumn id="1941" xr3:uid="{D922F101-23DB-4669-A9C3-1E773D8FC76A}" name="Column1936"/>
    <tableColumn id="1942" xr3:uid="{7802A108-6398-4CF1-84FF-18A83F4B0F0C}" name="Column1937"/>
    <tableColumn id="1943" xr3:uid="{DA686470-34D4-457A-9178-26D2C2A875F3}" name="Column1938"/>
    <tableColumn id="1944" xr3:uid="{35B178D2-91A5-4639-8EED-A2D927237205}" name="Column1939"/>
    <tableColumn id="1945" xr3:uid="{4995EE59-D738-4245-A8C9-6FF0C17119EE}" name="Column1940"/>
    <tableColumn id="1946" xr3:uid="{F1D9EF90-A221-4DAB-A663-8B4DB4A0DDE0}" name="Column1941"/>
    <tableColumn id="1947" xr3:uid="{7948A482-C189-4FA6-9922-4DE01BB5BEAF}" name="Column1942"/>
    <tableColumn id="1948" xr3:uid="{A6DCA293-7691-4997-8010-5BEF4716DF4A}" name="Column1943"/>
    <tableColumn id="1949" xr3:uid="{D207EE1A-9208-4B0F-B17C-9120976E06A0}" name="Column1944"/>
    <tableColumn id="1950" xr3:uid="{A03083AF-AC51-4EF8-BDF7-3CD16766F351}" name="Column1945"/>
    <tableColumn id="1951" xr3:uid="{7D2E09E2-A622-463A-A9E2-479B40C5DD72}" name="Column1946"/>
    <tableColumn id="1952" xr3:uid="{47D5127B-DAF2-4AEB-AB09-80C28A766848}" name="Column1947"/>
    <tableColumn id="1953" xr3:uid="{F192B945-03A3-4EB5-9451-5164FD835087}" name="Column1948"/>
    <tableColumn id="1954" xr3:uid="{F2DBCE3D-4521-4306-B06E-DFA7E8EEFE07}" name="Column1949"/>
    <tableColumn id="1955" xr3:uid="{9A2DE9A9-31FF-42A3-ACCD-8B38CED720F9}" name="Column1950"/>
    <tableColumn id="1956" xr3:uid="{E8A5E0FD-BF10-499E-8FB3-56EEDC3BBB28}" name="Column1951"/>
    <tableColumn id="1957" xr3:uid="{01768A75-4266-45D6-86FB-4FC40BE8C916}" name="Column1952"/>
    <tableColumn id="1958" xr3:uid="{D3904939-3454-4A13-A334-EAD71D48978A}" name="Column1953"/>
    <tableColumn id="1959" xr3:uid="{7FADA0C1-6034-417F-8E30-0549F24ED681}" name="Column1954"/>
    <tableColumn id="1960" xr3:uid="{54882DCD-AD0D-4DA4-A435-BA978B3F3D25}" name="Column1955"/>
    <tableColumn id="1961" xr3:uid="{E7D48258-DA4B-4358-A6C8-71D90182E878}" name="Column1956"/>
    <tableColumn id="1962" xr3:uid="{A1DE7931-A1F7-4213-8450-D487760E6E4A}" name="Column1957"/>
    <tableColumn id="1963" xr3:uid="{1FB5B659-D3ED-47EB-A52B-A7E55D391738}" name="Column1958"/>
    <tableColumn id="1964" xr3:uid="{BDA7DAEB-4CA9-46BC-AF67-303A7128242F}" name="Column1959"/>
    <tableColumn id="1965" xr3:uid="{829F59F0-FE32-40FB-AB04-A25CE38B5381}" name="Column1960"/>
    <tableColumn id="1966" xr3:uid="{4DA994B4-D139-4712-8D1B-9D7C1B64208E}" name="Column1961"/>
    <tableColumn id="1967" xr3:uid="{AF91DDA9-6A35-4C02-9057-CA0EA8481CBA}" name="Column1962"/>
    <tableColumn id="1968" xr3:uid="{47C2E016-54D3-4753-A568-1C09067D9A21}" name="Column1963"/>
    <tableColumn id="1969" xr3:uid="{F0889727-73AB-463F-AA0E-94414BACB12E}" name="Column1964"/>
    <tableColumn id="1970" xr3:uid="{6777E5FC-7767-4151-BE5E-13354955C8CD}" name="Column1965"/>
    <tableColumn id="1971" xr3:uid="{5C4F4E60-ED53-4B96-8E8F-98DB33BFA38C}" name="Column1966"/>
    <tableColumn id="1972" xr3:uid="{C7E34233-CB39-4776-8175-BAE9FA759AA5}" name="Column1967"/>
    <tableColumn id="1973" xr3:uid="{5AB5D562-C19F-4AB4-8E5E-F0CBC1248A1D}" name="Column1968"/>
    <tableColumn id="1974" xr3:uid="{ED707DDA-EA16-40DC-A5B8-31F86FC22C8F}" name="Column1969"/>
    <tableColumn id="1975" xr3:uid="{05880235-88D8-4A3D-8370-6EA3AC3D9F4D}" name="Column1970"/>
    <tableColumn id="1976" xr3:uid="{B99695B4-233A-467D-A058-40CBA2257550}" name="Column1971"/>
    <tableColumn id="1977" xr3:uid="{A5777985-E969-45C7-9014-E0C4A5308440}" name="Column1972"/>
    <tableColumn id="1978" xr3:uid="{BCABD676-F912-4EE1-8244-171E5C047973}" name="Column1973"/>
    <tableColumn id="1979" xr3:uid="{D1005B72-B835-45C0-A52A-19A394C5CACF}" name="Column1974"/>
    <tableColumn id="1980" xr3:uid="{6CCFDC23-0DCB-451A-B4E8-62A9C479F5A4}" name="Column1975"/>
    <tableColumn id="1981" xr3:uid="{5BFE7C4D-3518-48CF-84FE-F4856909F470}" name="Column1976"/>
    <tableColumn id="1982" xr3:uid="{6543B25C-6663-42FB-BE9F-57370DF82B82}" name="Column1977"/>
    <tableColumn id="1983" xr3:uid="{E3C7051F-F608-46AC-B3C6-9DC195D1DDA0}" name="Column1978"/>
    <tableColumn id="1984" xr3:uid="{DBC011BB-7594-4E1F-891E-BEC7A4920A4A}" name="Column1979"/>
    <tableColumn id="1985" xr3:uid="{52FAD60B-AC24-4C8D-8752-6CDE6B0DDF1C}" name="Column1980"/>
    <tableColumn id="1986" xr3:uid="{1239BD9D-00F8-4061-9048-621A0DB86FB2}" name="Column1981"/>
    <tableColumn id="1987" xr3:uid="{32CD4A79-51AD-4C9D-B92F-1E496BD6B26E}" name="Column1982"/>
    <tableColumn id="1988" xr3:uid="{C3B2B66F-F987-485C-8435-DEFB4CB27A8A}" name="Column1983"/>
    <tableColumn id="1989" xr3:uid="{C1B19CFA-56C8-4324-96B7-F2E0B3012539}" name="Column1984"/>
    <tableColumn id="1990" xr3:uid="{E9293A10-B886-48CE-83FF-C8B2240539B8}" name="Column1985"/>
    <tableColumn id="1991" xr3:uid="{A4F5D660-AD18-4393-B91A-EC431AB62925}" name="Column1986"/>
    <tableColumn id="1992" xr3:uid="{592C063A-1ADB-41AC-BB8B-346548E5F952}" name="Column1987"/>
    <tableColumn id="1993" xr3:uid="{A4F2C9B8-8E8B-4F30-9B8E-0A7434FAB386}" name="Column1988"/>
    <tableColumn id="1994" xr3:uid="{F583EF42-F0C1-4709-BBE0-12AAC4E9851D}" name="Column1989"/>
    <tableColumn id="1995" xr3:uid="{6A8A4CC0-E563-4A71-BA45-2EA6BEA93E4D}" name="Column1990"/>
    <tableColumn id="1996" xr3:uid="{9418E39E-738A-4780-8658-FA4FE5E978EA}" name="Column1991"/>
    <tableColumn id="1997" xr3:uid="{A3AA1410-E1C9-49EC-93F8-742AD5D08F4E}" name="Column1992"/>
    <tableColumn id="1998" xr3:uid="{0A8560DB-72FF-4123-90A3-E1012FCD0E44}" name="Column1993"/>
    <tableColumn id="1999" xr3:uid="{41E55D13-85F1-4CC1-B630-B62509584256}" name="Column1994"/>
    <tableColumn id="2000" xr3:uid="{5A36CC63-E2BD-430F-97B5-57CAACC860C2}" name="Column1995"/>
    <tableColumn id="2001" xr3:uid="{5F59D9CD-B156-4802-AE07-EE3E57265ABC}" name="Column1996"/>
    <tableColumn id="2002" xr3:uid="{2B9315BC-1E01-4365-96DB-70581D13554E}" name="Column1997"/>
    <tableColumn id="2003" xr3:uid="{280D607F-0D63-4F0B-B674-CC1F65607493}" name="Column1998"/>
    <tableColumn id="2004" xr3:uid="{61D05FF1-CFC3-4F4E-9486-4D6B12A13ED7}" name="Column1999"/>
    <tableColumn id="2005" xr3:uid="{70E2F285-AC2F-46B3-9C70-0EB0D1B689E0}" name="Column2000"/>
    <tableColumn id="2006" xr3:uid="{D5DFE119-2BC9-4E74-8218-F7824D91E2CC}" name="Column2001"/>
    <tableColumn id="2007" xr3:uid="{5AA6C371-2B7C-4265-A568-2E7CD309976C}" name="Column2002"/>
    <tableColumn id="2008" xr3:uid="{0A26EDF2-F1B9-4EFF-B341-EDAA51B65795}" name="Column2003"/>
    <tableColumn id="2009" xr3:uid="{0BEF6F03-1E2D-4B7A-A856-A99F1B331F07}" name="Column2004"/>
    <tableColumn id="2010" xr3:uid="{5D9E850A-C5FA-49B4-8C81-4578A9B2CCA0}" name="Column2005"/>
    <tableColumn id="2011" xr3:uid="{0E62D3F2-5034-4089-BAB0-3D8034EC5FE5}" name="Column2006"/>
    <tableColumn id="2012" xr3:uid="{772138EC-C003-4196-A5A5-CC3B152A7373}" name="Column2007"/>
    <tableColumn id="2013" xr3:uid="{5AD16D89-AE27-4B4F-A9E0-1E519B18FB1B}" name="Column2008"/>
    <tableColumn id="2014" xr3:uid="{5A1537BE-065B-4931-8DAA-F63EBE351E9D}" name="Column2009"/>
    <tableColumn id="2015" xr3:uid="{90F4BE25-B7BF-48A8-BF8B-8A3A1F9ACD19}" name="Column2010"/>
    <tableColumn id="2016" xr3:uid="{A9BF6F46-261B-4404-8263-2680A12B5587}" name="Column2011"/>
    <tableColumn id="2017" xr3:uid="{18B2AD42-9FBD-41D0-8791-0210EC9F6557}" name="Column2012"/>
    <tableColumn id="2018" xr3:uid="{EA3F4B62-4FB0-4747-989E-7A6A51E1E429}" name="Column2013"/>
    <tableColumn id="2019" xr3:uid="{48E985F4-8787-4D4D-8665-451ECD700A32}" name="Column2014"/>
    <tableColumn id="2020" xr3:uid="{32E889FE-8C74-442B-AA79-AA849BB4D53E}" name="Column2015"/>
    <tableColumn id="2021" xr3:uid="{EFB5A645-2075-499F-BB75-45FCCF94B4DB}" name="Column2016"/>
    <tableColumn id="2022" xr3:uid="{F996E7E0-1E68-44B5-862B-1BBAABB145A3}" name="Column2017"/>
    <tableColumn id="2023" xr3:uid="{7FB615ED-A385-497B-8EDA-86AE4D7F59A4}" name="Column2018"/>
    <tableColumn id="2024" xr3:uid="{C3FD7F7F-FF5B-4A32-A95D-45DE6DA280C6}" name="Column2019"/>
    <tableColumn id="2025" xr3:uid="{3F3BE31B-3C40-400E-AF31-AAE6A21550BC}" name="Column2020"/>
    <tableColumn id="2026" xr3:uid="{8F7C26E1-0462-4568-AF70-D7C6E3EFA25B}" name="Column2021"/>
    <tableColumn id="2027" xr3:uid="{4BA889E7-7AF7-4275-BC7E-3187B39DA235}" name="Column2022"/>
    <tableColumn id="2028" xr3:uid="{F9DC5B1C-7783-4547-8E01-6AFF0333E597}" name="Column2023"/>
    <tableColumn id="2029" xr3:uid="{07F00218-25D6-41E1-9AC6-587ED141D216}" name="Column2024"/>
    <tableColumn id="2030" xr3:uid="{8A99C691-F1E6-4B6A-ACD5-4E5BFAB05FCE}" name="Column2025"/>
    <tableColumn id="2031" xr3:uid="{C3A34F0F-6347-4AF0-8B37-08D319A4C5A9}" name="Column2026"/>
    <tableColumn id="2032" xr3:uid="{33713220-6C8D-4C88-9992-3CD2AD1147A3}" name="Column2027"/>
    <tableColumn id="2033" xr3:uid="{F21147CE-344A-43BD-95D8-CC2825D749BE}" name="Column2028"/>
    <tableColumn id="2034" xr3:uid="{6766A3DD-7B34-4C63-9AFD-294F9E62DFBA}" name="Column2029"/>
    <tableColumn id="2035" xr3:uid="{A79C1D15-E953-4361-8898-20BCE6D979F2}" name="Column2030"/>
    <tableColumn id="2036" xr3:uid="{3D4258D4-BAE4-4EFC-AA05-AD83093A26FA}" name="Column2031"/>
    <tableColumn id="2037" xr3:uid="{9A927DD7-D8E4-459D-9E8E-B4739DD105AE}" name="Column2032"/>
    <tableColumn id="2038" xr3:uid="{1966CCE3-0C84-4C64-AF90-3832895B2256}" name="Column2033"/>
    <tableColumn id="2039" xr3:uid="{636F4C9B-5DEF-4A75-B5A8-F03FA9D6D81A}" name="Column2034"/>
    <tableColumn id="2040" xr3:uid="{ECE2FC42-E346-46B5-96ED-C561DA2F3E61}" name="Column2035"/>
    <tableColumn id="2041" xr3:uid="{5C678235-8DBE-41A0-B0BE-6BF20506BA5C}" name="Column2036"/>
    <tableColumn id="2042" xr3:uid="{54CE9D27-059F-4C83-8B9A-B150004A345A}" name="Column2037"/>
    <tableColumn id="2043" xr3:uid="{58F56057-C98B-4CC1-98C2-DDBA784E155A}" name="Column2038"/>
    <tableColumn id="2044" xr3:uid="{626CAED0-3841-4458-A18D-6967F1F1C1F6}" name="Column2039"/>
    <tableColumn id="2045" xr3:uid="{D31A62A4-39BB-4988-B6A6-4F131DCC6AA8}" name="Column2040"/>
    <tableColumn id="2046" xr3:uid="{C1E54F5B-26A0-4C41-8750-A22BEC013A9C}" name="Column2041"/>
    <tableColumn id="2047" xr3:uid="{5D78E566-9514-4428-9FCF-24828FB26D29}" name="Column2042"/>
    <tableColumn id="2048" xr3:uid="{EF787324-AA7E-4E6E-A427-8C07B593E10D}" name="Column2043"/>
    <tableColumn id="2049" xr3:uid="{096CD132-5EE4-4BAA-9183-9CA2B431D22E}" name="Column2044"/>
    <tableColumn id="2050" xr3:uid="{729B27CA-8A4F-4AA5-BB8D-6826A65EB2E8}" name="Column2045"/>
    <tableColumn id="2051" xr3:uid="{D003C1FC-1B5C-41BD-92F8-6DDCEFD79B0D}" name="Column2046"/>
    <tableColumn id="2052" xr3:uid="{36AC9C14-2E7E-46BA-A039-D4EE35EDDE80}" name="Column2047"/>
    <tableColumn id="2053" xr3:uid="{631C8466-1796-4CE2-982D-DC906D3F05E5}" name="Column2048"/>
    <tableColumn id="2054" xr3:uid="{A4A28F53-C8A3-40E0-8DB0-1DD5E8CB3CF2}" name="Column2049"/>
    <tableColumn id="2055" xr3:uid="{CCC29F1B-6CDC-4519-A80A-E004E3370241}" name="Column2050"/>
    <tableColumn id="2056" xr3:uid="{609110A8-4F63-4C8E-A14A-5CC1335FD833}" name="Column2051"/>
    <tableColumn id="2057" xr3:uid="{5801B94E-4E3F-4EE8-9678-02648EE15C0A}" name="Column2052"/>
    <tableColumn id="2058" xr3:uid="{BFE5D4AE-F9F3-43DE-A255-45A12469C00B}" name="Column2053"/>
    <tableColumn id="2059" xr3:uid="{49212EF5-CB87-4286-98A6-4D7BF16469A5}" name="Column2054"/>
    <tableColumn id="2060" xr3:uid="{8F0B2B41-7F7B-4FFF-A6FD-6CD1C6440EF9}" name="Column2055"/>
    <tableColumn id="2061" xr3:uid="{B587CA4E-7223-4B8D-913B-9F378856373F}" name="Column2056"/>
    <tableColumn id="2062" xr3:uid="{517B81C1-DCBB-4B87-B686-9EA9F65B9B61}" name="Column2057"/>
    <tableColumn id="2063" xr3:uid="{8DA5F71F-8921-443A-87F5-21872BB2F23E}" name="Column2058"/>
    <tableColumn id="2064" xr3:uid="{E657FB12-1167-42FD-95E8-8772EF661C83}" name="Column2059"/>
    <tableColumn id="2065" xr3:uid="{D267AA53-12FB-49C2-BEF2-0BB587796FB4}" name="Column2060"/>
    <tableColumn id="2066" xr3:uid="{08CD705B-6FCB-4AA4-8E01-50D2AE2549C3}" name="Column2061"/>
    <tableColumn id="2067" xr3:uid="{F8627824-61DB-4AB6-93DD-109E5BA8C453}" name="Column2062"/>
    <tableColumn id="2068" xr3:uid="{CB3CD0CB-8336-4E1A-8E68-CC84D7501FAA}" name="Column2063"/>
    <tableColumn id="2069" xr3:uid="{57B6F551-7B6B-4D11-9FCD-ABF96C3D18BF}" name="Column2064"/>
    <tableColumn id="2070" xr3:uid="{9505C6D3-C91D-4F6F-B029-9A3ED414A258}" name="Column2065"/>
    <tableColumn id="2071" xr3:uid="{8DC03729-89C1-4BA8-9DF4-B2D07DD50614}" name="Column2066"/>
    <tableColumn id="2072" xr3:uid="{1C320D0D-666D-4C0F-90AA-2FD8A460E11D}" name="Column2067"/>
    <tableColumn id="2073" xr3:uid="{C352A319-F591-4D25-8309-241007F55BAC}" name="Column2068"/>
    <tableColumn id="2074" xr3:uid="{764D142D-34D8-4CD7-8488-CA7B972991D8}" name="Column2069"/>
    <tableColumn id="2075" xr3:uid="{188F90AC-D225-413A-ACB2-8BDE40DD9C38}" name="Column2070"/>
    <tableColumn id="2076" xr3:uid="{3B9A4DC2-4586-4F05-B1EC-D2680D5B0625}" name="Column2071"/>
    <tableColumn id="2077" xr3:uid="{EAB7A8DC-F7A3-40E5-B559-003C6817DB51}" name="Column2072"/>
    <tableColumn id="2078" xr3:uid="{73B5CFB9-452B-4139-84C2-EFF491610128}" name="Column2073"/>
    <tableColumn id="2079" xr3:uid="{9F1F4997-D4F7-46BE-9E24-B1355A5D7245}" name="Column2074"/>
    <tableColumn id="2080" xr3:uid="{1E6DC479-4F5D-4EE1-91B4-2C116CA6C008}" name="Column2075"/>
    <tableColumn id="2081" xr3:uid="{4BC8C6D6-EC4A-47F0-940B-04679EDBE4F4}" name="Column2076"/>
    <tableColumn id="2082" xr3:uid="{53A1F0D2-3D1D-4D99-BC1E-90665072F26A}" name="Column2077"/>
    <tableColumn id="2083" xr3:uid="{4681FAB2-FB17-4268-9F26-F1AECD57F9A8}" name="Column2078"/>
    <tableColumn id="2084" xr3:uid="{4391396C-6BEF-4AF7-B4EF-DCC9E2FB18AE}" name="Column2079"/>
    <tableColumn id="2085" xr3:uid="{971C1BF0-869D-4D11-8DC5-D8227F98098B}" name="Column2080"/>
    <tableColumn id="2086" xr3:uid="{62A854A6-8E8D-4F5D-8494-0A7E4620B971}" name="Column2081"/>
    <tableColumn id="2087" xr3:uid="{F0F3AFD1-2FCB-4F3F-8AA3-2C5F2DF5EBA8}" name="Column2082"/>
    <tableColumn id="2088" xr3:uid="{EDE8F629-9F78-4753-A0C2-F167B8A57EB4}" name="Column2083"/>
    <tableColumn id="2089" xr3:uid="{471E483B-F756-45E0-BF50-7341511844F6}" name="Column2084"/>
    <tableColumn id="2090" xr3:uid="{7809659D-8233-4ECF-8482-7E4B59ABE360}" name="Column2085"/>
    <tableColumn id="2091" xr3:uid="{493E7353-210A-4F9E-BF8B-3D5E98FBB54A}" name="Column2086"/>
    <tableColumn id="2092" xr3:uid="{A756B8D6-0067-42FA-8949-8DE68537AAF3}" name="Column2087"/>
    <tableColumn id="2093" xr3:uid="{61DE208D-116C-4980-B1CA-B616883114B4}" name="Column2088"/>
    <tableColumn id="2094" xr3:uid="{8ECE9020-0A1A-49C0-94EA-8A880914B689}" name="Column2089"/>
    <tableColumn id="2095" xr3:uid="{CC0F8718-D3AA-4BFC-B4E9-A5121645D0CB}" name="Column2090"/>
    <tableColumn id="2096" xr3:uid="{9ABF292E-532A-4074-80ED-93AE2864FC2C}" name="Column2091"/>
    <tableColumn id="2097" xr3:uid="{E542F0BF-FB7E-4EFF-9E7E-F2070A8B91A4}" name="Column2092"/>
    <tableColumn id="2098" xr3:uid="{B024E9A8-58C7-41A8-96C4-3503D294B5F5}" name="Column2093"/>
    <tableColumn id="2099" xr3:uid="{4DE426CE-A294-4377-96FF-9E090F33ABAA}" name="Column2094"/>
    <tableColumn id="2100" xr3:uid="{6DA3F022-C068-4BBA-A1A1-1BE20B074950}" name="Column2095"/>
    <tableColumn id="2101" xr3:uid="{BAD6EF9D-9F13-4D03-9377-E15E0F6837E7}" name="Column2096"/>
    <tableColumn id="2102" xr3:uid="{E8F4AC62-6EA4-4FA2-B8F7-E85BB7596E58}" name="Column2097"/>
    <tableColumn id="2103" xr3:uid="{A90948F2-9298-4124-9266-583F775D9998}" name="Column2098"/>
    <tableColumn id="2104" xr3:uid="{491BD691-4974-433C-BF32-0A00690A69F8}" name="Column2099"/>
    <tableColumn id="2105" xr3:uid="{D6F076E1-5860-43B7-B4BC-5ECBFA5262ED}" name="Column2100"/>
    <tableColumn id="2106" xr3:uid="{48C16BB8-305F-4285-8C63-268ABB00ED74}" name="Column2101"/>
    <tableColumn id="2107" xr3:uid="{FE92E888-07EC-454F-96C9-5E933890F83F}" name="Column2102"/>
    <tableColumn id="2108" xr3:uid="{67376153-D42E-48A2-8803-6B14A665966A}" name="Column2103"/>
    <tableColumn id="2109" xr3:uid="{14672268-1603-4B71-B90D-E8EE6BD4D3C8}" name="Column2104"/>
    <tableColumn id="2110" xr3:uid="{CC7C28AD-D26C-4764-B35A-531835C78E68}" name="Column2105"/>
    <tableColumn id="2111" xr3:uid="{45AC8B7D-BB06-4348-96C1-C4487D67E64C}" name="Column2106"/>
    <tableColumn id="2112" xr3:uid="{A12A5D47-0615-43B0-8706-9650A45E36A3}" name="Column2107"/>
    <tableColumn id="2113" xr3:uid="{DE6951AE-7459-4C4F-B578-6DE2DD34FAA2}" name="Column2108"/>
    <tableColumn id="2114" xr3:uid="{198F3C4A-0185-481A-8E3E-897333ED8863}" name="Column2109"/>
    <tableColumn id="2115" xr3:uid="{11C53A11-5E02-4CE9-878C-58B388D30377}" name="Column2110"/>
    <tableColumn id="2116" xr3:uid="{E4FE9B97-A85F-46DC-800E-BCF7E24ECBB5}" name="Column2111"/>
    <tableColumn id="2117" xr3:uid="{5C91D1E8-B701-4878-8170-B3C935660D8C}" name="Column2112"/>
    <tableColumn id="2118" xr3:uid="{FC814641-3030-4CA6-9169-33C3AB48E1B5}" name="Column2113"/>
    <tableColumn id="2119" xr3:uid="{E4F9B216-F577-456B-A862-8B55D1E80863}" name="Column2114"/>
    <tableColumn id="2120" xr3:uid="{3CFB74AC-A7FD-4D84-B6D9-EB02E7BF9482}" name="Column2115"/>
    <tableColumn id="2121" xr3:uid="{B7E8BAFE-C085-404D-B4E1-8058B4DC3F0E}" name="Column2116"/>
    <tableColumn id="2122" xr3:uid="{B3595936-F2DC-4BAC-B5C6-09F60C5B89F7}" name="Column2117"/>
    <tableColumn id="2123" xr3:uid="{F37DAF0F-5FDE-4154-BA57-B73084594610}" name="Column2118"/>
    <tableColumn id="2124" xr3:uid="{2B70F535-FC89-4B06-BC01-4F3B7D1192FF}" name="Column2119"/>
    <tableColumn id="2125" xr3:uid="{6323D6A8-9941-458A-B33C-017D1464DE86}" name="Column2120"/>
    <tableColumn id="2126" xr3:uid="{63A8C981-BE61-423C-9746-FB4406842633}" name="Column2121"/>
    <tableColumn id="2127" xr3:uid="{A9D751DD-984C-4682-B506-5970B1097771}" name="Column2122"/>
    <tableColumn id="2128" xr3:uid="{D517EB64-5D5C-4231-8818-AD4E67B64230}" name="Column2123"/>
    <tableColumn id="2129" xr3:uid="{2B4D75B1-7375-4E37-8247-EFDDC6193899}" name="Column2124"/>
    <tableColumn id="2130" xr3:uid="{A6543BDA-150E-4AE3-8C5E-0646889E17BF}" name="Column2125"/>
    <tableColumn id="2131" xr3:uid="{EEC01023-A8F9-4BB8-AAFD-CD95E55BD72F}" name="Column2126"/>
    <tableColumn id="2132" xr3:uid="{2F0D2695-7869-4ADF-ABC9-391AF32B8B83}" name="Column2127"/>
    <tableColumn id="2133" xr3:uid="{4FA6F8A0-122F-4EEB-899E-0FE2589CC50D}" name="Column2128"/>
    <tableColumn id="2134" xr3:uid="{3B0EF7D0-8D57-4ED8-A5DF-EE7755DD7D25}" name="Column2129"/>
    <tableColumn id="2135" xr3:uid="{9C0DF7F3-9B32-4EDF-BCC8-CD177C275DA9}" name="Column2130"/>
    <tableColumn id="2136" xr3:uid="{68A084D8-F76F-42C0-8197-CF2D79E254DC}" name="Column2131"/>
    <tableColumn id="2137" xr3:uid="{9042E39E-EB8E-40D8-B5BB-0A338ADAAF76}" name="Column2132"/>
    <tableColumn id="2138" xr3:uid="{CC4639BD-CCEB-44EC-A616-221F3B59885A}" name="Column2133"/>
    <tableColumn id="2139" xr3:uid="{9E56E3AB-6B02-4793-9611-B0929A1B3FAA}" name="Column2134"/>
    <tableColumn id="2140" xr3:uid="{72E42B5F-AAC0-4D9C-A508-B3E579FC905C}" name="Column2135"/>
    <tableColumn id="2141" xr3:uid="{12BB4119-E883-4A97-8102-B551EE1B1929}" name="Column2136"/>
    <tableColumn id="2142" xr3:uid="{0E50A911-7EB1-4EAF-BE94-5FB3AF6E3984}" name="Column2137"/>
    <tableColumn id="2143" xr3:uid="{C850D5E1-9AC6-4036-99F8-CF8F9CCC09CB}" name="Column2138"/>
    <tableColumn id="2144" xr3:uid="{C8CEA7B5-DE55-4890-AD7B-DD5905605748}" name="Column2139"/>
    <tableColumn id="2145" xr3:uid="{E9565025-C4AA-4D19-9708-706E80945B68}" name="Column2140"/>
    <tableColumn id="2146" xr3:uid="{F3F07338-442C-4A49-8E3C-0E41DF258098}" name="Column2141"/>
    <tableColumn id="2147" xr3:uid="{52FB8DBD-E7BF-479C-B8A2-BCE36097AF24}" name="Column2142"/>
    <tableColumn id="2148" xr3:uid="{0EB4BA96-0026-4095-93FA-936DE05A7E89}" name="Column2143"/>
    <tableColumn id="2149" xr3:uid="{5419A5A7-6C00-4D64-819F-4C0FADB21E36}" name="Column2144"/>
    <tableColumn id="2150" xr3:uid="{A5B61174-AE2F-4EF5-B81C-76B846F0F141}" name="Column2145"/>
    <tableColumn id="2151" xr3:uid="{860404D4-7F30-4B9B-8879-F05CB3816F21}" name="Column2146"/>
    <tableColumn id="2152" xr3:uid="{E468555B-3AD6-4E5C-B4DE-91A7BDE486F7}" name="Column2147"/>
    <tableColumn id="2153" xr3:uid="{5D4433B9-8D74-4279-AC57-CE00F9B9F87B}" name="Column2148"/>
    <tableColumn id="2154" xr3:uid="{88688851-2E2F-4C48-A0BE-F6121750F760}" name="Column2149"/>
    <tableColumn id="2155" xr3:uid="{90982492-1929-40B7-BEEF-D22B33B04B9C}" name="Column2150"/>
    <tableColumn id="2156" xr3:uid="{62D18361-2E68-4880-8ECF-56331021A772}" name="Column2151"/>
    <tableColumn id="2157" xr3:uid="{91641DB0-A1AD-4330-83D7-1AA60E3725F9}" name="Column2152"/>
    <tableColumn id="2158" xr3:uid="{76D1535A-47B7-4AC2-9FBF-1676F9E58D53}" name="Column2153"/>
    <tableColumn id="2159" xr3:uid="{80ABABF2-9746-469F-A85A-CEE63502EDF4}" name="Column2154"/>
    <tableColumn id="2160" xr3:uid="{B892BE0B-72EE-4243-80D3-E9CB3B5B2D2F}" name="Column2155"/>
    <tableColumn id="2161" xr3:uid="{D516AB0B-AEE8-46A2-952C-BC3AAAEDCA96}" name="Column2156"/>
    <tableColumn id="2162" xr3:uid="{855E0841-C2CF-4C4C-A3F9-83F53FF33DB3}" name="Column2157"/>
    <tableColumn id="2163" xr3:uid="{39F876E2-8920-4E0E-8B81-9D41C611040D}" name="Column2158"/>
    <tableColumn id="2164" xr3:uid="{550A0ED3-C39D-44A6-BE11-9696C0CFF826}" name="Column2159"/>
    <tableColumn id="2165" xr3:uid="{0200EAD0-A425-431E-8F51-CB8C6DC4E653}" name="Column2160"/>
    <tableColumn id="2166" xr3:uid="{7C26D6C8-C3A1-47F9-9C63-74DFCBB9C297}" name="Column2161"/>
    <tableColumn id="2167" xr3:uid="{2C7C8E0B-F8DD-4A65-B3BA-28C1699D2A35}" name="Column2162"/>
    <tableColumn id="2168" xr3:uid="{00B300E1-6E46-473F-B196-6F3EE794EAC5}" name="Column2163"/>
    <tableColumn id="2169" xr3:uid="{41E521AD-2407-4196-B203-228C1C8C4A61}" name="Column2164"/>
    <tableColumn id="2170" xr3:uid="{95A3DC97-9399-42B0-AA8B-D751BFCFC59F}" name="Column2165"/>
    <tableColumn id="2171" xr3:uid="{96365F87-2334-4287-B155-9D826D3200E4}" name="Column2166"/>
    <tableColumn id="2172" xr3:uid="{A7E80E9B-6F1F-44BC-A1C9-0E613AA96372}" name="Column2167"/>
    <tableColumn id="2173" xr3:uid="{18DE7C57-1788-462A-9FBA-DCA3D3D3C474}" name="Column2168"/>
    <tableColumn id="2174" xr3:uid="{FDEB6B4E-6C61-4C70-B68A-080E72462501}" name="Column2169"/>
    <tableColumn id="2175" xr3:uid="{D46C2003-A6B0-4EDA-9EF7-89ADF2060318}" name="Column2170"/>
    <tableColumn id="2176" xr3:uid="{814DBD2C-7DA1-4FE3-9079-68D994896832}" name="Column2171"/>
    <tableColumn id="2177" xr3:uid="{254850AC-DECC-4F76-8EAB-32D20C46DD04}" name="Column2172"/>
    <tableColumn id="2178" xr3:uid="{C94D7C9F-9913-4677-9F59-5959A27EDC9C}" name="Column2173"/>
    <tableColumn id="2179" xr3:uid="{7298393D-E1BD-4D69-ADEF-29AC083D2A54}" name="Column2174"/>
    <tableColumn id="2180" xr3:uid="{63443C37-0B3C-4763-9D7F-588734E3A549}" name="Column2175"/>
    <tableColumn id="2181" xr3:uid="{384023E2-BA41-4E03-911D-65604590AE5F}" name="Column2176"/>
    <tableColumn id="2182" xr3:uid="{8D28C396-D738-417C-BCCB-E1CFB5A23B17}" name="Column2177"/>
    <tableColumn id="2183" xr3:uid="{9A09E4A2-68E6-4807-B243-4F5C04AF7854}" name="Column2178"/>
    <tableColumn id="2184" xr3:uid="{E131E897-37FE-45B5-A617-F33CCB1F9E4D}" name="Column2179"/>
    <tableColumn id="2185" xr3:uid="{27E2DBE4-72C2-4311-83E3-A6C1A57A2636}" name="Column2180"/>
    <tableColumn id="2186" xr3:uid="{9F8608F7-85C5-4660-85E3-F4E96444A914}" name="Column2181"/>
    <tableColumn id="2187" xr3:uid="{061C715B-80B0-43B3-8449-00285AAF30C9}" name="Column2182"/>
    <tableColumn id="2188" xr3:uid="{911DC465-CF62-4F33-B985-563D21E45CB2}" name="Column2183"/>
    <tableColumn id="2189" xr3:uid="{E977314F-4919-4E62-830F-6D7564E01F8D}" name="Column2184"/>
    <tableColumn id="2190" xr3:uid="{90C1D52C-17FE-4B42-ABB0-E6CAA49A989A}" name="Column2185"/>
    <tableColumn id="2191" xr3:uid="{F6C76E98-99FA-4093-A4B0-84A27AB4E49F}" name="Column2186"/>
    <tableColumn id="2192" xr3:uid="{CECF1028-212A-4352-9A1D-A243211D0B37}" name="Column2187"/>
    <tableColumn id="2193" xr3:uid="{7D75409C-18C9-49B8-BD1E-5A96CD7498CD}" name="Column2188"/>
    <tableColumn id="2194" xr3:uid="{65700F23-DFB0-445E-A575-3D0F9B039899}" name="Column2189"/>
    <tableColumn id="2195" xr3:uid="{AC3631B8-C160-48C6-94D9-B76C7E87F200}" name="Column2190"/>
    <tableColumn id="2196" xr3:uid="{5107A222-9638-431F-ABC1-7E16F0AF5E05}" name="Column2191"/>
    <tableColumn id="2197" xr3:uid="{5A33BE25-58F2-4196-8E4B-041C4648B40F}" name="Column2192"/>
    <tableColumn id="2198" xr3:uid="{65285FC1-EB1E-43EC-9F8C-71221873FB10}" name="Column2193"/>
    <tableColumn id="2199" xr3:uid="{22B1B471-9D5F-4B0E-968F-0017160BCE09}" name="Column2194"/>
    <tableColumn id="2200" xr3:uid="{17FEAEAB-AB1A-4857-8FCD-CC709BF1CA93}" name="Column2195"/>
    <tableColumn id="2201" xr3:uid="{8E856B6B-2EB7-4012-85A0-544E7A4E3AF8}" name="Column2196"/>
    <tableColumn id="2202" xr3:uid="{5F064D85-873F-4D1A-BF40-F0F45854C870}" name="Column2197"/>
    <tableColumn id="2203" xr3:uid="{CC564EA4-EAE9-4948-AA80-477522533987}" name="Column2198"/>
    <tableColumn id="2204" xr3:uid="{B31B4E91-C83C-4982-834F-EF445B4B5D9B}" name="Column2199"/>
    <tableColumn id="2205" xr3:uid="{667DBBA1-AE1A-4096-9245-83C5A17F5D23}" name="Column2200"/>
    <tableColumn id="2206" xr3:uid="{E406E257-04D1-4658-8894-C69220CCD005}" name="Column2201"/>
    <tableColumn id="2207" xr3:uid="{A90FA78E-5562-4E92-B6A2-54BD6FB4E3DB}" name="Column2202"/>
    <tableColumn id="2208" xr3:uid="{AEF04542-8D27-414A-A343-9C6A642FD0D3}" name="Column2203"/>
    <tableColumn id="2209" xr3:uid="{232AA277-5772-40CE-BBAB-4278C4712E78}" name="Column2204"/>
    <tableColumn id="2210" xr3:uid="{C97BA0A2-747D-4EEF-B547-6E8CB2DC0B6A}" name="Column2205"/>
    <tableColumn id="2211" xr3:uid="{1F93B3A7-4126-4A33-95CC-0C5B67072A92}" name="Column2206"/>
    <tableColumn id="2212" xr3:uid="{5EE0BF7D-1735-4A6F-A84E-F35225BE75AC}" name="Column2207"/>
    <tableColumn id="2213" xr3:uid="{181D2344-993E-4C36-9F37-333FDE1D8096}" name="Column2208"/>
    <tableColumn id="2214" xr3:uid="{9B061D43-DF55-434A-85E3-D718D5B82DD1}" name="Column2209"/>
    <tableColumn id="2215" xr3:uid="{9B985B4D-1EAB-417A-82DB-A458C6D4BC2E}" name="Column2210"/>
    <tableColumn id="2216" xr3:uid="{216F48F0-1914-4FD7-89EA-1DEAC44D7BB6}" name="Column2211"/>
    <tableColumn id="2217" xr3:uid="{EC729E41-4E24-4791-AA90-1D74EADFFFAB}" name="Column2212"/>
    <tableColumn id="2218" xr3:uid="{F987CED0-892F-468F-AD5A-A0F0EE9B91C6}" name="Column2213"/>
    <tableColumn id="2219" xr3:uid="{A279F3CD-3A38-4DF3-A750-61ACC5FB4ED0}" name="Column2214"/>
    <tableColumn id="2220" xr3:uid="{EC53246A-E5DF-40C1-BB6A-3B813E50E131}" name="Column2215"/>
    <tableColumn id="2221" xr3:uid="{DAC0E1A4-777E-4A3C-B18B-793215F36151}" name="Column2216"/>
    <tableColumn id="2222" xr3:uid="{2C92130A-49B0-480A-9C2C-E7C165724F78}" name="Column2217"/>
    <tableColumn id="2223" xr3:uid="{A71B4046-FEDE-48B8-892F-CEA89A9F8399}" name="Column2218"/>
    <tableColumn id="2224" xr3:uid="{E61B0220-6F8E-4089-968B-52062E4C734D}" name="Column2219"/>
    <tableColumn id="2225" xr3:uid="{B860D6A2-9330-4666-AD5C-A40FE3BED0BF}" name="Column2220"/>
    <tableColumn id="2226" xr3:uid="{4EE5BC4D-2A1C-49C3-843A-DE0C4B90EE69}" name="Column2221"/>
    <tableColumn id="2227" xr3:uid="{290337C3-3F42-4DEA-B1BE-104CF39C7E15}" name="Column2222"/>
    <tableColumn id="2228" xr3:uid="{EAA294A3-683F-41AE-B5DD-7343FE711B45}" name="Column2223"/>
    <tableColumn id="2229" xr3:uid="{4EFE45A3-ABEF-4ACC-9B94-04DCA9FD90EC}" name="Column2224"/>
    <tableColumn id="2230" xr3:uid="{5AA0AACA-4793-48D3-820E-91B25E65AAF6}" name="Column2225"/>
    <tableColumn id="2231" xr3:uid="{8DD765FB-DDF0-43E6-BAB0-F444FF622287}" name="Column2226"/>
    <tableColumn id="2232" xr3:uid="{85B4E058-64CB-4970-924C-53146CE7B653}" name="Column2227"/>
    <tableColumn id="2233" xr3:uid="{21306A3B-2940-4621-9A67-1EEB83FA7ECF}" name="Column2228"/>
    <tableColumn id="2234" xr3:uid="{ECDA533B-0C2B-4EEF-BC84-D4CDA931C278}" name="Column2229"/>
    <tableColumn id="2235" xr3:uid="{D7A080DC-68FE-4E14-88AA-54AB8E4D8930}" name="Column2230"/>
    <tableColumn id="2236" xr3:uid="{6724E558-956E-48E5-90E2-111DC255C64C}" name="Column2231"/>
    <tableColumn id="2237" xr3:uid="{FBEDC9FF-F35F-4431-96A2-5F044AA50387}" name="Column2232"/>
    <tableColumn id="2238" xr3:uid="{39A3F94E-1278-489B-BD43-590DBC83B74D}" name="Column2233"/>
    <tableColumn id="2239" xr3:uid="{3635908F-87B2-4C0C-AA75-FC968A8A65E0}" name="Column2234"/>
    <tableColumn id="2240" xr3:uid="{D606AC08-B3C8-4BF7-B674-753CF6A2CEBE}" name="Column2235"/>
    <tableColumn id="2241" xr3:uid="{63296AF3-6EAB-4521-9212-07A3AAF8DA5A}" name="Column2236"/>
    <tableColumn id="2242" xr3:uid="{A98C59B9-E5E1-41F7-8F6C-73D0AF6DE78C}" name="Column2237"/>
    <tableColumn id="2243" xr3:uid="{D0CC359B-C23C-4407-96EF-77685602950B}" name="Column2238"/>
    <tableColumn id="2244" xr3:uid="{2F5F0C37-78F3-423B-90FC-07AB4FB5C3E1}" name="Column2239"/>
    <tableColumn id="2245" xr3:uid="{32F20F19-F73B-4EBE-8AD5-3A2204DBEB5E}" name="Column2240"/>
    <tableColumn id="2246" xr3:uid="{9C3658DF-7612-43BC-966D-6D10CE27DDDD}" name="Column2241"/>
    <tableColumn id="2247" xr3:uid="{083A0E5A-6B89-43DE-B3FF-824BC97F672B}" name="Column2242"/>
    <tableColumn id="2248" xr3:uid="{B26F7CDF-1C12-4228-A859-B4F43E361E9B}" name="Column2243"/>
    <tableColumn id="2249" xr3:uid="{343C9451-094C-439A-A2FE-4ACD690F91AD}" name="Column2244"/>
    <tableColumn id="2250" xr3:uid="{32F71E71-1D59-4B2F-8363-B094296E6466}" name="Column2245"/>
    <tableColumn id="2251" xr3:uid="{ECEA8126-546F-4302-8194-8406AF82DBE6}" name="Column2246"/>
    <tableColumn id="2252" xr3:uid="{D48AA6BA-646F-4726-A89A-0290C13F89C6}" name="Column2247"/>
    <tableColumn id="2253" xr3:uid="{77F629CB-1646-4816-900E-5DB6E620B75E}" name="Column2248"/>
    <tableColumn id="2254" xr3:uid="{0FD22886-862B-47BE-A635-ED0AD1F1CCD3}" name="Column2249"/>
    <tableColumn id="2255" xr3:uid="{AD5BD870-0805-42FE-9850-F5DFE1E3BE51}" name="Column2250"/>
    <tableColumn id="2256" xr3:uid="{EAA0D564-A074-43CB-B2E0-E53F69D8F724}" name="Column2251"/>
    <tableColumn id="2257" xr3:uid="{68C9923D-968B-4679-9FE1-1337494D589C}" name="Column2252"/>
    <tableColumn id="2258" xr3:uid="{807EC939-9A9E-4315-98A1-B0349B22381D}" name="Column2253"/>
    <tableColumn id="2259" xr3:uid="{327A3EAC-A687-4450-8578-816FC9F7F1E3}" name="Column2254"/>
    <tableColumn id="2260" xr3:uid="{D0C9E0D0-CF9B-4D8E-BE69-FC438BC5A3AA}" name="Column2255"/>
    <tableColumn id="2261" xr3:uid="{D81E1776-B147-4F80-89AD-5C17D6574CA4}" name="Column2256"/>
    <tableColumn id="2262" xr3:uid="{3AFEDBCE-602E-4C43-A4F9-F4C0CC3F6D53}" name="Column2257"/>
    <tableColumn id="2263" xr3:uid="{E6A66D9A-2349-45B3-8D94-8DEF12146DC1}" name="Column2258"/>
    <tableColumn id="2264" xr3:uid="{6861B0EC-6755-45BB-BC82-23E7FBF03624}" name="Column2259"/>
    <tableColumn id="2265" xr3:uid="{CEA2CDDE-DE09-46D7-BC14-64E149882BB7}" name="Column2260"/>
    <tableColumn id="2266" xr3:uid="{4693C7AC-65D6-4FCF-AB1C-FCFB9E276745}" name="Column2261"/>
    <tableColumn id="2267" xr3:uid="{293A749E-1B0C-4144-96F7-FCFC0EF3B955}" name="Column2262"/>
    <tableColumn id="2268" xr3:uid="{C6C13A5E-134D-4632-9705-8995063B601F}" name="Column2263"/>
    <tableColumn id="2269" xr3:uid="{D9DA6D79-C288-473A-A302-436ECC1DC065}" name="Column2264"/>
    <tableColumn id="2270" xr3:uid="{E5693B9F-2166-42AD-974A-DDCDDE685EA7}" name="Column2265"/>
    <tableColumn id="2271" xr3:uid="{29805221-FA7A-4688-A3C7-53B423277F1A}" name="Column2266"/>
    <tableColumn id="2272" xr3:uid="{F1699110-6F0E-4B68-9314-77ED0FC25B04}" name="Column2267"/>
    <tableColumn id="2273" xr3:uid="{7330DC56-DE76-4ED6-8B58-14C1688761F2}" name="Column2268"/>
    <tableColumn id="2274" xr3:uid="{21823653-4847-4CEE-B615-FC2300393C4B}" name="Column2269"/>
    <tableColumn id="2275" xr3:uid="{4493D831-D721-46A6-90F8-15471C8327DC}" name="Column2270"/>
    <tableColumn id="2276" xr3:uid="{BD950BEE-3983-44A7-BF8A-054A955A3104}" name="Column2271"/>
    <tableColumn id="2277" xr3:uid="{6DFBF292-FA70-4AB9-A4D2-1A779F0B0F16}" name="Column2272"/>
    <tableColumn id="2278" xr3:uid="{7463DEED-E006-4BF3-8924-DAA2FFB40C17}" name="Column2273"/>
    <tableColumn id="2279" xr3:uid="{55BC07A1-E747-4166-8740-0C95067066BD}" name="Column2274"/>
    <tableColumn id="2280" xr3:uid="{01DC55E1-C3A7-4D21-A61A-166ECA2928C0}" name="Column2275"/>
    <tableColumn id="2281" xr3:uid="{8EB77F39-FAFE-4AF8-9E35-05CD6C4923CE}" name="Column2276"/>
    <tableColumn id="2282" xr3:uid="{AC96AB21-93A6-4C78-8B90-DC79E4687F13}" name="Column2277"/>
    <tableColumn id="2283" xr3:uid="{89120D22-F4D5-41C0-B0F9-DED2D1EC4FE2}" name="Column2278"/>
    <tableColumn id="2284" xr3:uid="{DE4E6924-B3AD-4ABE-B94A-170F25D1CDB8}" name="Column2279"/>
    <tableColumn id="2285" xr3:uid="{2259E225-FFAC-490E-9FA9-023DF59DC824}" name="Column2280"/>
    <tableColumn id="2286" xr3:uid="{015D94EC-0628-4588-BC22-8A9201BA8D75}" name="Column2281"/>
    <tableColumn id="2287" xr3:uid="{82244DD5-1C14-4169-A094-56526B5D27C8}" name="Column2282"/>
    <tableColumn id="2288" xr3:uid="{A68FA25D-2730-4456-B2AA-B7FB7380FA84}" name="Column2283"/>
    <tableColumn id="2289" xr3:uid="{D8EC8972-AB8C-47A6-8C29-3DF81EE1E23F}" name="Column2284"/>
    <tableColumn id="2290" xr3:uid="{25BF1EDC-EDB1-4112-9DA4-20E909B36318}" name="Column2285"/>
    <tableColumn id="2291" xr3:uid="{90A6D24B-4353-4EC8-A793-B3F9E63C7A42}" name="Column2286"/>
    <tableColumn id="2292" xr3:uid="{22DA00A3-2E4B-4A09-95A0-298D124D20EA}" name="Column2287"/>
    <tableColumn id="2293" xr3:uid="{D6DFF98E-76AD-4D45-AABB-24CB9EB04136}" name="Column2288"/>
    <tableColumn id="2294" xr3:uid="{9198E6A4-5C73-410A-B468-11768739E5E4}" name="Column2289"/>
    <tableColumn id="2295" xr3:uid="{0D00FF4A-947B-4DB2-94CA-804E5DCFCE20}" name="Column2290"/>
    <tableColumn id="2296" xr3:uid="{E8BD4AAC-20EE-4B98-BDF6-BFFBC817D6F5}" name="Column2291"/>
    <tableColumn id="2297" xr3:uid="{7463B534-8FF8-4767-BC1F-39F5873DE2C6}" name="Column2292"/>
    <tableColumn id="2298" xr3:uid="{AB9364F0-6BF3-4EEE-BF75-6E51F22DA112}" name="Column2293"/>
    <tableColumn id="2299" xr3:uid="{C71535E8-A777-4DC9-BA9E-39092DF3C966}" name="Column2294"/>
    <tableColumn id="2300" xr3:uid="{63CCAA67-8E4B-4D8B-B9C9-6748A0FCAAD8}" name="Column2295"/>
    <tableColumn id="2301" xr3:uid="{4B933A8E-B129-4758-8FCB-13DB1F0672AF}" name="Column2296"/>
    <tableColumn id="2302" xr3:uid="{3CB7ADB1-1091-48A8-ADBC-89B1202B3F8B}" name="Column2297"/>
    <tableColumn id="2303" xr3:uid="{899FBC5F-D801-497F-81A1-232BD9927C80}" name="Column2298"/>
    <tableColumn id="2304" xr3:uid="{37B51C3A-EAB8-4394-9120-7E752F4E91DC}" name="Column2299"/>
    <tableColumn id="2305" xr3:uid="{4BD258BB-1935-4360-BA48-9B6B54215EAA}" name="Column2300"/>
    <tableColumn id="2306" xr3:uid="{3C214DD8-851A-4AA6-BB4F-8C9F4745A1CC}" name="Column2301"/>
    <tableColumn id="2307" xr3:uid="{591E861E-C05F-4EDA-BC68-12EB0A7310AE}" name="Column2302"/>
    <tableColumn id="2308" xr3:uid="{7A161DB8-691F-449E-B520-6EAEFD44F2D1}" name="Column2303"/>
    <tableColumn id="2309" xr3:uid="{D340F148-7B17-4256-BCCF-4EADCF878F3B}" name="Column2304"/>
    <tableColumn id="2310" xr3:uid="{90D4AEF0-2BE5-4D8F-B6C5-C61E2BD542C1}" name="Column2305"/>
    <tableColumn id="2311" xr3:uid="{6C9BD9E1-8CFD-4EDD-A602-0F69D4CBBD9B}" name="Column2306"/>
    <tableColumn id="2312" xr3:uid="{1F1C2326-6371-443A-8FD8-E717F2A4A2FD}" name="Column2307"/>
    <tableColumn id="2313" xr3:uid="{74C1ABEE-8429-4155-8EB3-F53504087FEE}" name="Column2308"/>
    <tableColumn id="2314" xr3:uid="{DA1804A9-F373-4770-94BD-C960816543E7}" name="Column2309"/>
    <tableColumn id="2315" xr3:uid="{77C306B7-62F6-416D-802D-29B7CF808207}" name="Column2310"/>
    <tableColumn id="2316" xr3:uid="{947FCFFC-5362-40CA-91A2-7892D9D54540}" name="Column2311"/>
    <tableColumn id="2317" xr3:uid="{BCC73D6F-518B-4FBD-BCD3-618600F2C760}" name="Column2312"/>
    <tableColumn id="2318" xr3:uid="{413C8DA4-9966-42C7-A95B-6CA98FE87EBA}" name="Column2313"/>
    <tableColumn id="2319" xr3:uid="{A110B93A-756F-496B-BDA6-891BFE37DAA4}" name="Column2314"/>
    <tableColumn id="2320" xr3:uid="{15F57BB8-4CE8-4EA2-A34F-9A9C43BE4395}" name="Column2315"/>
    <tableColumn id="2321" xr3:uid="{2A1BC850-046A-4BF8-962B-98121913448D}" name="Column2316"/>
    <tableColumn id="2322" xr3:uid="{4D8855CC-DE4D-40F2-B9CE-0F94C5A2CBCB}" name="Column2317"/>
    <tableColumn id="2323" xr3:uid="{75FDD905-5718-4C65-8561-4DB1A378C2C1}" name="Column2318"/>
    <tableColumn id="2324" xr3:uid="{90B945F1-3642-4B8D-A89C-C385126273D9}" name="Column2319"/>
    <tableColumn id="2325" xr3:uid="{C810E476-BD38-4278-AB3F-E95770D3B3DF}" name="Column2320"/>
    <tableColumn id="2326" xr3:uid="{4B6B42D1-6349-4333-8C7B-855F7051A526}" name="Column2321"/>
    <tableColumn id="2327" xr3:uid="{BB64779A-C75D-4296-B948-9329226E45BD}" name="Column2322"/>
    <tableColumn id="2328" xr3:uid="{167D21FC-35A5-4567-904F-ACC1A2654CBB}" name="Column2323"/>
    <tableColumn id="2329" xr3:uid="{BD9B69AD-59E5-406A-892F-36402BE15AF2}" name="Column2324"/>
    <tableColumn id="2330" xr3:uid="{E037754C-07AC-4961-B661-B9137E1025F9}" name="Column2325"/>
    <tableColumn id="2331" xr3:uid="{D1985423-11D1-457E-B866-F50E6D03BFD8}" name="Column2326"/>
    <tableColumn id="2332" xr3:uid="{2327B573-CB54-453B-BC91-17207CB99D9D}" name="Column2327"/>
    <tableColumn id="2333" xr3:uid="{093EE878-6111-44E5-B142-557638541690}" name="Column2328"/>
    <tableColumn id="2334" xr3:uid="{B051DD19-9D96-4324-9C23-6EECDB1279C4}" name="Column2329"/>
    <tableColumn id="2335" xr3:uid="{15E67C74-9296-44B5-B993-F4D7B1C5B0DE}" name="Column2330"/>
    <tableColumn id="2336" xr3:uid="{E33F38C5-1791-4FE4-B7F9-C8B65C43E252}" name="Column2331"/>
    <tableColumn id="2337" xr3:uid="{3802AAC7-5B07-47C2-B972-F9FFAAFE0336}" name="Column2332"/>
    <tableColumn id="2338" xr3:uid="{B037368B-3669-4C0F-92CD-4B8BDEA6EE2C}" name="Column2333"/>
    <tableColumn id="2339" xr3:uid="{DD68CD4F-9A70-44DA-A26C-49F706FD2C45}" name="Column2334"/>
    <tableColumn id="2340" xr3:uid="{FEA57EF3-9C11-4F05-A80A-A73DD5C9AE10}" name="Column2335"/>
    <tableColumn id="2341" xr3:uid="{8A6B6C2D-D164-4E51-A53D-51E9A505F571}" name="Column2336"/>
    <tableColumn id="2342" xr3:uid="{6150A722-0E11-4D1C-9806-32F86DCD25C9}" name="Column2337"/>
    <tableColumn id="2343" xr3:uid="{C6D0C2E3-8145-4934-93A5-20B83FED21AA}" name="Column2338"/>
    <tableColumn id="2344" xr3:uid="{5B34959B-5FDB-477C-BD71-0ECFCC623B10}" name="Column2339"/>
    <tableColumn id="2345" xr3:uid="{87E92188-5AB9-4952-A167-913526F39429}" name="Column2340"/>
    <tableColumn id="2346" xr3:uid="{86408CB3-11F3-49C9-97F9-D3CE9E556261}" name="Column2341"/>
    <tableColumn id="2347" xr3:uid="{9F0E27A6-8A5C-4462-B98E-D2FEAC21187F}" name="Column2342"/>
    <tableColumn id="2348" xr3:uid="{9B1D85B0-1C7D-4AB9-AF36-75B08E48B3F6}" name="Column2343"/>
    <tableColumn id="2349" xr3:uid="{F12EA01C-B97D-4841-90C1-6363830A46C5}" name="Column2344"/>
    <tableColumn id="2350" xr3:uid="{D9FB3583-1F52-46E8-99E3-30750EE7C479}" name="Column2345"/>
    <tableColumn id="2351" xr3:uid="{3B981152-37AC-4856-A295-67D4473231D2}" name="Column2346"/>
    <tableColumn id="2352" xr3:uid="{19745D4E-9CFB-405B-990D-7EC52A8C4B58}" name="Column2347"/>
    <tableColumn id="2353" xr3:uid="{482EFC43-CFA4-4E6C-BDD7-494D2560275A}" name="Column2348"/>
    <tableColumn id="2354" xr3:uid="{A99691CD-B7F6-4E8B-8E84-0F4EF8D4969B}" name="Column2349"/>
    <tableColumn id="2355" xr3:uid="{073AF69D-BC39-460F-8BDB-23533778AE23}" name="Column2350"/>
    <tableColumn id="2356" xr3:uid="{A4B2D834-BDFB-46A9-828A-065FC5913B25}" name="Column2351"/>
    <tableColumn id="2357" xr3:uid="{EAA5DC20-ACD4-4A52-BE94-34EB29B9B2A7}" name="Column2352"/>
    <tableColumn id="2358" xr3:uid="{ECF9480B-53A3-422A-B082-484F09FD2CC9}" name="Column2353"/>
    <tableColumn id="2359" xr3:uid="{30BAC07F-E466-4531-BFE9-1460DE1A411E}" name="Column2354"/>
    <tableColumn id="2360" xr3:uid="{0F3FE9A8-27DA-453C-BF30-2E1728E92750}" name="Column2355"/>
    <tableColumn id="2361" xr3:uid="{709A9DFF-764E-44E3-B45F-B9FF5532E8AC}" name="Column2356"/>
    <tableColumn id="2362" xr3:uid="{E192F637-F49F-4C73-B06F-4BADE7AD1B41}" name="Column2357"/>
    <tableColumn id="2363" xr3:uid="{EB2D4F0B-0234-40A6-B1C5-9B56F9BEC72B}" name="Column2358"/>
    <tableColumn id="2364" xr3:uid="{FFF17BF8-02A0-4AC3-BB80-7386C0F35ADA}" name="Column2359"/>
    <tableColumn id="2365" xr3:uid="{DE6EEDDA-056C-456A-AD1A-A2FDFA009331}" name="Column2360"/>
    <tableColumn id="2366" xr3:uid="{C6EDF5DB-9FDF-4CFE-AE81-EFE4AFC01F46}" name="Column2361"/>
    <tableColumn id="2367" xr3:uid="{5664CF03-4313-4DFE-AB84-742292174745}" name="Column2362"/>
    <tableColumn id="2368" xr3:uid="{160F3E16-C6EF-4284-B361-F1FAD22C36F7}" name="Column2363"/>
    <tableColumn id="2369" xr3:uid="{F400DD32-A1FB-4189-BD13-C833F6F3A250}" name="Column2364"/>
    <tableColumn id="2370" xr3:uid="{EAEC68BF-DA61-4B14-95D4-F1FE859B80A0}" name="Column2365"/>
    <tableColumn id="2371" xr3:uid="{6F33C58F-B34F-4508-94AB-CED94846727B}" name="Column2366"/>
    <tableColumn id="2372" xr3:uid="{22F2BDE8-7EB0-485B-AFFD-1AC182DA3DF7}" name="Column2367"/>
    <tableColumn id="2373" xr3:uid="{EEC4DC5D-626E-4AC2-A031-B91051D11E84}" name="Column2368"/>
    <tableColumn id="2374" xr3:uid="{D145CE3E-CE1C-4305-9381-2AA028436DF3}" name="Column2369"/>
    <tableColumn id="2375" xr3:uid="{F68A4078-3D5D-4A1F-8FEE-D244354C4DC3}" name="Column2370"/>
    <tableColumn id="2376" xr3:uid="{7185E60F-577A-4B54-B04B-C7048395482A}" name="Column2371"/>
    <tableColumn id="2377" xr3:uid="{C2A1A6D1-1BEF-4B59-91CB-B7181C8C56BF}" name="Column2372"/>
    <tableColumn id="2378" xr3:uid="{21C8C3B1-7CAE-4CDD-B1DB-8DEB884F356E}" name="Column2373"/>
    <tableColumn id="2379" xr3:uid="{193B858E-209C-4DF6-9512-1F9E9DFA8026}" name="Column2374"/>
    <tableColumn id="2380" xr3:uid="{2DCE5C1E-3CDC-4338-AAAC-61A4AA8A022A}" name="Column2375"/>
    <tableColumn id="2381" xr3:uid="{EC43B55B-E826-4CBF-BC87-31ACF363DA9D}" name="Column2376"/>
    <tableColumn id="2382" xr3:uid="{A64BA31F-261C-4A4B-9476-C4719EADB7C8}" name="Column2377"/>
    <tableColumn id="2383" xr3:uid="{BC002C30-0CB0-46B1-87A5-EB86A1EEB658}" name="Column2378"/>
    <tableColumn id="2384" xr3:uid="{0CD255EE-A4A3-45CE-A7CC-B4E952F04A0A}" name="Column2379"/>
    <tableColumn id="2385" xr3:uid="{0444C820-4716-4380-B06C-CDE1B99C8762}" name="Column2380"/>
    <tableColumn id="2386" xr3:uid="{AE77475A-CCFC-4A5E-9837-051AF9ACBBD2}" name="Column2381"/>
    <tableColumn id="2387" xr3:uid="{AC3CA0B6-26B6-4448-BC14-8692E1866704}" name="Column2382"/>
    <tableColumn id="2388" xr3:uid="{A46058B6-8CD8-44E5-9BAF-1BF7820EA45D}" name="Column2383"/>
    <tableColumn id="2389" xr3:uid="{162BE1E8-CEE3-4239-8047-3B1A28536BA4}" name="Column2384"/>
    <tableColumn id="2390" xr3:uid="{EAE5ADAA-E949-4866-8A97-680490B7ADB7}" name="Column2385"/>
    <tableColumn id="2391" xr3:uid="{B2FA9FDD-240D-4D4E-8701-8650EB00D235}" name="Column2386"/>
    <tableColumn id="2392" xr3:uid="{81C6F8DA-E87B-4728-909E-579E714653B2}" name="Column2387"/>
    <tableColumn id="2393" xr3:uid="{F57EB139-E7A8-499C-9676-602670157DF5}" name="Column2388"/>
    <tableColumn id="2394" xr3:uid="{7273F9D3-21E1-49ED-8921-B37B8CFF1B1E}" name="Column2389"/>
    <tableColumn id="2395" xr3:uid="{C4890F88-D4C5-463F-8A11-6E6B5C023A4E}" name="Column2390"/>
    <tableColumn id="2396" xr3:uid="{2F5AA669-9FCA-43B5-86AC-B8D913D270FD}" name="Column2391"/>
    <tableColumn id="2397" xr3:uid="{1693F7C7-3657-4000-B559-93C981348BF1}" name="Column2392"/>
    <tableColumn id="2398" xr3:uid="{E69819D5-FAC0-4B64-94D9-EC0CCF6AB2A5}" name="Column2393"/>
    <tableColumn id="2399" xr3:uid="{F2FA6B72-416B-4B0D-9A91-35DB1FA3F9B7}" name="Column2394"/>
    <tableColumn id="2400" xr3:uid="{0F83C5BF-99B7-4515-876E-30D5EA9F6618}" name="Column2395"/>
    <tableColumn id="2401" xr3:uid="{F0E75445-2FFE-4036-B987-91CE402AFD60}" name="Column2396"/>
    <tableColumn id="2402" xr3:uid="{2D103A97-79CD-46BB-8367-9F0C9DCF2F9B}" name="Column2397"/>
    <tableColumn id="2403" xr3:uid="{21C72323-2986-4CB6-90B5-D0377599DA3D}" name="Column2398"/>
    <tableColumn id="2404" xr3:uid="{9A948396-4C1F-4BD0-A617-C702BAA150DB}" name="Column2399"/>
    <tableColumn id="2405" xr3:uid="{A133B175-E925-4977-B1EA-9DD9EFDEF390}" name="Column2400"/>
    <tableColumn id="2406" xr3:uid="{706480D2-C491-4A0D-9456-C728D7A03C27}" name="Column2401"/>
    <tableColumn id="2407" xr3:uid="{2E71FC5F-73CF-4C88-9705-56E7821F94DD}" name="Column2402"/>
    <tableColumn id="2408" xr3:uid="{BE1D89BC-9DD5-45E5-B597-E0E11EB023AE}" name="Column2403"/>
    <tableColumn id="2409" xr3:uid="{13FE1737-3ABC-498C-9C23-2AB08AB65220}" name="Column2404"/>
    <tableColumn id="2410" xr3:uid="{80BC2E05-0384-4BFE-9735-4233608E5627}" name="Column2405"/>
    <tableColumn id="2411" xr3:uid="{0AC2D79A-53EF-4D0E-97B4-7EF56C0C55B8}" name="Column2406"/>
    <tableColumn id="2412" xr3:uid="{D451845E-391E-49E0-8933-36C31DD86DF0}" name="Column2407"/>
    <tableColumn id="2413" xr3:uid="{CCF9D8F5-8255-4BB5-86AA-6F386D64FCBF}" name="Column2408"/>
    <tableColumn id="2414" xr3:uid="{082D2512-62E6-4633-9503-C05687781112}" name="Column2409"/>
    <tableColumn id="2415" xr3:uid="{FE49129A-30AC-4AD6-8189-D0279B1BE099}" name="Column2410"/>
    <tableColumn id="2416" xr3:uid="{ECEC0E9A-B3C4-4317-A7A4-C904F2A373E7}" name="Column2411"/>
    <tableColumn id="2417" xr3:uid="{80C2AF7F-4561-42EB-BFF5-5F5B3AED7DB5}" name="Column2412"/>
    <tableColumn id="2418" xr3:uid="{A94D9DDC-04D0-44FA-B1B7-8412CA37899E}" name="Column2413"/>
    <tableColumn id="2419" xr3:uid="{99A26A16-DC92-474E-A6A3-DB55CFF4DB92}" name="Column2414"/>
    <tableColumn id="2420" xr3:uid="{D78428B3-6F79-480C-AF2B-4E2310528A1B}" name="Column2415"/>
    <tableColumn id="2421" xr3:uid="{9E984CC8-2D36-4C12-99BD-3C4F8874969B}" name="Column2416"/>
    <tableColumn id="2422" xr3:uid="{F453FEFB-57B0-4122-968A-057B8541F36A}" name="Column2417"/>
    <tableColumn id="2423" xr3:uid="{C9E80E3A-1108-4F5C-B193-93BD04F70D91}" name="Column2418"/>
    <tableColumn id="2424" xr3:uid="{154B55BD-DEDA-4F71-85EF-DFAC4BCE87AE}" name="Column2419"/>
    <tableColumn id="2425" xr3:uid="{9FC40FD7-F739-40D2-B2D8-B59D200F8A94}" name="Column2420"/>
    <tableColumn id="2426" xr3:uid="{EAD9FFEE-603F-40B0-8C83-C91350F9E834}" name="Column2421"/>
    <tableColumn id="2427" xr3:uid="{EBBDD79B-6EF8-4BA4-BEC4-6A94EC36FB16}" name="Column2422"/>
    <tableColumn id="2428" xr3:uid="{A15D4A04-B111-4C2F-80FC-2703FC926178}" name="Column2423"/>
    <tableColumn id="2429" xr3:uid="{C76E32FB-3458-42F3-99F1-56A8B7213DC0}" name="Column2424"/>
    <tableColumn id="2430" xr3:uid="{49B3651F-1922-423D-8D6F-0B54A448D3EA}" name="Column2425"/>
    <tableColumn id="2431" xr3:uid="{C2D27C30-E591-49BC-BF8D-4991919CF164}" name="Column2426"/>
    <tableColumn id="2432" xr3:uid="{5FA9DA4E-10A2-4F96-B5CA-C676BC9CFF71}" name="Column2427"/>
    <tableColumn id="2433" xr3:uid="{980D0003-0673-49F1-884C-34EE615685E4}" name="Column2428"/>
    <tableColumn id="2434" xr3:uid="{E4BBFA26-BAA1-4C90-98C4-334586E021A0}" name="Column2429"/>
    <tableColumn id="2435" xr3:uid="{36991690-6BBE-460F-96FA-6A3462438334}" name="Column2430"/>
    <tableColumn id="2436" xr3:uid="{AD186EA5-D57E-4DD6-98BA-A01DBF00E9F0}" name="Column2431"/>
    <tableColumn id="2437" xr3:uid="{9799C19A-A864-4841-A245-473C74CED7FD}" name="Column2432"/>
    <tableColumn id="2438" xr3:uid="{E2C30B94-089A-4EEA-B27F-F6F637365B74}" name="Column2433"/>
    <tableColumn id="2439" xr3:uid="{CA9C8523-6141-4775-A67D-D169D13384D8}" name="Column2434"/>
    <tableColumn id="2440" xr3:uid="{AE29B1AA-AFCB-46A6-A3ED-DCDA3DFFA325}" name="Column2435"/>
    <tableColumn id="2441" xr3:uid="{56FADFB9-A066-43F9-8D0B-C61B8ADE84EA}" name="Column2436"/>
    <tableColumn id="2442" xr3:uid="{EF22B664-C92A-4D4A-977A-CD424D96DA7A}" name="Column2437"/>
    <tableColumn id="2443" xr3:uid="{1734C571-AC54-4F86-942F-B16425C424F3}" name="Column2438"/>
    <tableColumn id="2444" xr3:uid="{9D10A5B3-EDC4-4D30-8135-10C330936E34}" name="Column2439"/>
    <tableColumn id="2445" xr3:uid="{31D1E07F-1FAC-493E-9F15-611B63A62929}" name="Column2440"/>
    <tableColumn id="2446" xr3:uid="{A4BF25D5-9A63-408D-A4D0-FACD8DBC74AC}" name="Column2441"/>
    <tableColumn id="2447" xr3:uid="{08D276FD-7ABB-4C53-9BB8-D6BCA42C9433}" name="Column2442"/>
    <tableColumn id="2448" xr3:uid="{4DC1E83F-BC67-4D3B-8425-DA862A145F36}" name="Column2443"/>
    <tableColumn id="2449" xr3:uid="{E6F0A737-A8CE-4140-8135-0C43B470CDF9}" name="Column2444"/>
    <tableColumn id="2450" xr3:uid="{6849EE4A-F41E-40EB-ACA0-88DB97352485}" name="Column2445"/>
    <tableColumn id="2451" xr3:uid="{175C47C4-398C-47F1-A729-212021234CA6}" name="Column2446"/>
    <tableColumn id="2452" xr3:uid="{A8D64CA2-66BB-433D-8C27-7C5D652492E8}" name="Column2447"/>
    <tableColumn id="2453" xr3:uid="{5924BDA4-B0A0-4890-A076-389425860878}" name="Column2448"/>
    <tableColumn id="2454" xr3:uid="{E4DB034C-4D9D-4E24-97E9-9DA94CC60024}" name="Column2449"/>
    <tableColumn id="2455" xr3:uid="{E5E1D763-A5DC-4C15-A21D-25F5A607FEA9}" name="Column2450"/>
    <tableColumn id="2456" xr3:uid="{3956CE91-CE20-4D22-BEE6-DC44AA77ABBD}" name="Column2451"/>
    <tableColumn id="2457" xr3:uid="{F44D4F23-424F-4A9D-91E8-98FFB1A457FB}" name="Column2452"/>
    <tableColumn id="2458" xr3:uid="{11193015-D429-4B40-82D9-EDC570C96C92}" name="Column2453"/>
    <tableColumn id="2459" xr3:uid="{2FF7709D-6125-4C38-AF7F-B548974C5B22}" name="Column2454"/>
    <tableColumn id="2460" xr3:uid="{1AB11CC2-5CBC-4562-AC0D-AFCBA82D82CA}" name="Column2455"/>
    <tableColumn id="2461" xr3:uid="{F2D83E93-CE14-4D3E-95D1-C66C5C6BFA30}" name="Column2456"/>
    <tableColumn id="2462" xr3:uid="{259D7410-E464-4F9C-BCBD-E60F22C4BDC6}" name="Column2457"/>
    <tableColumn id="2463" xr3:uid="{D45D6EA8-F18B-406B-AEDD-242E033F9A9B}" name="Column2458"/>
    <tableColumn id="2464" xr3:uid="{B58CB221-3095-446C-B092-023BDD0A96B4}" name="Column2459"/>
    <tableColumn id="2465" xr3:uid="{BBE831B3-BE98-4701-99DF-87F907EFF29F}" name="Column2460"/>
    <tableColumn id="2466" xr3:uid="{567A06F2-D386-437A-8277-1E7C819295A3}" name="Column2461"/>
    <tableColumn id="2467" xr3:uid="{F5274829-4103-4D52-B942-28C0AAF9C441}" name="Column2462"/>
    <tableColumn id="2468" xr3:uid="{480CE143-F7C9-4FFC-9126-8D86D54222E9}" name="Column2463"/>
    <tableColumn id="2469" xr3:uid="{3DD26919-0998-412C-BE9A-30F8FDDCA674}" name="Column2464"/>
    <tableColumn id="2470" xr3:uid="{8A917499-00A0-4E6F-887B-1090B8A7CBF6}" name="Column2465"/>
    <tableColumn id="2471" xr3:uid="{AAF76F84-73A9-4BC5-9950-BF5CB66C6D91}" name="Column2466"/>
    <tableColumn id="2472" xr3:uid="{0F86CBB5-2696-49B5-8E03-7B9BDDFCF84C}" name="Column2467"/>
    <tableColumn id="2473" xr3:uid="{4C33CD4A-B9BC-4CCC-8CDE-7B651C5750AA}" name="Column2468"/>
    <tableColumn id="2474" xr3:uid="{14B21A4B-D83C-4480-86F0-B29B7344F171}" name="Column2469"/>
    <tableColumn id="2475" xr3:uid="{3966366E-B3F5-4B62-8268-AA039928F21B}" name="Column2470"/>
    <tableColumn id="2476" xr3:uid="{94BCE6B3-AF85-4A4B-9F93-ED5B88D0FC8C}" name="Column2471"/>
    <tableColumn id="2477" xr3:uid="{81EAE941-E3EE-43AE-B25B-529F056DCD6D}" name="Column2472"/>
    <tableColumn id="2478" xr3:uid="{AFE40DF2-DA91-409F-BFF3-0AED55C76A31}" name="Column2473"/>
    <tableColumn id="2479" xr3:uid="{3C36CF83-3608-4AD9-8931-5B908C7261D6}" name="Column2474"/>
    <tableColumn id="2480" xr3:uid="{ED8A5551-3D98-4FF3-BAB0-98A31BAA7B7E}" name="Column2475"/>
    <tableColumn id="2481" xr3:uid="{D6F70052-4D41-474C-9C6B-2F0EC2708723}" name="Column2476"/>
    <tableColumn id="2482" xr3:uid="{42716347-BD37-42F8-BC7B-D9E0BD4A60C6}" name="Column2477"/>
    <tableColumn id="2483" xr3:uid="{624C8A00-BF85-4F90-A639-4D56C9E1CC8B}" name="Column2478"/>
    <tableColumn id="2484" xr3:uid="{17976642-2831-4150-8B39-20C00C053F10}" name="Column2479"/>
    <tableColumn id="2485" xr3:uid="{4C93BA3F-E511-47E2-B8CE-C01DEDEB4275}" name="Column2480"/>
    <tableColumn id="2486" xr3:uid="{77F0E301-2146-44A6-9A39-ACB088BBCD5C}" name="Column2481"/>
    <tableColumn id="2487" xr3:uid="{3449597D-249F-4276-85EC-467F0A010A08}" name="Column2482"/>
    <tableColumn id="2488" xr3:uid="{646E5334-5D7D-4FB6-B90B-4522FDA508E6}" name="Column2483"/>
    <tableColumn id="2489" xr3:uid="{4643B631-2731-4591-A05E-AB78E3AACE34}" name="Column2484"/>
    <tableColumn id="2490" xr3:uid="{F466ED7F-FA4F-490F-93B3-CCC49EA75289}" name="Column2485"/>
    <tableColumn id="2491" xr3:uid="{3888790D-755E-426B-B9CD-1EB2B6EA02E8}" name="Column2486"/>
    <tableColumn id="2492" xr3:uid="{72875328-DBFC-46F3-B706-F202CA986699}" name="Column2487"/>
    <tableColumn id="2493" xr3:uid="{099FD61E-136B-4BAF-9DD8-873CA9C02323}" name="Column2488"/>
    <tableColumn id="2494" xr3:uid="{2818AC50-170D-4F8F-BCCA-E12714E77657}" name="Column2489"/>
    <tableColumn id="2495" xr3:uid="{03FB2E8D-CBE9-430E-8D36-FEBA5F32D82D}" name="Column2490"/>
    <tableColumn id="2496" xr3:uid="{B2E1BB86-FBC8-4955-B1B1-475D4A9F487A}" name="Column2491"/>
    <tableColumn id="2497" xr3:uid="{65454270-2143-433E-BDBF-753E2F806773}" name="Column2492"/>
    <tableColumn id="2498" xr3:uid="{B2B9A32C-4E9D-406B-A060-5A87FAFB3EDD}" name="Column2493"/>
    <tableColumn id="2499" xr3:uid="{63456037-4F96-4694-8602-B20BFB258F42}" name="Column2494"/>
    <tableColumn id="2500" xr3:uid="{BAB13FFF-7615-4CD9-BDA1-D528C4DC8D6B}" name="Column2495"/>
    <tableColumn id="2501" xr3:uid="{5BE26B4F-D596-4AFE-8BF1-A1FC2571B189}" name="Column2496"/>
    <tableColumn id="2502" xr3:uid="{F85E424E-3A37-4327-93AE-B9DF17F6596E}" name="Column2497"/>
    <tableColumn id="2503" xr3:uid="{BFAF2C43-3203-4C7F-A73E-486091683C5D}" name="Column2498"/>
    <tableColumn id="2504" xr3:uid="{F9328FE3-84B6-444A-A7D4-684FEA3F0F82}" name="Column2499"/>
    <tableColumn id="2505" xr3:uid="{EBB042A0-7F02-4772-83A5-724BAB6087DF}" name="Column2500"/>
    <tableColumn id="2506" xr3:uid="{5C506FBA-E82D-48AB-9CED-8304C0653354}" name="Column2501"/>
    <tableColumn id="2507" xr3:uid="{B626789B-FC35-4360-A16D-E907ABE6772F}" name="Column2502"/>
    <tableColumn id="2508" xr3:uid="{C9194600-FFCD-4DA6-BF63-DE7DA67D8143}" name="Column2503"/>
    <tableColumn id="2509" xr3:uid="{3CCFA1CE-1D28-4CE6-9F04-565625E23F8A}" name="Column2504"/>
    <tableColumn id="2510" xr3:uid="{89981A46-8904-40A6-BCBB-75E76DFA1D94}" name="Column2505"/>
    <tableColumn id="2511" xr3:uid="{880FF203-60E5-4090-8939-B2C08324E08E}" name="Column2506"/>
    <tableColumn id="2512" xr3:uid="{E87B19D6-02F7-4F0C-9A29-3186949EDB18}" name="Column2507"/>
    <tableColumn id="2513" xr3:uid="{502EB7EE-F010-4D34-9D3B-1C945F8B94FD}" name="Column2508"/>
    <tableColumn id="2514" xr3:uid="{E217AC52-F0CF-4434-8214-FC046309DD6D}" name="Column2509"/>
    <tableColumn id="2515" xr3:uid="{353040A5-DA67-4EC6-ACDE-86D0322A1F71}" name="Column2510"/>
    <tableColumn id="2516" xr3:uid="{E4E30D11-CA2C-4DEC-9671-9C5C6A938F67}" name="Column2511"/>
    <tableColumn id="2517" xr3:uid="{E4556C1C-C648-4107-90A7-C598783976A8}" name="Column2512"/>
    <tableColumn id="2518" xr3:uid="{D03C23EC-039C-498F-AB53-6A889B81DD7A}" name="Column2513"/>
    <tableColumn id="2519" xr3:uid="{ED07A3D0-E931-4832-BF82-970CC7807875}" name="Column2514"/>
    <tableColumn id="2520" xr3:uid="{956F6333-DAAA-4663-B863-DFF62AD1B4E2}" name="Column2515"/>
    <tableColumn id="2521" xr3:uid="{F1C76E1C-C2BB-4D81-9B54-D63D8E772235}" name="Column2516"/>
    <tableColumn id="2522" xr3:uid="{D4DA4E1A-13EA-4536-8A08-724BEC054846}" name="Column2517"/>
    <tableColumn id="2523" xr3:uid="{2D744C25-2159-44AA-A0D6-5B227FEE9D6E}" name="Column2518"/>
    <tableColumn id="2524" xr3:uid="{37B8AE88-62E3-4003-8E7F-E47AF7A1051F}" name="Column2519"/>
    <tableColumn id="2525" xr3:uid="{A2580A0E-D41C-4D9F-9C81-9C25B6D8B29A}" name="Column2520"/>
    <tableColumn id="2526" xr3:uid="{0B1E71E7-1A38-4F74-A2CB-96B1B19F5901}" name="Column2521"/>
    <tableColumn id="2527" xr3:uid="{2321A1AD-0CCF-4053-AE5B-94C1FE82E092}" name="Column2522"/>
    <tableColumn id="2528" xr3:uid="{14D1FD0F-750D-41C5-A9F2-BE3FE4A2E0E2}" name="Column2523"/>
    <tableColumn id="2529" xr3:uid="{4BB67C5E-FD27-41EC-B1C9-7C3B27BE67BB}" name="Column2524"/>
    <tableColumn id="2530" xr3:uid="{C068B5A5-5DF6-4207-B656-88F92EB371F0}" name="Column2525"/>
    <tableColumn id="2531" xr3:uid="{E4CD7473-DF29-4C36-A73D-1A8CBD5F1A3E}" name="Column2526"/>
    <tableColumn id="2532" xr3:uid="{737E1ADD-C109-463F-96B1-FE0350EC90E4}" name="Column2527"/>
    <tableColumn id="2533" xr3:uid="{4BE4104E-8E3A-43FE-8330-F4E935632CAA}" name="Column2528"/>
    <tableColumn id="2534" xr3:uid="{1133BC6B-557E-4F8E-9FB7-F55D991BDAE6}" name="Column2529"/>
    <tableColumn id="2535" xr3:uid="{8032D1C1-6F41-400D-B3FC-C53CD22169B7}" name="Column2530"/>
    <tableColumn id="2536" xr3:uid="{447EE540-0CC2-4953-B557-D8E8B6152370}" name="Column2531"/>
    <tableColumn id="2537" xr3:uid="{82AA4757-8801-4253-B184-0ED351BB8AD9}" name="Column2532"/>
    <tableColumn id="2538" xr3:uid="{A5DD2511-C0C8-4899-9594-2E76E97C9151}" name="Column2533"/>
    <tableColumn id="2539" xr3:uid="{503D2411-D09D-415C-B8C8-DA226FB946E4}" name="Column2534"/>
    <tableColumn id="2540" xr3:uid="{1519BDF3-8737-41D0-B362-28AD260091DB}" name="Column2535"/>
    <tableColumn id="2541" xr3:uid="{4D132EE4-E439-4AA6-A3F5-C6899F49E9EF}" name="Column2536"/>
    <tableColumn id="2542" xr3:uid="{1E9AE275-AFDC-4179-9124-C10DD267A742}" name="Column2537"/>
    <tableColumn id="2543" xr3:uid="{41E716AB-1674-484A-8F57-F53EFCAFF1E7}" name="Column2538"/>
    <tableColumn id="2544" xr3:uid="{F4580608-B10B-4DE5-8C03-76FB5F829A3C}" name="Column2539"/>
    <tableColumn id="2545" xr3:uid="{6D7B1E2E-97DD-4F0E-9F5F-A527953A8C78}" name="Column2540"/>
    <tableColumn id="2546" xr3:uid="{90C587A4-E1AD-4419-8343-1F19C37DF6D1}" name="Column2541"/>
    <tableColumn id="2547" xr3:uid="{6BF90196-C823-4058-9F45-DFE9DC8CA4F9}" name="Column2542"/>
    <tableColumn id="2548" xr3:uid="{5A5103B4-B8B5-4DFF-B206-A42668BB8D58}" name="Column2543"/>
    <tableColumn id="2549" xr3:uid="{CC710B7E-D800-4D59-9CE7-4C0FC809721B}" name="Column2544"/>
    <tableColumn id="2550" xr3:uid="{6C15AE05-A676-4073-B19C-83CA06980135}" name="Column2545"/>
    <tableColumn id="2551" xr3:uid="{7718A154-0FBA-4787-B2A7-019C54BCB81D}" name="Column2546"/>
    <tableColumn id="2552" xr3:uid="{4E918E56-51F6-461E-96C8-466A9A72761A}" name="Column2547"/>
    <tableColumn id="2553" xr3:uid="{E2E6ED6B-BF5F-4EC1-AE09-B61B1681F099}" name="Column2548"/>
    <tableColumn id="2554" xr3:uid="{058F54CF-5251-4E85-B127-2965FEB98256}" name="Column2549"/>
    <tableColumn id="2555" xr3:uid="{1EFF16CF-B732-4775-AB0F-D6C15BD6590E}" name="Column2550"/>
    <tableColumn id="2556" xr3:uid="{A9A40A9F-91E8-4FCB-BD4E-7F2A3762ED4A}" name="Column2551"/>
    <tableColumn id="2557" xr3:uid="{657BB506-0843-443B-84B8-BE15942981EB}" name="Column2552"/>
    <tableColumn id="2558" xr3:uid="{BCBE35CF-C759-40F7-8726-7D6C24470A27}" name="Column2553"/>
    <tableColumn id="2559" xr3:uid="{817E71DA-D79B-4C16-B52B-90461CCB13F4}" name="Column2554"/>
    <tableColumn id="2560" xr3:uid="{2170FECA-0D8D-4964-B49A-49503F4A3624}" name="Column2555"/>
    <tableColumn id="2561" xr3:uid="{6D5C3410-C3C3-4FF0-8E44-0B7612F6656C}" name="Column2556"/>
    <tableColumn id="2562" xr3:uid="{DD79F4F4-CB48-4CDD-B6F1-2A8D5A7C80C6}" name="Column2557"/>
    <tableColumn id="2563" xr3:uid="{61146CD9-0026-4B36-A922-963343E14BF9}" name="Column2558"/>
    <tableColumn id="2564" xr3:uid="{2F77FE58-8462-4F7A-A17A-8DB4ED2397F9}" name="Column2559"/>
    <tableColumn id="2565" xr3:uid="{FA7849CA-2038-4C69-B2BA-7343E338038C}" name="Column2560"/>
    <tableColumn id="2566" xr3:uid="{BAEDDA24-6AE1-45C5-BB4B-39D3B0296927}" name="Column2561"/>
    <tableColumn id="2567" xr3:uid="{406FBFE4-32D3-4418-B190-C821ACADA403}" name="Column2562"/>
    <tableColumn id="2568" xr3:uid="{2A450C68-42AE-4BDD-A471-7C9AD492B600}" name="Column2563"/>
    <tableColumn id="2569" xr3:uid="{17045C6A-C241-4CFB-8EAD-3BCC71672578}" name="Column2564"/>
    <tableColumn id="2570" xr3:uid="{34764132-2683-4640-923A-128952224915}" name="Column2565"/>
    <tableColumn id="2571" xr3:uid="{B9A2B6C8-A0DB-4453-925E-8FAD0F43EBEC}" name="Column2566"/>
    <tableColumn id="2572" xr3:uid="{B1F8FC47-EB1B-44D9-8A15-2834D96C47A8}" name="Column2567"/>
    <tableColumn id="2573" xr3:uid="{16AD2D1E-70F2-463D-A7BA-4FE4397F6CD1}" name="Column2568"/>
    <tableColumn id="2574" xr3:uid="{33834801-28C8-4880-8C70-5DD11B877DA6}" name="Column2569"/>
    <tableColumn id="2575" xr3:uid="{D5D08014-1E7E-4F5F-886C-9CFA6A89EACA}" name="Column2570"/>
    <tableColumn id="2576" xr3:uid="{325D1DAE-2294-4605-AA72-393F47733878}" name="Column2571"/>
    <tableColumn id="2577" xr3:uid="{ED794C5E-B60D-4800-AE23-B46A02139418}" name="Column2572"/>
    <tableColumn id="2578" xr3:uid="{71943913-F22D-4E2D-8813-8F06929A4298}" name="Column2573"/>
    <tableColumn id="2579" xr3:uid="{1F4F5348-3936-4E2C-91C5-4BA5202AD900}" name="Column2574"/>
    <tableColumn id="2580" xr3:uid="{E4D73A59-3740-40B0-9471-44C0CE8C3498}" name="Column2575"/>
    <tableColumn id="2581" xr3:uid="{2529C060-5ABF-4978-8030-769DB0B8166C}" name="Column2576"/>
    <tableColumn id="2582" xr3:uid="{4725FA62-3D27-4936-92F2-A4DF0F368AAA}" name="Column2577"/>
    <tableColumn id="2583" xr3:uid="{8CD06352-707B-486B-8C0C-69F45C050D75}" name="Column2578"/>
    <tableColumn id="2584" xr3:uid="{E465E905-006B-464F-8D5C-BE02B8CB2F17}" name="Column2579"/>
    <tableColumn id="2585" xr3:uid="{F9BF10E9-3EEA-4C0C-96A7-E578B71340F8}" name="Column2580"/>
    <tableColumn id="2586" xr3:uid="{1EA2E51A-547F-4909-995C-199703407B92}" name="Column2581"/>
    <tableColumn id="2587" xr3:uid="{38A24239-3B28-49E4-ABEE-CEA8A6AFD507}" name="Column2582"/>
    <tableColumn id="2588" xr3:uid="{2763B37A-031C-4755-87F9-FCAF0029190A}" name="Column2583"/>
    <tableColumn id="2589" xr3:uid="{451E16E0-B125-4378-A6D5-EE74FD6C7A08}" name="Column2584"/>
    <tableColumn id="2590" xr3:uid="{C46E14E7-9EC0-4E28-A336-257D829BB7F0}" name="Column2585"/>
    <tableColumn id="2591" xr3:uid="{49562E14-558D-4422-8728-F02E008C041A}" name="Column2586"/>
    <tableColumn id="2592" xr3:uid="{DDB2839E-5B73-4B34-B10E-375BF1C04500}" name="Column2587"/>
    <tableColumn id="2593" xr3:uid="{556AF30F-390B-4D97-979D-DC34BB37B8C8}" name="Column2588"/>
    <tableColumn id="2594" xr3:uid="{EEF743F6-1889-4A7C-8063-EBB0D92ACE44}" name="Column2589"/>
    <tableColumn id="2595" xr3:uid="{951C40BC-65C5-435E-B96C-B1605ADF5D09}" name="Column2590"/>
    <tableColumn id="2596" xr3:uid="{72CE3801-F16E-419D-B96F-BC0DA85EF6FF}" name="Column2591"/>
    <tableColumn id="2597" xr3:uid="{CDB8C91E-341B-4E0E-BC1B-054EECD58BCC}" name="Column2592"/>
    <tableColumn id="2598" xr3:uid="{883A40A5-0DF5-4843-ADAB-3CFD8FB68352}" name="Column2593"/>
    <tableColumn id="2599" xr3:uid="{2809C5CF-4805-44CF-8F7F-B4BBE742EC70}" name="Column2594"/>
    <tableColumn id="2600" xr3:uid="{92C1F303-BC81-421D-82AF-01BAEB8E0B2E}" name="Column2595"/>
    <tableColumn id="2601" xr3:uid="{90F0F6D8-E4BA-49D2-AE7B-E41B1BF0FD92}" name="Column2596"/>
    <tableColumn id="2602" xr3:uid="{721A632C-708E-4D87-B233-A4095CEC6E82}" name="Column2597"/>
    <tableColumn id="2603" xr3:uid="{42EED44C-64E6-494C-926E-F1C5E9F5E548}" name="Column2598"/>
    <tableColumn id="2604" xr3:uid="{6569647B-69E2-4456-96E1-B5968E0E0133}" name="Column2599"/>
    <tableColumn id="2605" xr3:uid="{AF0BF1D7-660D-4B97-8877-15B12474B3DF}" name="Column2600"/>
    <tableColumn id="2606" xr3:uid="{39359082-EC92-42C9-A741-894E876D3917}" name="Column2601"/>
    <tableColumn id="2607" xr3:uid="{8CFA9ADE-C55E-4715-A161-8C43EAB2B8A7}" name="Column2602"/>
    <tableColumn id="2608" xr3:uid="{79E9FB6F-890B-4143-A1EC-B0650D0E4373}" name="Column2603"/>
    <tableColumn id="2609" xr3:uid="{198A2BFE-2525-4D0C-B8D3-E664ACA4CF15}" name="Column2604"/>
    <tableColumn id="2610" xr3:uid="{59781D30-4247-449C-A312-27CF794D0CA6}" name="Column2605"/>
    <tableColumn id="2611" xr3:uid="{9CE7BD13-98E3-44B5-8F9E-2420AA6F811A}" name="Column2606"/>
    <tableColumn id="2612" xr3:uid="{5B4BCE7F-C235-4932-B54C-7B64034F4F0D}" name="Column2607"/>
    <tableColumn id="2613" xr3:uid="{C235074C-D755-4E9D-88AF-8EAA1C09864E}" name="Column2608"/>
    <tableColumn id="2614" xr3:uid="{195131E6-B84D-438D-B247-1E8C17DDF7DC}" name="Column2609"/>
    <tableColumn id="2615" xr3:uid="{110D0727-8B8E-44A5-B275-E20941284D65}" name="Column2610"/>
    <tableColumn id="2616" xr3:uid="{F7113227-83B4-4E7A-8465-AC5CCE4E7AD2}" name="Column2611"/>
    <tableColumn id="2617" xr3:uid="{1548216C-25C8-4912-97F8-891AC54AC666}" name="Column2612"/>
    <tableColumn id="2618" xr3:uid="{710FDD96-4372-48FF-9095-6684342AE5FE}" name="Column2613"/>
    <tableColumn id="2619" xr3:uid="{8D87A2BD-96B5-4344-9B29-76F98D598926}" name="Column2614"/>
    <tableColumn id="2620" xr3:uid="{17FA1E7D-DA06-462D-8A9A-4C7A39C0053C}" name="Column2615"/>
    <tableColumn id="2621" xr3:uid="{084C4AD3-62AD-438C-B920-80F1371E2C1D}" name="Column2616"/>
    <tableColumn id="2622" xr3:uid="{B12D308C-3CBC-4485-9E1C-8364110AC11F}" name="Column2617"/>
    <tableColumn id="2623" xr3:uid="{D7DA6A0C-CC61-4DC8-9D08-B7DDB8E81085}" name="Column2618"/>
    <tableColumn id="2624" xr3:uid="{1A3DF3EE-9612-4DFE-9EC1-53A4E8C3887F}" name="Column2619"/>
    <tableColumn id="2625" xr3:uid="{B2E26242-6C7F-4DA2-A6D3-180804DE01AE}" name="Column2620"/>
    <tableColumn id="2626" xr3:uid="{1FBB7BD6-592B-465F-AA77-789DB6023240}" name="Column2621"/>
    <tableColumn id="2627" xr3:uid="{0BCDB092-B32F-48E3-8EBC-B38F7C29AB56}" name="Column2622"/>
    <tableColumn id="2628" xr3:uid="{C694BAEE-097C-475A-A6B1-F75BFAFCC51D}" name="Column2623"/>
    <tableColumn id="2629" xr3:uid="{D46A4DCA-8198-40A0-806D-E7C1BEED5C57}" name="Column2624"/>
    <tableColumn id="2630" xr3:uid="{1C40D818-C89C-4FE1-9AE1-AC86E4A6D5C2}" name="Column2625"/>
    <tableColumn id="2631" xr3:uid="{785986FB-1B62-40DE-994E-A491AF555753}" name="Column2626"/>
    <tableColumn id="2632" xr3:uid="{37B72A1A-3E3B-46C9-98D4-9D1B2DE34173}" name="Column2627"/>
    <tableColumn id="2633" xr3:uid="{5D276888-059F-4CF3-811E-A1F0D7A323BA}" name="Column2628"/>
    <tableColumn id="2634" xr3:uid="{4CB1C308-BB92-47DF-AED9-73B42A16AC20}" name="Column2629"/>
    <tableColumn id="2635" xr3:uid="{32FA4403-823A-4D2F-AB30-DAE366176D17}" name="Column2630"/>
    <tableColumn id="2636" xr3:uid="{36913F81-AD17-47E1-8AC9-96F75027796F}" name="Column2631"/>
    <tableColumn id="2637" xr3:uid="{B981A4B2-5004-414F-8969-DB4DBAF96DF1}" name="Column2632"/>
    <tableColumn id="2638" xr3:uid="{631A705D-AD55-41D2-9E35-7B685A1D0E03}" name="Column2633"/>
    <tableColumn id="2639" xr3:uid="{3EB440B6-B037-47E7-92BA-D6020CA067FF}" name="Column2634"/>
    <tableColumn id="2640" xr3:uid="{6A983F92-FA2D-4191-ADC3-A11F683CF9DE}" name="Column2635"/>
    <tableColumn id="2641" xr3:uid="{BC6B16BD-0FF7-4F14-8FF3-E67473AA6829}" name="Column2636"/>
    <tableColumn id="2642" xr3:uid="{94FBAD9C-7764-4436-A7E0-B153A5449FF6}" name="Column2637"/>
    <tableColumn id="2643" xr3:uid="{21611850-9EEC-46EF-88F4-F1BF151F0E1C}" name="Column2638"/>
    <tableColumn id="2644" xr3:uid="{B31734E7-C62E-4A8E-812F-C98E83E874AD}" name="Column2639"/>
    <tableColumn id="2645" xr3:uid="{4EF58605-6624-4C3E-B1F3-DF355D162859}" name="Column2640"/>
    <tableColumn id="2646" xr3:uid="{0C6DCB67-0DBB-497D-923C-C6BB8475BD9D}" name="Column2641"/>
    <tableColumn id="2647" xr3:uid="{096E8E5B-837F-4D1C-83BB-67046799D3C9}" name="Column2642"/>
    <tableColumn id="2648" xr3:uid="{FD0A0FC9-0199-43C8-B695-B525B824CB6F}" name="Column2643"/>
    <tableColumn id="2649" xr3:uid="{6C76AF20-D61F-41DF-81DC-D7895910C67A}" name="Column2644"/>
    <tableColumn id="2650" xr3:uid="{F2C9E3C4-6B36-450E-945F-E2A51DE014A9}" name="Column2645"/>
    <tableColumn id="2651" xr3:uid="{5F5C7F02-1743-4065-AAA3-3BC136931FB9}" name="Column2646"/>
    <tableColumn id="2652" xr3:uid="{4F1612A2-70EC-413F-B2F8-860E1FD0D7B5}" name="Column2647"/>
    <tableColumn id="2653" xr3:uid="{302EE6AB-83D2-4E85-A30E-58A2FF8A99DE}" name="Column2648"/>
    <tableColumn id="2654" xr3:uid="{4510BB69-A378-4383-AA12-93541F6B06D2}" name="Column2649"/>
    <tableColumn id="2655" xr3:uid="{FD307961-D09A-4C89-9AF9-679D75FE0784}" name="Column2650"/>
    <tableColumn id="2656" xr3:uid="{A81350F4-51D9-4CB5-8CC3-F40E662C52BE}" name="Column2651"/>
    <tableColumn id="2657" xr3:uid="{A0AD5276-283B-44F6-BCE3-F91FA2AAD7D9}" name="Column2652"/>
    <tableColumn id="2658" xr3:uid="{1CF4CFA2-593E-4F55-A59C-B254F3B6FABE}" name="Column2653"/>
    <tableColumn id="2659" xr3:uid="{9D7AC566-ED43-4F77-93C9-554745842741}" name="Column2654"/>
    <tableColumn id="2660" xr3:uid="{CFC6D46C-17C8-4631-A962-D28BE3987DF9}" name="Column2655"/>
    <tableColumn id="2661" xr3:uid="{517B3B07-182F-428B-8E27-C91C65368362}" name="Column2656"/>
    <tableColumn id="2662" xr3:uid="{873C035D-B786-4596-9C8A-49043E059380}" name="Column2657"/>
    <tableColumn id="2663" xr3:uid="{13E621C3-B0C7-4AAA-BD39-061904C3D7D9}" name="Column2658"/>
    <tableColumn id="2664" xr3:uid="{94120040-2F50-4CA5-AE73-E6CBCDF67AD6}" name="Column2659"/>
    <tableColumn id="2665" xr3:uid="{16F4EEB4-1542-4C2F-A17F-91C1A180FBBD}" name="Column2660"/>
    <tableColumn id="2666" xr3:uid="{377F08B7-78A9-4401-AE93-5B2D3364DDF8}" name="Column2661"/>
    <tableColumn id="2667" xr3:uid="{68A87C21-C460-4854-80A6-9777493FEB52}" name="Column2662"/>
    <tableColumn id="2668" xr3:uid="{11CDE5C4-7EAE-4FF8-9F32-0B01643DCE0B}" name="Column2663"/>
    <tableColumn id="2669" xr3:uid="{099474F7-5504-4F29-8A7F-903E91D65EF4}" name="Column2664"/>
    <tableColumn id="2670" xr3:uid="{AE4D5416-9043-4285-B54A-ABAC9183EBB1}" name="Column2665"/>
    <tableColumn id="2671" xr3:uid="{BB144EB0-421E-4B30-9F67-ECD0026031C6}" name="Column2666"/>
    <tableColumn id="2672" xr3:uid="{5AE24334-AD40-4E70-BA79-ED2DE56D84B6}" name="Column2667"/>
    <tableColumn id="2673" xr3:uid="{E9618E92-A0A1-4973-A701-AF0B1121B283}" name="Column2668"/>
    <tableColumn id="2674" xr3:uid="{19B6D70F-2526-48CC-AD27-8E0F2D2D962E}" name="Column2669"/>
    <tableColumn id="2675" xr3:uid="{B87D4000-3510-45ED-8573-8B5C1126A4A5}" name="Column2670"/>
    <tableColumn id="2676" xr3:uid="{ED456843-BA2D-4A07-B3F7-652C83D97E5D}" name="Column2671"/>
    <tableColumn id="2677" xr3:uid="{C0F7B6E8-5037-40D1-B6C0-B727A14A06F2}" name="Column2672"/>
    <tableColumn id="2678" xr3:uid="{08814A4F-12E3-43AF-B372-EB01581DD669}" name="Column2673"/>
    <tableColumn id="2679" xr3:uid="{CD53BE55-BF37-4279-8073-A6086252AB77}" name="Column2674"/>
    <tableColumn id="2680" xr3:uid="{2AA138B8-2EB0-4D0E-9073-119D0EECC936}" name="Column2675"/>
    <tableColumn id="2681" xr3:uid="{1ACB5785-A816-4D86-9EBC-12095B16B8DE}" name="Column2676"/>
    <tableColumn id="2682" xr3:uid="{D6D9EF51-71A4-4713-BA67-D895A05AF19B}" name="Column2677"/>
    <tableColumn id="2683" xr3:uid="{56158059-49BA-416B-AC7C-3B1CBE8B7381}" name="Column2678"/>
    <tableColumn id="2684" xr3:uid="{663A202E-7197-483A-9975-CE76A84A3C54}" name="Column2679"/>
    <tableColumn id="2685" xr3:uid="{7A71085D-21B3-4989-B1B5-D234993F20D7}" name="Column2680"/>
    <tableColumn id="2686" xr3:uid="{44403712-4E54-48BA-838A-346F67A60E07}" name="Column2681"/>
    <tableColumn id="2687" xr3:uid="{4C3F1464-9D62-4124-9B50-E8D2A5ACAB8F}" name="Column2682"/>
    <tableColumn id="2688" xr3:uid="{B2AC6A9B-578D-40F6-BC25-D9A95E7316A9}" name="Column2683"/>
    <tableColumn id="2689" xr3:uid="{71DB6CF1-744B-4A47-AF3A-B0C20EA6AD8C}" name="Column2684"/>
    <tableColumn id="2690" xr3:uid="{F8D3BC10-311B-441F-9B99-A7AC5BAA5EE0}" name="Column2685"/>
    <tableColumn id="2691" xr3:uid="{02E084A5-D578-47C2-A9BA-BCB82B3EAF38}" name="Column2686"/>
    <tableColumn id="2692" xr3:uid="{9557483E-4F4F-4EA8-A2E7-25A7B42A7E21}" name="Column2687"/>
    <tableColumn id="2693" xr3:uid="{20356D57-3B13-4A8F-8A9A-D4952E1377AC}" name="Column2688"/>
    <tableColumn id="2694" xr3:uid="{0787F7EE-AB69-4C20-8C78-88DF1FB52972}" name="Column2689"/>
    <tableColumn id="2695" xr3:uid="{108EDD01-DBA3-4D54-BB1B-12AB168115D2}" name="Column2690"/>
    <tableColumn id="2696" xr3:uid="{303191BF-38A3-4572-B567-13BBA4792805}" name="Column2691"/>
    <tableColumn id="2697" xr3:uid="{AB5A3066-55B2-41B5-AC32-75B3A4D077AE}" name="Column2692"/>
    <tableColumn id="2698" xr3:uid="{AE698C37-84F6-4949-BDA6-9A241930C052}" name="Column2693"/>
    <tableColumn id="2699" xr3:uid="{24F5CFF2-C6BF-4A80-98A1-35CD1BF5FF95}" name="Column2694"/>
    <tableColumn id="2700" xr3:uid="{64F0FA72-512D-430F-A733-BCA48BADD374}" name="Column2695"/>
    <tableColumn id="2701" xr3:uid="{2A51EE0E-011A-407D-97A2-C71015DD46AC}" name="Column2696"/>
    <tableColumn id="2702" xr3:uid="{15C2E493-72DC-4EB4-B65F-E8F5F756E5C7}" name="Column2697"/>
    <tableColumn id="2703" xr3:uid="{9B94A454-A0DB-4A8C-9E9E-1A495906799E}" name="Column2698"/>
    <tableColumn id="2704" xr3:uid="{8EA17C4E-D313-4E81-833A-A0BA1B65A029}" name="Column2699"/>
    <tableColumn id="2705" xr3:uid="{EE288BB9-426E-427F-AAA4-76BEC0B638E1}" name="Column2700"/>
    <tableColumn id="2706" xr3:uid="{E73E1D1F-4F22-4B03-A8B9-378F7F9CC213}" name="Column2701"/>
    <tableColumn id="2707" xr3:uid="{61BEBD96-33BA-4821-962C-436965FFC5F6}" name="Column2702"/>
    <tableColumn id="2708" xr3:uid="{8DBC2EF2-87AE-46CC-A4FB-3753F56CD3A8}" name="Column2703"/>
    <tableColumn id="2709" xr3:uid="{E26E0C0D-A7FC-4E1B-A14D-8ABB63A1B418}" name="Column2704"/>
    <tableColumn id="2710" xr3:uid="{E5CE23A9-1D35-4584-9256-2E0BF09494FC}" name="Column2705"/>
    <tableColumn id="2711" xr3:uid="{CDE6A32F-C9CA-4C7C-8504-7BBA0A46865C}" name="Column2706"/>
    <tableColumn id="2712" xr3:uid="{A34599F4-2B39-4780-BDFF-9E952B122BA9}" name="Column2707"/>
    <tableColumn id="2713" xr3:uid="{D8B744D3-4730-4737-8BEB-0B585E55862E}" name="Column2708"/>
    <tableColumn id="2714" xr3:uid="{5DFE2B99-5F9F-4C2F-8E9C-08CDC871A26F}" name="Column2709"/>
    <tableColumn id="2715" xr3:uid="{10DAB7BE-2DC8-435E-B566-C88EC81B3E90}" name="Column2710"/>
    <tableColumn id="2716" xr3:uid="{9E06414F-4EA0-4A82-8B08-A9D61F78205D}" name="Column2711"/>
    <tableColumn id="2717" xr3:uid="{D1808F9C-27DA-4222-8CEF-5839D355CA1C}" name="Column2712"/>
    <tableColumn id="2718" xr3:uid="{FE24FECC-57E4-46F2-A18D-772EE3F7A742}" name="Column2713"/>
    <tableColumn id="2719" xr3:uid="{913812C6-B277-48CE-93A4-3895135EE47F}" name="Column2714"/>
    <tableColumn id="2720" xr3:uid="{06A9DA8D-8E6A-4D4E-8F8D-D1232EF621EA}" name="Column2715"/>
    <tableColumn id="2721" xr3:uid="{9F84747A-4B38-4F10-B3DA-F1CC4579E09E}" name="Column2716"/>
    <tableColumn id="2722" xr3:uid="{B29160CA-AFAF-4542-A7F9-C0A21A879679}" name="Column2717"/>
    <tableColumn id="2723" xr3:uid="{334EACA2-6B7C-4446-9ABE-63B31F5C2999}" name="Column2718"/>
    <tableColumn id="2724" xr3:uid="{0CE6FA32-A737-49E9-A9DB-509BD7E26DA3}" name="Column2719"/>
    <tableColumn id="2725" xr3:uid="{BB4662D7-09FE-48CD-9E19-BF3420A06732}" name="Column2720"/>
    <tableColumn id="2726" xr3:uid="{67C8CF6E-DE0A-4CE7-86B0-BAF7733873B7}" name="Column2721"/>
    <tableColumn id="2727" xr3:uid="{221125DD-1159-4224-B0EF-4905690A30B2}" name="Column2722"/>
    <tableColumn id="2728" xr3:uid="{3A755353-208D-4CED-8F87-E7CDB0D57164}" name="Column2723"/>
    <tableColumn id="2729" xr3:uid="{B917C8FA-7614-46F2-B744-D84130CFF2E5}" name="Column2724"/>
    <tableColumn id="2730" xr3:uid="{607A7AD0-470E-4DBA-BFFE-3847EE4A849B}" name="Column2725"/>
    <tableColumn id="2731" xr3:uid="{65D0F38F-5485-4236-9F1A-EE4CA5ED8CA5}" name="Column2726"/>
    <tableColumn id="2732" xr3:uid="{FE322002-2288-49FD-89B1-A2C5A36A9B42}" name="Column2727"/>
    <tableColumn id="2733" xr3:uid="{293E5378-DC30-49C8-86D6-4BB5CA09AC9F}" name="Column2728"/>
    <tableColumn id="2734" xr3:uid="{2AACADDA-3A6A-4D69-8BEC-6423A13B4870}" name="Column2729"/>
    <tableColumn id="2735" xr3:uid="{D03C8FEE-2A03-4C84-9E17-9AF1BCE63D19}" name="Column2730"/>
    <tableColumn id="2736" xr3:uid="{6D105C88-7240-4E55-B0A2-78E8EC2B29F9}" name="Column2731"/>
    <tableColumn id="2737" xr3:uid="{D2FE2765-FB7E-447E-B0CF-7E4802C82705}" name="Column2732"/>
    <tableColumn id="2738" xr3:uid="{AB98546E-F3F6-424B-8717-FCB87097612C}" name="Column2733"/>
    <tableColumn id="2739" xr3:uid="{6D8A4B9C-75EA-432B-BC6E-B16B0C772F0A}" name="Column2734"/>
    <tableColumn id="2740" xr3:uid="{3783B06D-F6D7-479B-8EF8-79D90FBF7663}" name="Column2735"/>
    <tableColumn id="2741" xr3:uid="{BE3C800E-9726-481A-A33B-9D1AFAC43FAD}" name="Column2736"/>
    <tableColumn id="2742" xr3:uid="{F347B809-41EA-40D6-9C00-E30DBD8DF798}" name="Column2737"/>
    <tableColumn id="2743" xr3:uid="{61E14496-FDF3-45AF-9577-57C458279FA3}" name="Column2738"/>
    <tableColumn id="2744" xr3:uid="{BD1B16BB-3E59-4CD9-AFA2-EBC2D2A86D12}" name="Column2739"/>
    <tableColumn id="2745" xr3:uid="{B15F5302-6CA3-4F57-840C-AC47508DE5C6}" name="Column2740"/>
    <tableColumn id="2746" xr3:uid="{295A18D4-E788-41C9-B0A9-F44AC53AA34E}" name="Column2741"/>
    <tableColumn id="2747" xr3:uid="{0797C20D-3F39-46A5-80C5-9CF9C0F6FA33}" name="Column2742"/>
    <tableColumn id="2748" xr3:uid="{441583B8-1760-41D7-9454-28C0D131FA4B}" name="Column2743"/>
    <tableColumn id="2749" xr3:uid="{2EA3B387-D082-48ED-B0C0-44A6F273DCC5}" name="Column2744"/>
    <tableColumn id="2750" xr3:uid="{3676722E-7637-4471-B0F5-A89A476A1A21}" name="Column2745"/>
    <tableColumn id="2751" xr3:uid="{1D298641-C403-4D35-B231-503E75BCB399}" name="Column2746"/>
    <tableColumn id="2752" xr3:uid="{229CCF1F-9E02-45AC-B358-188DD4E602CF}" name="Column2747"/>
    <tableColumn id="2753" xr3:uid="{FC53D223-BE89-4005-A68C-267BAB92F4BD}" name="Column2748"/>
    <tableColumn id="2754" xr3:uid="{E59098FC-A537-4A4D-8190-874CA51FFB84}" name="Column2749"/>
    <tableColumn id="2755" xr3:uid="{FF11AB15-30F9-4717-9F1B-4484E43320BF}" name="Column2750"/>
    <tableColumn id="2756" xr3:uid="{E7C35440-4EF2-4A7A-9E85-AAD33FD85166}" name="Column2751"/>
    <tableColumn id="2757" xr3:uid="{419833F8-E8E3-437F-8683-9D80A7739F2C}" name="Column2752"/>
    <tableColumn id="2758" xr3:uid="{15BA27E2-F1F0-49F0-A925-84817B9CD8E4}" name="Column2753"/>
    <tableColumn id="2759" xr3:uid="{BB5D096E-0438-4C22-996E-E12926BBA5DC}" name="Column2754"/>
    <tableColumn id="2760" xr3:uid="{50B1A4D9-88A3-4512-82DB-D5D3E9C9827F}" name="Column2755"/>
    <tableColumn id="2761" xr3:uid="{1A375B6E-F909-4A54-B3C6-FD090E865ECB}" name="Column2756"/>
    <tableColumn id="2762" xr3:uid="{D946E398-44A0-465A-BAFD-7C19C711DB41}" name="Column2757"/>
    <tableColumn id="2763" xr3:uid="{D391248B-807E-450C-84ED-6333389AE7DC}" name="Column2758"/>
    <tableColumn id="2764" xr3:uid="{C82A1495-FA36-4754-9A71-4F7C1242D8E3}" name="Column2759"/>
    <tableColumn id="2765" xr3:uid="{B19ED3D4-8613-4984-BE18-88B5CC417E65}" name="Column2760"/>
    <tableColumn id="2766" xr3:uid="{E04100C4-2BF5-417C-A29C-52285BF392BF}" name="Column2761"/>
    <tableColumn id="2767" xr3:uid="{8F437C0D-9AC6-4882-AA6C-F4B440706DC3}" name="Column2762"/>
    <tableColumn id="2768" xr3:uid="{1C6B0141-7B96-4FD3-AAB0-88779BCB333D}" name="Column2763"/>
    <tableColumn id="2769" xr3:uid="{6938A1C7-9B1B-4BFC-9157-00D049040D06}" name="Column2764"/>
    <tableColumn id="2770" xr3:uid="{1A34FC43-E9E4-402C-A422-F790FE646F85}" name="Column2765"/>
    <tableColumn id="2771" xr3:uid="{A4DEF6B0-3740-49F5-9DFC-FAFE4A8EFF79}" name="Column2766"/>
    <tableColumn id="2772" xr3:uid="{3F5EF561-F334-4F99-9B8B-E57E9CBECA2B}" name="Column2767"/>
    <tableColumn id="2773" xr3:uid="{9F82D815-9913-4DB8-B4DF-85244FF1E019}" name="Column2768"/>
    <tableColumn id="2774" xr3:uid="{1927DC73-5FB3-4BDB-ACBE-7A759476D00A}" name="Column2769"/>
    <tableColumn id="2775" xr3:uid="{86F1E7CF-7081-41B8-B77F-D0A1358F5934}" name="Column2770"/>
    <tableColumn id="2776" xr3:uid="{77F1983E-663F-433D-A1DC-AFC500FEA8DF}" name="Column2771"/>
    <tableColumn id="2777" xr3:uid="{74EE431A-7311-4871-93FB-A626D53D09CB}" name="Column2772"/>
    <tableColumn id="2778" xr3:uid="{82A2C22E-B917-4F51-AE6E-890F23C73059}" name="Column2773"/>
    <tableColumn id="2779" xr3:uid="{9D47770F-D9C1-4978-BF3D-A5AAB7BA00AD}" name="Column2774"/>
    <tableColumn id="2780" xr3:uid="{B42E2A0E-9D06-47A6-8E54-F96AE1A6A9A4}" name="Column2775"/>
    <tableColumn id="2781" xr3:uid="{6CE4C65F-73B9-4117-A836-9719F634C5EF}" name="Column2776"/>
    <tableColumn id="2782" xr3:uid="{CC4ACF36-21FC-44BA-BD42-F26302A917F9}" name="Column2777"/>
    <tableColumn id="2783" xr3:uid="{E34C4D51-DF22-4BEB-AE40-ECEFFEE305DB}" name="Column2778"/>
    <tableColumn id="2784" xr3:uid="{7C52E788-7942-4960-A46D-6EB26964ACB9}" name="Column2779"/>
    <tableColumn id="2785" xr3:uid="{17323446-2B38-4852-BD59-6C26A8C2D2A7}" name="Column2780"/>
    <tableColumn id="2786" xr3:uid="{D21149EF-6374-49B8-ADAE-BC62C36319B3}" name="Column2781"/>
    <tableColumn id="2787" xr3:uid="{56354DA0-97C8-4C8A-966A-5D7823CD5B69}" name="Column2782"/>
    <tableColumn id="2788" xr3:uid="{6D108C44-8E84-49AA-A1F8-3108DD7015D7}" name="Column2783"/>
    <tableColumn id="2789" xr3:uid="{6D749F22-4972-46A6-B6B0-FDBE0B135C3D}" name="Column2784"/>
    <tableColumn id="2790" xr3:uid="{87100275-A648-4F5C-A23B-E1804E0A6F3E}" name="Column2785"/>
    <tableColumn id="2791" xr3:uid="{6BC276F6-1B77-4DF8-9B66-30FD1F918225}" name="Column2786"/>
    <tableColumn id="2792" xr3:uid="{5E6F101E-3E85-4CF5-A040-9BAE0D43B866}" name="Column2787"/>
    <tableColumn id="2793" xr3:uid="{843D89D2-0F17-439B-A79B-C5CC2E94F773}" name="Column2788"/>
    <tableColumn id="2794" xr3:uid="{96C42F3D-E824-4EA5-9E61-3A1400DBFD51}" name="Column2789"/>
    <tableColumn id="2795" xr3:uid="{A9225575-DD23-4C4A-BD3E-612FEDD24298}" name="Column2790"/>
    <tableColumn id="2796" xr3:uid="{137DDAD9-02F2-4DDB-ABFB-F3631CE608D1}" name="Column2791"/>
    <tableColumn id="2797" xr3:uid="{E3A5CB2F-88BD-491B-B727-C86F3DF361B9}" name="Column2792"/>
    <tableColumn id="2798" xr3:uid="{E61E4614-F6F2-4681-AF1C-79CFAB8339E8}" name="Column2793"/>
    <tableColumn id="2799" xr3:uid="{FD8DEF7A-9B13-48BB-992F-514B08CED789}" name="Column2794"/>
    <tableColumn id="2800" xr3:uid="{14F852CD-7FD1-4125-8264-EF70C90E764C}" name="Column2795"/>
    <tableColumn id="2801" xr3:uid="{72008F79-D8C9-40CF-8F28-7645531378DD}" name="Column2796"/>
    <tableColumn id="2802" xr3:uid="{C7CB2DCC-5DA3-4FAF-8FA0-5C53B0A98ECA}" name="Column2797"/>
    <tableColumn id="2803" xr3:uid="{41320A66-8205-456F-8072-3F1A2AA7A7CC}" name="Column2798"/>
    <tableColumn id="2804" xr3:uid="{94ECE69F-B5FE-4A66-B038-2F636A93E247}" name="Column2799"/>
    <tableColumn id="2805" xr3:uid="{10D8233B-58E1-4BAE-B7A8-F3B32F903586}" name="Column2800"/>
    <tableColumn id="2806" xr3:uid="{BA330ADB-EAE5-4495-85A6-EB45B3573089}" name="Column2801"/>
    <tableColumn id="2807" xr3:uid="{084B875A-ACBB-41BD-865F-25A36B59556B}" name="Column2802"/>
    <tableColumn id="2808" xr3:uid="{0521F10B-052B-43B2-A955-89249EF88706}" name="Column2803"/>
    <tableColumn id="2809" xr3:uid="{EA8B1F61-8F5E-49F6-9E45-860F7B475BE2}" name="Column2804"/>
    <tableColumn id="2810" xr3:uid="{D801511C-22B6-4AEA-AEFC-F60D3C72F1BE}" name="Column2805"/>
    <tableColumn id="2811" xr3:uid="{D846E5A6-7153-4709-9BA5-DBE4BBB779EE}" name="Column2806"/>
    <tableColumn id="2812" xr3:uid="{0A2E03DF-D36E-4E7A-9A67-0BD74CD69376}" name="Column2807"/>
    <tableColumn id="2813" xr3:uid="{5BD343D5-5180-4E4B-B24B-4C43D3E8178D}" name="Column2808"/>
    <tableColumn id="2814" xr3:uid="{63B2C86D-99BD-4B57-B50D-DBE66F98B83E}" name="Column2809"/>
    <tableColumn id="2815" xr3:uid="{A88C74FF-BFD8-4724-8316-358192E3A173}" name="Column2810"/>
    <tableColumn id="2816" xr3:uid="{2A6BB68A-90EE-46A8-8D3A-9BB2C5882C79}" name="Column2811"/>
    <tableColumn id="2817" xr3:uid="{EE7CB1CB-DBB2-407E-BBC8-F71A8B9B8C8B}" name="Column2812"/>
    <tableColumn id="2818" xr3:uid="{619E4FC5-335C-4DED-8045-BEF570D18A14}" name="Column2813"/>
    <tableColumn id="2819" xr3:uid="{09496F3F-C74B-4D4B-8172-9A18BF1B6401}" name="Column2814"/>
    <tableColumn id="2820" xr3:uid="{0FF48105-F1DA-40D7-A148-92A8A194E0FE}" name="Column2815"/>
    <tableColumn id="2821" xr3:uid="{CE2A4119-4246-46C1-A1DF-4121FDC5A852}" name="Column2816"/>
    <tableColumn id="2822" xr3:uid="{A7885204-2E0F-46AC-8511-C0597C2A84E2}" name="Column2817"/>
    <tableColumn id="2823" xr3:uid="{76A6A9DF-6F77-41C0-98B5-84C1DA46089D}" name="Column2818"/>
    <tableColumn id="2824" xr3:uid="{628A560E-322C-441B-97FF-1EAE89055FCD}" name="Column2819"/>
    <tableColumn id="2825" xr3:uid="{9E338546-B97B-44FD-9C8D-B3EDBF381DEA}" name="Column2820"/>
    <tableColumn id="2826" xr3:uid="{B9CFF9E5-DA35-4F33-8997-63B5719A8DA1}" name="Column2821"/>
    <tableColumn id="2827" xr3:uid="{8DE42C76-B1EF-463B-A4E3-0798268D781D}" name="Column2822"/>
    <tableColumn id="2828" xr3:uid="{2525EBC3-C5AA-4FCA-BF5B-89ED39B0A801}" name="Column2823"/>
    <tableColumn id="2829" xr3:uid="{C5716F78-F012-4601-BF2F-CC02DEFE45C6}" name="Column2824"/>
    <tableColumn id="2830" xr3:uid="{F51B02CE-AA31-4B38-9C88-E999304720B0}" name="Column2825"/>
    <tableColumn id="2831" xr3:uid="{18E328B2-B16D-4F47-9AB5-A585D6320251}" name="Column2826"/>
    <tableColumn id="2832" xr3:uid="{649BE722-BAAE-42C4-B84B-CC90A36C8FD6}" name="Column2827"/>
    <tableColumn id="2833" xr3:uid="{A1A6FB6E-E9C0-4BDA-9D42-4FC75CE2B73D}" name="Column2828"/>
    <tableColumn id="2834" xr3:uid="{372A58CE-C716-42B2-8AA9-E2CADA93E09E}" name="Column2829"/>
    <tableColumn id="2835" xr3:uid="{38E9349F-14F4-4F3A-8FF8-EA8A660DB4FB}" name="Column2830"/>
    <tableColumn id="2836" xr3:uid="{8F22F9A9-4D13-4AD4-AD86-25CB41755045}" name="Column2831"/>
    <tableColumn id="2837" xr3:uid="{2D5D7617-5791-482B-A0F0-79E57EB73792}" name="Column2832"/>
    <tableColumn id="2838" xr3:uid="{741BE91C-8BF8-4F54-AF97-E3F7B7884081}" name="Column2833"/>
    <tableColumn id="2839" xr3:uid="{7EAFBC7B-6848-4118-ADB9-C133FA4E8901}" name="Column2834"/>
    <tableColumn id="2840" xr3:uid="{18346090-0C8A-42AC-8B59-78D3ED2DA953}" name="Column2835"/>
    <tableColumn id="2841" xr3:uid="{0A606328-4E6F-4B4F-B538-BAA4B968CE55}" name="Column2836"/>
    <tableColumn id="2842" xr3:uid="{2D46EB6F-4561-4EF6-9583-30FF402F70E0}" name="Column2837"/>
    <tableColumn id="2843" xr3:uid="{82B07920-EDE6-4997-B1D5-5D777BC48CEC}" name="Column2838"/>
    <tableColumn id="2844" xr3:uid="{26AEA539-6363-4B19-8B89-16D190A21836}" name="Column2839"/>
    <tableColumn id="2845" xr3:uid="{50AB8A44-8B68-4359-B640-56D89CCC5686}" name="Column2840"/>
    <tableColumn id="2846" xr3:uid="{954686C6-3C4E-4B97-8CB7-C79FA4586693}" name="Column2841"/>
    <tableColumn id="2847" xr3:uid="{9D3AEC86-DF8D-4F72-9397-63BBB72692CC}" name="Column2842"/>
    <tableColumn id="2848" xr3:uid="{E0CAE6D5-8AAD-4908-97B1-4282FA126014}" name="Column2843"/>
    <tableColumn id="2849" xr3:uid="{D154265F-9E6C-4538-9C70-AE9C34332234}" name="Column2844"/>
    <tableColumn id="2850" xr3:uid="{3EDE1E84-3F0D-4542-A3DA-C9AB61A6A12F}" name="Column2845"/>
    <tableColumn id="2851" xr3:uid="{2FE1BFCD-DC11-4859-8EBF-B7B9352B4E51}" name="Column2846"/>
    <tableColumn id="2852" xr3:uid="{3B9638C2-0FA5-4976-B7F1-88BB70A301B8}" name="Column2847"/>
    <tableColumn id="2853" xr3:uid="{E36F9A5F-9E4C-4220-A1F9-B86CCA51005F}" name="Column2848"/>
    <tableColumn id="2854" xr3:uid="{3398845B-7062-4423-8267-E7E387C75C4E}" name="Column2849"/>
    <tableColumn id="2855" xr3:uid="{8AD0787C-F9B5-447B-8519-A691E3260C60}" name="Column2850"/>
    <tableColumn id="2856" xr3:uid="{D38D5F98-9E9C-463B-A177-0F5A871AD6E0}" name="Column2851"/>
    <tableColumn id="2857" xr3:uid="{2E8D5EBE-51AE-4996-BB53-A942342A886E}" name="Column2852"/>
    <tableColumn id="2858" xr3:uid="{8CF48D6C-AE7A-4324-A28A-C7A012FE6979}" name="Column2853"/>
    <tableColumn id="2859" xr3:uid="{2CFC1ED8-A8CC-4F23-A476-A985505D7ED2}" name="Column2854"/>
    <tableColumn id="2860" xr3:uid="{5B829EBD-8F80-4FF2-9DF8-5C64F93BD801}" name="Column2855"/>
    <tableColumn id="2861" xr3:uid="{E705C531-9297-48EB-ACB7-7BD615540F54}" name="Column2856"/>
    <tableColumn id="2862" xr3:uid="{0875FDA3-3374-4D0D-8DAA-1D61B11116AC}" name="Column2857"/>
    <tableColumn id="2863" xr3:uid="{2039B428-F5FA-441B-A3C4-0E825C6FD82D}" name="Column2858"/>
    <tableColumn id="2864" xr3:uid="{0EABB264-8018-4F30-ABAA-7298073A31BE}" name="Column2859"/>
    <tableColumn id="2865" xr3:uid="{8DFF34B6-88D5-4844-B610-FB6BCCD8B632}" name="Column2860"/>
    <tableColumn id="2866" xr3:uid="{883FFE9E-1056-4372-9DCF-0BCA7AD33C03}" name="Column2861"/>
    <tableColumn id="2867" xr3:uid="{B365A938-0013-40FD-9231-EA85A9499459}" name="Column2862"/>
    <tableColumn id="2868" xr3:uid="{E7DC5FF0-0CC2-4CFF-AAC8-37793EEEC923}" name="Column2863"/>
    <tableColumn id="2869" xr3:uid="{62CE9FDA-995E-4A8E-8760-CF3157F8473A}" name="Column2864"/>
    <tableColumn id="2870" xr3:uid="{D6F9744E-19E3-4972-B994-6D7E292C01D6}" name="Column2865"/>
    <tableColumn id="2871" xr3:uid="{3F13348F-BAE8-47D2-93CF-B175E8E7BA0D}" name="Column2866"/>
    <tableColumn id="2872" xr3:uid="{882E0AF1-754E-4CD0-88A5-60BE5F1F0018}" name="Column2867"/>
    <tableColumn id="2873" xr3:uid="{2F305DE4-0D8A-4E02-B3CC-11051D0B9AF5}" name="Column2868"/>
    <tableColumn id="2874" xr3:uid="{E7EF2012-F471-4F39-92DE-227949E36CF0}" name="Column2869"/>
    <tableColumn id="2875" xr3:uid="{7F67A701-7114-41D5-A120-2A8C61C66A3F}" name="Column2870"/>
    <tableColumn id="2876" xr3:uid="{9EA7D23C-0BC2-4D2C-BC5B-F6489D5DE607}" name="Column2871"/>
    <tableColumn id="2877" xr3:uid="{590F475F-10C6-4016-9AB9-6732799D006C}" name="Column2872"/>
    <tableColumn id="2878" xr3:uid="{07DF09C5-AD06-4392-9859-B659E4263032}" name="Column2873"/>
    <tableColumn id="2879" xr3:uid="{3C5BECC7-C171-43D7-AA06-221E831510BF}" name="Column2874"/>
    <tableColumn id="2880" xr3:uid="{3A62E93C-89BA-4373-81CC-CF372B4B35DA}" name="Column2875"/>
    <tableColumn id="2881" xr3:uid="{18EF3EFA-DEAA-4432-9978-5330793AA5A1}" name="Column2876"/>
    <tableColumn id="2882" xr3:uid="{A3E4C30A-C363-45EB-92D5-86E147EFEABF}" name="Column2877"/>
    <tableColumn id="2883" xr3:uid="{B7383854-43AB-44A0-870F-BF5D6927F48D}" name="Column2878"/>
    <tableColumn id="2884" xr3:uid="{F074E7E3-646B-4CDC-B665-024A1E7BA0E6}" name="Column2879"/>
    <tableColumn id="2885" xr3:uid="{7754A3BF-169E-4DF0-9927-01144D3F0DD2}" name="Column2880"/>
    <tableColumn id="2886" xr3:uid="{FB4F9406-D090-434F-9FEF-8705DFBB014C}" name="Column2881"/>
    <tableColumn id="2887" xr3:uid="{09F9606C-B383-460E-A1AB-6C1B5314623C}" name="Column2882"/>
    <tableColumn id="2888" xr3:uid="{A7A23E0B-459E-4455-AB89-1DAFE131E4F7}" name="Column2883"/>
    <tableColumn id="2889" xr3:uid="{00D0A4AD-DCCE-401C-B404-A6518F0838B4}" name="Column2884"/>
    <tableColumn id="2890" xr3:uid="{2919EAD8-C3DD-4F89-A0AE-8786AA4DE855}" name="Column2885"/>
    <tableColumn id="2891" xr3:uid="{92A0138B-3200-488D-A02B-B46242021412}" name="Column2886"/>
    <tableColumn id="2892" xr3:uid="{1131A990-6597-4631-A999-31EAA8DF6B0D}" name="Column2887"/>
    <tableColumn id="2893" xr3:uid="{5D9F50E7-7346-4FC1-A165-39252BDE06C2}" name="Column2888"/>
    <tableColumn id="2894" xr3:uid="{7AD3E4BC-292F-4A24-ACBD-8639A8DEAA10}" name="Column2889"/>
    <tableColumn id="2895" xr3:uid="{789565F7-70FD-489F-854A-3C00C5D0C104}" name="Column2890"/>
    <tableColumn id="2896" xr3:uid="{85D74FD6-FC94-4182-9F1F-55356D86010C}" name="Column2891"/>
    <tableColumn id="2897" xr3:uid="{83483CF3-013D-4B01-819E-EB64EADBD574}" name="Column2892"/>
    <tableColumn id="2898" xr3:uid="{9020C6CC-EC6E-428D-9C36-4421EC1344E2}" name="Column2893"/>
    <tableColumn id="2899" xr3:uid="{48156540-643E-4D8D-B61A-362288DF7FEA}" name="Column2894"/>
    <tableColumn id="2900" xr3:uid="{AB170FB9-92AF-4582-8311-B2209D51C072}" name="Column2895"/>
    <tableColumn id="2901" xr3:uid="{208EDD6B-9093-4985-A543-59167C5B8D09}" name="Column2896"/>
    <tableColumn id="2902" xr3:uid="{0E40C672-1786-4922-A733-3198CE7A9CF4}" name="Column2897"/>
    <tableColumn id="2903" xr3:uid="{01C29B24-D1B6-4808-ADB4-A53C7B965C20}" name="Column2898"/>
    <tableColumn id="2904" xr3:uid="{ED994498-44DE-4E9C-9444-1D31100ED0C4}" name="Column2899"/>
    <tableColumn id="2905" xr3:uid="{A96D578E-AA5D-41AD-B5EF-8DD8FF4C7E42}" name="Column2900"/>
    <tableColumn id="2906" xr3:uid="{8BEAEDB0-2457-47B9-8EA3-C6F9E4EDBE3B}" name="Column2901"/>
    <tableColumn id="2907" xr3:uid="{37E7E23F-C95E-4B0B-9B47-68B2F4B73A02}" name="Column2902"/>
    <tableColumn id="2908" xr3:uid="{7F146E09-02C0-435A-A6D1-987B0F8D2064}" name="Column2903"/>
    <tableColumn id="2909" xr3:uid="{212528F2-64E9-42C7-9953-B6807A5BF889}" name="Column2904"/>
    <tableColumn id="2910" xr3:uid="{B904DAA7-4038-4BAB-9E9E-A5927E91CAC3}" name="Column2905"/>
    <tableColumn id="2911" xr3:uid="{B07D05FC-171E-4E01-AC67-53FE6EFAE986}" name="Column2906"/>
    <tableColumn id="2912" xr3:uid="{DA7C1EA2-7116-45AE-ABA1-405E735EE95D}" name="Column2907"/>
    <tableColumn id="2913" xr3:uid="{AB1F70E3-6AC1-4EC1-AAAA-1DBBFAA9AAEE}" name="Column2908"/>
    <tableColumn id="2914" xr3:uid="{457F0F73-6563-4BBB-9EED-2CCCA29247C7}" name="Column2909"/>
    <tableColumn id="2915" xr3:uid="{4D93B1D1-589C-4299-9EA8-5688F877807E}" name="Column2910"/>
    <tableColumn id="2916" xr3:uid="{445C2B0B-A301-42D9-B734-4BB74C6927E7}" name="Column2911"/>
    <tableColumn id="2917" xr3:uid="{2B97D9A5-7409-464C-94BE-0A4E509B5E60}" name="Column2912"/>
    <tableColumn id="2918" xr3:uid="{BCFC032B-EC3E-4A61-B989-E8B6CCF994EE}" name="Column2913"/>
    <tableColumn id="2919" xr3:uid="{4001DB0D-6AC1-49DD-A5F9-EFCCECC0791B}" name="Column2914"/>
    <tableColumn id="2920" xr3:uid="{9138039B-7A1D-449E-996C-90717FA5227C}" name="Column2915"/>
    <tableColumn id="2921" xr3:uid="{E1A73295-F85C-4668-ABFB-639BE189DD6B}" name="Column2916"/>
    <tableColumn id="2922" xr3:uid="{0B1D9B6F-647A-4752-B6A1-3FF0C252AF59}" name="Column2917"/>
    <tableColumn id="2923" xr3:uid="{E5FADECD-B711-4994-A96D-98FABB4760E9}" name="Column2918"/>
    <tableColumn id="2924" xr3:uid="{DB217555-D3D0-4603-8EB2-B0EA434CCDBF}" name="Column2919"/>
    <tableColumn id="2925" xr3:uid="{70775D26-E5CC-4C10-B5A4-483F27AEBEA6}" name="Column2920"/>
    <tableColumn id="2926" xr3:uid="{7C4F08D8-1358-45C0-AC0D-5212C75EA182}" name="Column2921"/>
    <tableColumn id="2927" xr3:uid="{90F9527F-B6F4-4CE5-9AE2-BA8DF08B097B}" name="Column2922"/>
    <tableColumn id="2928" xr3:uid="{A6FC25DA-8838-478E-BE40-2B466773A4FE}" name="Column2923"/>
    <tableColumn id="2929" xr3:uid="{47D5194D-1689-4B40-811F-D6AD1D64D2BE}" name="Column2924"/>
    <tableColumn id="2930" xr3:uid="{78FC4CFD-7A88-46EB-8EAA-5B87837F3CAF}" name="Column2925"/>
    <tableColumn id="2931" xr3:uid="{2F06AA1E-F5A7-46FD-B5A9-30BABFFB5CF2}" name="Column2926"/>
    <tableColumn id="2932" xr3:uid="{3B2A16BA-6BAF-487C-AF4D-9945FB36FEEA}" name="Column2927"/>
    <tableColumn id="2933" xr3:uid="{A75C9780-7821-4148-BE68-EF5B2CDFE965}" name="Column2928"/>
    <tableColumn id="2934" xr3:uid="{0A9CA824-AD79-4AA2-B482-CD8485203E87}" name="Column2929"/>
    <tableColumn id="2935" xr3:uid="{183969B3-6978-461A-9A8B-C19DCAC1EE4B}" name="Column2930"/>
    <tableColumn id="2936" xr3:uid="{E07BCD93-F893-49F5-B2E1-352FEACB083B}" name="Column2931"/>
    <tableColumn id="2937" xr3:uid="{C59C63BA-E8CB-4BF4-8463-7186E400BD85}" name="Column2932"/>
    <tableColumn id="2938" xr3:uid="{0BB9933C-A3C5-46A1-B6D9-4900CE405BC1}" name="Column2933"/>
    <tableColumn id="2939" xr3:uid="{E02BB8EA-6341-4F06-B753-0B306C338CED}" name="Column2934"/>
    <tableColumn id="2940" xr3:uid="{14C8D230-8EC7-4CC3-92D6-43DA4A754334}" name="Column2935"/>
    <tableColumn id="2941" xr3:uid="{0620E7EB-7A28-4473-A176-E5BA82481ACB}" name="Column2936"/>
    <tableColumn id="2942" xr3:uid="{C5B778AC-CC5C-4835-B691-E8530A2FDF30}" name="Column2937"/>
    <tableColumn id="2943" xr3:uid="{BF0C3E9C-312C-4E72-B9FA-9D7C9339469D}" name="Column2938"/>
    <tableColumn id="2944" xr3:uid="{4BF5EB05-4ADA-46B1-92DC-8C8DB1151CD9}" name="Column2939"/>
    <tableColumn id="2945" xr3:uid="{E50DCCEB-91F7-428C-A242-02F8FAD85050}" name="Column2940"/>
    <tableColumn id="2946" xr3:uid="{E69DBE2F-F698-4779-A6C0-E4DD1B33AE9E}" name="Column2941"/>
    <tableColumn id="2947" xr3:uid="{430802DD-4BDC-4378-8C79-E42A2A756002}" name="Column2942"/>
    <tableColumn id="2948" xr3:uid="{34F8DB9D-B50F-4CE3-9B4F-B5A1536824A3}" name="Column2943"/>
    <tableColumn id="2949" xr3:uid="{F276D126-8B34-4601-90A1-AA47057DA839}" name="Column2944"/>
    <tableColumn id="2950" xr3:uid="{64715F9D-18F1-4102-8312-773EB85EFEC9}" name="Column2945"/>
    <tableColumn id="2951" xr3:uid="{212523D7-BE21-4882-8D9D-694C8452FFBD}" name="Column2946"/>
    <tableColumn id="2952" xr3:uid="{88A19CC9-59E0-4EEB-9C34-7453231688E0}" name="Column2947"/>
    <tableColumn id="2953" xr3:uid="{C3C0C660-14CA-4654-85D0-D10D5C3D18F7}" name="Column2948"/>
    <tableColumn id="2954" xr3:uid="{BE1B48E3-9FE7-41BA-9531-9E7C327E616A}" name="Column2949"/>
    <tableColumn id="2955" xr3:uid="{D46922B5-0861-4553-958F-F10DF46AAD17}" name="Column2950"/>
    <tableColumn id="2956" xr3:uid="{BA8AD62E-BFB2-4C3F-9B20-A31D4C6113AE}" name="Column2951"/>
    <tableColumn id="2957" xr3:uid="{D06A2C12-5FEE-44C3-9146-5E38306BE5B1}" name="Column2952"/>
    <tableColumn id="2958" xr3:uid="{4EFC9596-792A-4D53-89B8-2603647733BF}" name="Column2953"/>
    <tableColumn id="2959" xr3:uid="{4D6691A3-25B8-47D8-8B98-3CD75A6572A2}" name="Column2954"/>
    <tableColumn id="2960" xr3:uid="{8DFCA8FA-CFA5-4693-8590-065A6A2C2179}" name="Column2955"/>
    <tableColumn id="2961" xr3:uid="{34673F15-5FA5-461C-B73C-6A9AB8143B4E}" name="Column2956"/>
    <tableColumn id="2962" xr3:uid="{9EC5D7C1-D10F-41A7-AE57-D4FB4ECCCBDB}" name="Column2957"/>
    <tableColumn id="2963" xr3:uid="{6DC85AD4-C553-4AA7-96E8-A88F255ACB26}" name="Column2958"/>
    <tableColumn id="2964" xr3:uid="{FB893831-4BD7-4B6F-AC3C-5C61B9B2C6D4}" name="Column2959"/>
    <tableColumn id="2965" xr3:uid="{076DEEFD-E976-4788-B24A-165D4DD71AF9}" name="Column2960"/>
    <tableColumn id="2966" xr3:uid="{2002F840-A6A9-47CF-9CB6-127B4C22D3B0}" name="Column2961"/>
    <tableColumn id="2967" xr3:uid="{0B0056D5-876F-4045-BFCC-9713BE2B21F1}" name="Column2962"/>
    <tableColumn id="2968" xr3:uid="{A85F8483-666D-48D5-A3E9-0BCF868C298C}" name="Column2963"/>
    <tableColumn id="2969" xr3:uid="{16A621BE-A0FA-42B9-98F1-317C29A32E59}" name="Column2964"/>
    <tableColumn id="2970" xr3:uid="{80D120C0-36F2-4F1F-AC3F-6E951533A5D5}" name="Column2965"/>
    <tableColumn id="2971" xr3:uid="{FB42AAD8-3C7A-4F2F-8589-D8786679B2AF}" name="Column2966"/>
    <tableColumn id="2972" xr3:uid="{371F821F-E019-4193-ADDE-074BE4E3EF17}" name="Column2967"/>
    <tableColumn id="2973" xr3:uid="{ACE0A909-B969-4B78-8638-2271F465C7C7}" name="Column2968"/>
    <tableColumn id="2974" xr3:uid="{57288FEB-3C7F-4AA3-AAF8-57D189818740}" name="Column2969"/>
    <tableColumn id="2975" xr3:uid="{95DA6557-174B-4C10-BC4F-23DCF3D54610}" name="Column2970"/>
    <tableColumn id="2976" xr3:uid="{EEA4887E-6E66-4093-A8E0-BBF42B5341DE}" name="Column2971"/>
    <tableColumn id="2977" xr3:uid="{289A11E0-2779-4A6A-98F4-7965804E9694}" name="Column2972"/>
    <tableColumn id="2978" xr3:uid="{BF767A69-B763-42D1-BB6C-126C7783DEC6}" name="Column2973"/>
    <tableColumn id="2979" xr3:uid="{7BB32886-BD15-4114-AB28-A218D641369A}" name="Column2974"/>
    <tableColumn id="2980" xr3:uid="{4939867B-A867-411B-AC9D-3EF429AC7DD3}" name="Column2975"/>
    <tableColumn id="2981" xr3:uid="{7DA10017-D16D-462F-856B-8DC564E02F6C}" name="Column2976"/>
    <tableColumn id="2982" xr3:uid="{F8CB894F-4E69-40DE-82FF-9CC713CCECDB}" name="Column2977"/>
    <tableColumn id="2983" xr3:uid="{55565162-4489-4F16-985B-5D7171938302}" name="Column2978"/>
    <tableColumn id="2984" xr3:uid="{D41DCF04-7374-4CED-AD49-B6BCE37AA39A}" name="Column2979"/>
    <tableColumn id="2985" xr3:uid="{9DD52037-2ABB-4684-9E78-3CAFB91641DC}" name="Column2980"/>
    <tableColumn id="2986" xr3:uid="{0E7DE2BE-6857-4B74-BF25-BC59641E89D2}" name="Column2981"/>
    <tableColumn id="2987" xr3:uid="{57AF15D6-4BC5-4FC0-B821-64F5B6118D4C}" name="Column2982"/>
    <tableColumn id="2988" xr3:uid="{D4BF640F-F118-44C3-905B-CE6F6A450328}" name="Column2983"/>
    <tableColumn id="2989" xr3:uid="{F66DCA4F-707A-4DF2-AE9E-B64EB894F1F5}" name="Column2984"/>
    <tableColumn id="2990" xr3:uid="{8DEB33D0-B967-4AC9-A9D9-4C264E404FCC}" name="Column2985"/>
    <tableColumn id="2991" xr3:uid="{83C7F614-B175-41F8-84FA-4F6780B24A64}" name="Column2986"/>
    <tableColumn id="2992" xr3:uid="{2F2E442C-F4C2-4075-9CE7-16C80354C19D}" name="Column2987"/>
    <tableColumn id="2993" xr3:uid="{51385763-5146-4F18-8CBF-438410C3D023}" name="Column2988"/>
    <tableColumn id="2994" xr3:uid="{58C4AA7C-CD07-4EA7-B9A1-D61CC864594F}" name="Column2989"/>
    <tableColumn id="2995" xr3:uid="{3606FFA8-2C96-4DEB-8D10-51028FC55755}" name="Column2990"/>
    <tableColumn id="2996" xr3:uid="{557258BE-371E-496E-BD60-F27A41F6DE02}" name="Column2991"/>
    <tableColumn id="2997" xr3:uid="{3C3F6E42-7256-40F7-B4DF-ED87E4F600F7}" name="Column2992"/>
    <tableColumn id="2998" xr3:uid="{DC7E02F7-679A-47EE-8C0C-47EBB9ACF212}" name="Column2993"/>
    <tableColumn id="2999" xr3:uid="{273508AF-898E-42C7-8031-1AA89BA24794}" name="Column2994"/>
    <tableColumn id="3000" xr3:uid="{3DC51862-6498-4940-BB1E-0CB4F462B914}" name="Column2995"/>
    <tableColumn id="3001" xr3:uid="{25760159-3998-4CF6-8C3E-BA9497068C35}" name="Column2996"/>
    <tableColumn id="3002" xr3:uid="{01B1694B-40B6-4FBA-A6E6-8FFD9B2D1904}" name="Column2997"/>
    <tableColumn id="3003" xr3:uid="{E0F980A3-1DC9-4591-905B-EED65FEFD0BF}" name="Column2998"/>
    <tableColumn id="3004" xr3:uid="{6B65FBFA-5932-40C0-87BC-5A4C704B85F6}" name="Column2999"/>
    <tableColumn id="3005" xr3:uid="{93A6F896-E238-4B41-8FB3-81C1F81ED2B1}" name="Column3000"/>
    <tableColumn id="3006" xr3:uid="{2A63468A-0AAD-471D-B46C-37C773DDFFD1}" name="Column3001"/>
    <tableColumn id="3007" xr3:uid="{EF5E4616-B55C-4DDC-9ECD-F5E3A952DCF3}" name="Column3002"/>
    <tableColumn id="3008" xr3:uid="{C9126234-3340-4A37-9791-69450E56B127}" name="Column3003"/>
    <tableColumn id="3009" xr3:uid="{5BEACCCB-DA47-4645-B383-D677529BB517}" name="Column3004"/>
    <tableColumn id="3010" xr3:uid="{ED9EC65F-0813-495F-9FC2-8139B1940A61}" name="Column3005"/>
    <tableColumn id="3011" xr3:uid="{30881937-9AC0-42B6-8C0B-D404FA982DF7}" name="Column3006"/>
    <tableColumn id="3012" xr3:uid="{B9BEFA98-BE8E-4BC2-A55C-36AB12BF1A38}" name="Column3007"/>
    <tableColumn id="3013" xr3:uid="{5FFDC999-F7E1-4B8D-AC09-F809A8062CFB}" name="Column3008"/>
    <tableColumn id="3014" xr3:uid="{B2A45125-633C-433B-A792-F7FC59420A3D}" name="Column3009"/>
    <tableColumn id="3015" xr3:uid="{D95AA673-7B37-4E98-B724-A5D8CE671C6E}" name="Column3010"/>
    <tableColumn id="3016" xr3:uid="{004887E3-40D3-4958-8FFE-60A8C57A2C85}" name="Column3011"/>
    <tableColumn id="3017" xr3:uid="{C3C6DD86-097C-4084-8E5B-286DCF62E2A6}" name="Column3012"/>
    <tableColumn id="3018" xr3:uid="{C9D33F04-40B7-40E4-AE6F-EA791C8ED909}" name="Column3013"/>
    <tableColumn id="3019" xr3:uid="{2C9ADBA0-4848-4648-9C59-AE99710C7128}" name="Column3014"/>
    <tableColumn id="3020" xr3:uid="{EE41D074-A55B-4901-A5C3-4711AF925DE0}" name="Column3015"/>
    <tableColumn id="3021" xr3:uid="{2B22ABDA-68C9-4310-BA1D-1B2A3D34025A}" name="Column3016"/>
    <tableColumn id="3022" xr3:uid="{3942D695-7A1C-42E3-90D0-3D767EF57804}" name="Column3017"/>
    <tableColumn id="3023" xr3:uid="{E5A0917B-8804-4668-B67D-2C2197FE7E12}" name="Column3018"/>
    <tableColumn id="3024" xr3:uid="{739E731E-5A6A-45B4-8822-5520CA63E3DB}" name="Column3019"/>
    <tableColumn id="3025" xr3:uid="{188880BB-AFD0-48BA-8E9C-A2CB6DF660CA}" name="Column3020"/>
    <tableColumn id="3026" xr3:uid="{D9DB4606-1A5A-435A-9C1E-198E0605E057}" name="Column3021"/>
    <tableColumn id="3027" xr3:uid="{78809C63-750A-4292-BB96-E197733A6BF8}" name="Column3022"/>
    <tableColumn id="3028" xr3:uid="{A3902678-531B-43E7-94A9-B33CA75FFB0C}" name="Column3023"/>
    <tableColumn id="3029" xr3:uid="{981ED2D5-015B-4C66-B0D9-8FD6757B901E}" name="Column3024"/>
    <tableColumn id="3030" xr3:uid="{5C01426C-2D9E-4A07-A10E-782ED04F847D}" name="Column3025"/>
    <tableColumn id="3031" xr3:uid="{98E96247-0E3B-4891-BED9-C0F698AC6EE9}" name="Column3026"/>
    <tableColumn id="3032" xr3:uid="{D5E2F9A0-2AE4-43CA-ADB0-603C5C2E5868}" name="Column3027"/>
    <tableColumn id="3033" xr3:uid="{D6B7AEA7-F8B5-4E0B-A66A-D5962F020E26}" name="Column3028"/>
    <tableColumn id="3034" xr3:uid="{4BF58AB2-50A1-44DE-A30A-746FE9A45FF3}" name="Column3029"/>
    <tableColumn id="3035" xr3:uid="{4F409C1F-E54E-44F2-B76C-2BE3F54C9B49}" name="Column3030"/>
    <tableColumn id="3036" xr3:uid="{0FACB766-8C15-4A2A-B7A5-F453AB898E05}" name="Column3031"/>
    <tableColumn id="3037" xr3:uid="{E3C320EE-4ECD-42FE-B3F3-9DE45C5DBF2F}" name="Column3032"/>
    <tableColumn id="3038" xr3:uid="{08F0E614-82C3-436C-8D70-06E6B95CBE87}" name="Column3033"/>
    <tableColumn id="3039" xr3:uid="{E8629FFB-D009-4559-8944-701A79C17929}" name="Column3034"/>
    <tableColumn id="3040" xr3:uid="{A8608708-C549-4032-877F-342AA224D10F}" name="Column3035"/>
    <tableColumn id="3041" xr3:uid="{2FAF9F5E-A679-4A5B-B55D-411995C15393}" name="Column3036"/>
    <tableColumn id="3042" xr3:uid="{891BC9F5-AC2A-429E-A21A-FA950B16FDDB}" name="Column3037"/>
    <tableColumn id="3043" xr3:uid="{AF685699-464B-4203-9326-4BA6210D34F1}" name="Column3038"/>
    <tableColumn id="3044" xr3:uid="{7EEF7F44-C5AC-48FD-9549-972D31F31A22}" name="Column3039"/>
    <tableColumn id="3045" xr3:uid="{4A9C4BD9-75D9-4BAE-B17E-3692C6E585F2}" name="Column3040"/>
    <tableColumn id="3046" xr3:uid="{5863F8E3-5BFA-4BA0-83DA-3AC789DC1BE1}" name="Column3041"/>
    <tableColumn id="3047" xr3:uid="{09BAE13F-73C1-4562-BBF7-C1C29E9E3952}" name="Column3042"/>
    <tableColumn id="3048" xr3:uid="{7081177B-27F4-47B8-8999-67D46C0FDC89}" name="Column3043"/>
    <tableColumn id="3049" xr3:uid="{A57CA034-0DFD-43B0-B05C-8CBAC8BF482E}" name="Column3044"/>
    <tableColumn id="3050" xr3:uid="{677BB287-C600-451F-B037-FFD071E9701C}" name="Column3045"/>
    <tableColumn id="3051" xr3:uid="{10816C00-D40D-4851-8F51-0F46AB7A324B}" name="Column3046"/>
    <tableColumn id="3052" xr3:uid="{1A47A24A-41A7-43BB-8FC8-6DA59DEED318}" name="Column3047"/>
    <tableColumn id="3053" xr3:uid="{50CEC5A7-9208-4963-8C27-0483E0B17FB8}" name="Column3048"/>
    <tableColumn id="3054" xr3:uid="{D8E21F4B-9491-4686-B4F6-82AACBED280E}" name="Column3049"/>
    <tableColumn id="3055" xr3:uid="{F8B3A8EA-A054-4CE7-8965-8275D58B28A6}" name="Column3050"/>
    <tableColumn id="3056" xr3:uid="{B81ACBEB-F6D3-4713-A909-C72E6479E235}" name="Column3051"/>
    <tableColumn id="3057" xr3:uid="{FBBA7315-404F-4D46-960A-29793F9BFA8A}" name="Column3052"/>
    <tableColumn id="3058" xr3:uid="{4AC87789-87EA-4B3F-9B55-94F238CF03DB}" name="Column3053"/>
    <tableColumn id="3059" xr3:uid="{56281067-8162-489C-BC8A-267B1292E44C}" name="Column3054"/>
    <tableColumn id="3060" xr3:uid="{6EE208BD-0D8C-4968-B69C-0ADA02398EC7}" name="Column3055"/>
    <tableColumn id="3061" xr3:uid="{3AA5ED30-A510-4006-82B7-350D817CD965}" name="Column3056"/>
    <tableColumn id="3062" xr3:uid="{0414147A-92C7-4ABB-B9E7-82DA41550E47}" name="Column3057"/>
    <tableColumn id="3063" xr3:uid="{EC281EAC-060F-47BD-B78A-2964D84B9D26}" name="Column3058"/>
    <tableColumn id="3064" xr3:uid="{D48F77D9-EED9-4989-915B-D3D4E5EEC8B2}" name="Column3059"/>
    <tableColumn id="3065" xr3:uid="{B4DFEAF2-CE28-4D37-9240-8CD458A338AC}" name="Column3060"/>
    <tableColumn id="3066" xr3:uid="{54C5C4C7-4B61-425D-9943-95395A2E9BD9}" name="Column3061"/>
    <tableColumn id="3067" xr3:uid="{AC7882F1-7AE2-42AC-A44E-DD4EBB201639}" name="Column3062"/>
    <tableColumn id="3068" xr3:uid="{80D9B646-C216-43A8-9411-AB015BE342D1}" name="Column3063"/>
    <tableColumn id="3069" xr3:uid="{35998A32-5FD1-470F-98F9-AC0F931290BD}" name="Column3064"/>
    <tableColumn id="3070" xr3:uid="{EF81D3BB-D5C6-40FD-9C06-C5ED02282978}" name="Column3065"/>
    <tableColumn id="3071" xr3:uid="{BFD2E0F9-5C41-461B-AF5E-2F7B15584C30}" name="Column3066"/>
    <tableColumn id="3072" xr3:uid="{EB3E8A67-BCAE-4B14-991B-FB9AC11FFF2F}" name="Column3067"/>
    <tableColumn id="3073" xr3:uid="{959527EB-C5B5-4C3D-8308-FFE63C452113}" name="Column3068"/>
    <tableColumn id="3074" xr3:uid="{51DC6BE0-81DC-4B6C-ABE5-711C8FE2DA19}" name="Column3069"/>
    <tableColumn id="3075" xr3:uid="{5A4769FB-573C-4E19-A186-782E89988296}" name="Column3070"/>
    <tableColumn id="3076" xr3:uid="{F62AEA97-9FB7-48C4-B1DB-50664D9487B0}" name="Column3071"/>
    <tableColumn id="3077" xr3:uid="{5E88CFF9-D186-4491-8011-2AA956DE3F97}" name="Column3072"/>
    <tableColumn id="3078" xr3:uid="{A317EA37-D252-4084-A54C-228D3DBCDC01}" name="Column3073"/>
    <tableColumn id="3079" xr3:uid="{0AA4C34B-23BF-4241-B949-56EE6414A152}" name="Column3074"/>
    <tableColumn id="3080" xr3:uid="{7E7A4B51-58EC-45EE-84E3-BE4F6FAC4B15}" name="Column3075"/>
    <tableColumn id="3081" xr3:uid="{A2F32AFB-615F-41D1-BBF1-BFA31659859E}" name="Column3076"/>
    <tableColumn id="3082" xr3:uid="{7A0B9A1F-7F88-495A-A34D-1988A4876356}" name="Column3077"/>
    <tableColumn id="3083" xr3:uid="{5DA90DEE-74F9-4A55-9444-C8C718EAF71A}" name="Column3078"/>
    <tableColumn id="3084" xr3:uid="{D7E99DAD-67A5-4D64-9071-BBDA30B0EACD}" name="Column3079"/>
    <tableColumn id="3085" xr3:uid="{F957091B-B6DB-43D9-B380-48984F640FBF}" name="Column3080"/>
    <tableColumn id="3086" xr3:uid="{77200EA9-7475-4944-9C56-2387F21E38FE}" name="Column3081"/>
    <tableColumn id="3087" xr3:uid="{DC198EA4-424E-4179-AC51-281AE1C34DAB}" name="Column3082"/>
    <tableColumn id="3088" xr3:uid="{7EDC37FF-FC42-444A-9769-7619F09E7A34}" name="Column3083"/>
    <tableColumn id="3089" xr3:uid="{D7E6656E-377A-41D1-8BC5-1CA0F5E2ECE6}" name="Column3084"/>
    <tableColumn id="3090" xr3:uid="{E87E5736-A49A-47A2-934F-6FAF99BCDFDE}" name="Column3085"/>
    <tableColumn id="3091" xr3:uid="{9F0224ED-F63F-45E6-9E61-C9E4EA0412CF}" name="Column3086"/>
    <tableColumn id="3092" xr3:uid="{2C8EE359-CD4C-4817-96C7-0009F6D5C181}" name="Column3087"/>
    <tableColumn id="3093" xr3:uid="{6D73782F-A13A-4357-9BB0-06AD6F3CB700}" name="Column3088"/>
    <tableColumn id="3094" xr3:uid="{93C86206-9E26-4F54-8E6B-B9DC40C14C87}" name="Column3089"/>
    <tableColumn id="3095" xr3:uid="{818985A5-FB15-410A-A066-EF99B8C96E0F}" name="Column3090"/>
    <tableColumn id="3096" xr3:uid="{1AE4481D-AAE8-41D0-8834-72AC54191D70}" name="Column3091"/>
    <tableColumn id="3097" xr3:uid="{EE12AD10-0C69-49D4-BA91-9836C7D19374}" name="Column3092"/>
    <tableColumn id="3098" xr3:uid="{A8D0EC71-F3EF-42C3-880D-EC0E1A997F19}" name="Column3093"/>
    <tableColumn id="3099" xr3:uid="{820FE0E1-9F10-4143-B25C-2640315AC915}" name="Column3094"/>
    <tableColumn id="3100" xr3:uid="{8F202542-B659-4B5E-9E21-5C0B5AE3063F}" name="Column3095"/>
    <tableColumn id="3101" xr3:uid="{82A8C613-5E78-4AF9-9E88-E1A2C75CCCBF}" name="Column3096"/>
    <tableColumn id="3102" xr3:uid="{A2769BAA-F9D3-4C2C-AC2D-E024794A394E}" name="Column3097"/>
    <tableColumn id="3103" xr3:uid="{9A978790-E2A6-43F9-94E5-9163D4FF4CAC}" name="Column3098"/>
    <tableColumn id="3104" xr3:uid="{DD5B6D88-5B9E-48A9-B1DA-DC7BC8C1E36A}" name="Column3099"/>
    <tableColumn id="3105" xr3:uid="{60665D52-533D-4902-8070-95E8D93C4925}" name="Column3100"/>
    <tableColumn id="3106" xr3:uid="{CE640B86-505E-41DD-A301-3D3085433248}" name="Column3101"/>
    <tableColumn id="3107" xr3:uid="{DBF791C5-65EA-4C8D-96F1-BFC7705A3CC6}" name="Column3102"/>
    <tableColumn id="3108" xr3:uid="{D5C8A19B-0A65-4C2C-A620-87A6D6616CEC}" name="Column3103"/>
    <tableColumn id="3109" xr3:uid="{4564DEE5-9F3A-4275-9F76-D7C3F410375F}" name="Column3104"/>
    <tableColumn id="3110" xr3:uid="{67499B4D-E268-4FCA-97CE-F163CD7B8101}" name="Column3105"/>
    <tableColumn id="3111" xr3:uid="{8152F64A-220B-45D2-B8D3-C1EF0773AC66}" name="Column3106"/>
    <tableColumn id="3112" xr3:uid="{3F8CA534-90AF-4CD3-B6A6-167BE48A4C23}" name="Column3107"/>
    <tableColumn id="3113" xr3:uid="{43321CE4-2A50-414D-AE47-89BBF7DEBCDE}" name="Column3108"/>
    <tableColumn id="3114" xr3:uid="{9493166C-9249-43B5-A9B9-12E5F989F9D8}" name="Column3109"/>
    <tableColumn id="3115" xr3:uid="{13C1E871-40D4-4079-AFA2-754452D183E2}" name="Column3110"/>
    <tableColumn id="3116" xr3:uid="{1C40D0B0-AA96-4890-9FAF-9564CFD3F5BF}" name="Column3111"/>
    <tableColumn id="3117" xr3:uid="{DFB6BB8A-8DA9-491E-9DC0-F040165560DF}" name="Column3112"/>
    <tableColumn id="3118" xr3:uid="{CC4F882D-34DC-4A27-BCCC-D72B2B3D4103}" name="Column3113"/>
    <tableColumn id="3119" xr3:uid="{7671C061-67A1-4180-953B-BB556CC17DF1}" name="Column3114"/>
    <tableColumn id="3120" xr3:uid="{CA1E16E5-FEDD-49BA-B88B-9194E0A07C36}" name="Column3115"/>
    <tableColumn id="3121" xr3:uid="{20342D9D-6EAD-44BE-962A-229F543003E0}" name="Column3116"/>
    <tableColumn id="3122" xr3:uid="{725BAF82-4E41-4CD4-B14A-74DBAC16EF31}" name="Column3117"/>
    <tableColumn id="3123" xr3:uid="{52A5D949-6D7E-47A4-89AE-030189CCA1A5}" name="Column3118"/>
    <tableColumn id="3124" xr3:uid="{B16D92C6-DEA3-446B-A91D-1E3F2DCBB1F4}" name="Column3119"/>
    <tableColumn id="3125" xr3:uid="{8A19C16C-C337-48DC-A459-A28E067E3738}" name="Column3120"/>
    <tableColumn id="3126" xr3:uid="{60ACE284-9A04-4BA4-A757-03C85EBFB55C}" name="Column3121"/>
    <tableColumn id="3127" xr3:uid="{3C2B4EFB-9499-4B24-9F91-9085676AA78E}" name="Column3122"/>
    <tableColumn id="3128" xr3:uid="{DA254B04-A189-49B1-8028-5F424E3BA66B}" name="Column3123"/>
    <tableColumn id="3129" xr3:uid="{E6DF010F-93F3-4C76-AC90-DE59D187CBB2}" name="Column3124"/>
    <tableColumn id="3130" xr3:uid="{B6720FC6-2340-4B33-B7EF-E1F4F76279C1}" name="Column3125"/>
    <tableColumn id="3131" xr3:uid="{1C595D12-56AD-42C4-874F-22FDEAEB7323}" name="Column3126"/>
    <tableColumn id="3132" xr3:uid="{AEE1C63E-FE50-4CD1-9D60-DD6B6CA33FA6}" name="Column3127"/>
    <tableColumn id="3133" xr3:uid="{47BD9165-0E10-47AA-85A4-3C2431C1FA34}" name="Column3128"/>
    <tableColumn id="3134" xr3:uid="{006559E3-A1B3-433F-B25E-3BE0FFFD0F7E}" name="Column3129"/>
    <tableColumn id="3135" xr3:uid="{3290DF78-C8A3-477F-A723-125ED7562A51}" name="Column3130"/>
    <tableColumn id="3136" xr3:uid="{327A0A4F-FCF3-4EC3-99E8-0582D1383891}" name="Column3131"/>
    <tableColumn id="3137" xr3:uid="{E95DCCE6-A41B-4306-A693-8AC01D6DBFC0}" name="Column3132"/>
    <tableColumn id="3138" xr3:uid="{2B00D46B-E048-4E5F-9045-6750FAEDC797}" name="Column3133"/>
    <tableColumn id="3139" xr3:uid="{B2139F63-9114-47A6-B3B0-156B728CB543}" name="Column3134"/>
    <tableColumn id="3140" xr3:uid="{730FBCD1-B228-483E-A9F5-346718431F05}" name="Column3135"/>
    <tableColumn id="3141" xr3:uid="{E5153B11-6F84-406D-AE39-BBDFF68B96E3}" name="Column3136"/>
    <tableColumn id="3142" xr3:uid="{44FF0C7B-E814-49CA-83B2-CD0282CB6CE9}" name="Column3137"/>
    <tableColumn id="3143" xr3:uid="{697E2C10-A116-4FC7-A25E-2C85B72F0A3A}" name="Column3138"/>
    <tableColumn id="3144" xr3:uid="{403369DF-03AF-4374-95EC-6FFDC6D55417}" name="Column3139"/>
    <tableColumn id="3145" xr3:uid="{69AED16B-5243-438F-ABB2-9DB2DFAC5D5F}" name="Column3140"/>
    <tableColumn id="3146" xr3:uid="{FE78F6FF-AA57-449C-A14A-EF5F1C26F9DC}" name="Column3141"/>
    <tableColumn id="3147" xr3:uid="{6BC1EB2B-1C4B-4D84-B083-B9D60AE20848}" name="Column3142"/>
    <tableColumn id="3148" xr3:uid="{520B9AF6-7284-42DD-BEE7-A205C5B9A1C6}" name="Column3143"/>
    <tableColumn id="3149" xr3:uid="{70DFA2DB-A075-4058-863F-0A55321D0811}" name="Column3144"/>
    <tableColumn id="3150" xr3:uid="{63E0D02F-ABB5-429A-92F4-AB2B36F36623}" name="Column3145"/>
    <tableColumn id="3151" xr3:uid="{75B53046-19D1-4AF6-B19B-A65CC028CA51}" name="Column3146"/>
    <tableColumn id="3152" xr3:uid="{8D4F3470-6A40-4826-857D-D97B6D939406}" name="Column3147"/>
    <tableColumn id="3153" xr3:uid="{C36C4643-E056-4DF1-A150-7E467A4C2704}" name="Column3148"/>
    <tableColumn id="3154" xr3:uid="{CDCD8FFF-2DA3-4F7A-8B20-A182710AFEAE}" name="Column3149"/>
    <tableColumn id="3155" xr3:uid="{88491473-2471-471C-8992-543B9BC6E3BE}" name="Column3150"/>
    <tableColumn id="3156" xr3:uid="{93D70518-DBAC-4BA0-84CA-73FEBBBB7175}" name="Column3151"/>
    <tableColumn id="3157" xr3:uid="{F0295F94-6E50-45A5-B4E5-A30C8A5FF6B5}" name="Column3152"/>
    <tableColumn id="3158" xr3:uid="{EDE9A757-8A68-46F8-8766-609959607981}" name="Column3153"/>
    <tableColumn id="3159" xr3:uid="{5D210F81-1811-4DAF-A4FE-B6D4269031F8}" name="Column3154"/>
    <tableColumn id="3160" xr3:uid="{C869FD4D-A8F9-4E87-808F-54524519F595}" name="Column3155"/>
    <tableColumn id="3161" xr3:uid="{625DF71C-9594-458E-AC09-810C61F08B1B}" name="Column3156"/>
    <tableColumn id="3162" xr3:uid="{45A584B2-BFD9-4126-B7FA-164A87F78050}" name="Column3157"/>
    <tableColumn id="3163" xr3:uid="{DB95FDB8-3DFC-4B3C-889A-179EF735AC73}" name="Column3158"/>
    <tableColumn id="3164" xr3:uid="{1BE6D28B-6CF9-4DF9-A785-913BCF33EB27}" name="Column3159"/>
    <tableColumn id="3165" xr3:uid="{F2096BFF-C658-4320-9552-F6B59A00AC06}" name="Column3160"/>
    <tableColumn id="3166" xr3:uid="{03056786-5978-49A1-88E7-968033937571}" name="Column3161"/>
    <tableColumn id="3167" xr3:uid="{BC581980-B54C-4111-943F-A70F3D1D26F2}" name="Column3162"/>
    <tableColumn id="3168" xr3:uid="{8C45DF9E-7E35-4283-B70C-D470EB5ADEA8}" name="Column3163"/>
    <tableColumn id="3169" xr3:uid="{F6A85DA3-C46F-4A2D-A698-9873D1AC38AF}" name="Column3164"/>
    <tableColumn id="3170" xr3:uid="{19C54BEC-59E7-418C-9D0B-88B420A2DE22}" name="Column3165"/>
    <tableColumn id="3171" xr3:uid="{0C9BA178-C710-48C4-82E3-630B583E86BF}" name="Column3166"/>
    <tableColumn id="3172" xr3:uid="{DEAA7BEE-30C1-4C4E-96E8-0FC1B2CBAE2F}" name="Column3167"/>
    <tableColumn id="3173" xr3:uid="{BFEDFD3D-0B04-4B61-99E4-396DDEF487A8}" name="Column3168"/>
    <tableColumn id="3174" xr3:uid="{AB0EDA67-B676-423B-9552-F5B716884406}" name="Column3169"/>
    <tableColumn id="3175" xr3:uid="{C09C3F36-CCDC-4674-90E7-66F58E79C1B2}" name="Column3170"/>
    <tableColumn id="3176" xr3:uid="{D1F2EAFB-366F-4803-B9C2-9570BE30A8C2}" name="Column3171"/>
    <tableColumn id="3177" xr3:uid="{A80A687B-8A78-4319-9318-9D182CCF4555}" name="Column3172"/>
    <tableColumn id="3178" xr3:uid="{7E891376-35C9-4DE6-906A-DA01FC9AD1BB}" name="Column3173"/>
    <tableColumn id="3179" xr3:uid="{EE369CEA-7B62-4EA6-B66A-3A4628E169C7}" name="Column3174"/>
    <tableColumn id="3180" xr3:uid="{687BD168-6F5D-4F22-90DA-F9EE78CDEAA1}" name="Column3175"/>
    <tableColumn id="3181" xr3:uid="{98778F94-C427-41C3-BB81-DA8ED6DBC440}" name="Column3176"/>
    <tableColumn id="3182" xr3:uid="{E5E1E97C-1621-49CB-AB41-9C3ACD5AFF98}" name="Column3177"/>
    <tableColumn id="3183" xr3:uid="{A910B94A-10EA-4F1F-956F-A3BF04638349}" name="Column3178"/>
    <tableColumn id="3184" xr3:uid="{232E7C9D-6431-4092-9EB0-0ACF302458F7}" name="Column3179"/>
    <tableColumn id="3185" xr3:uid="{6D9AC596-2378-4376-87AA-0901586C357D}" name="Column3180"/>
    <tableColumn id="3186" xr3:uid="{1617D117-C06B-4339-95D6-CC2C2DE1B29E}" name="Column3181"/>
    <tableColumn id="3187" xr3:uid="{A45C9DBC-F520-459F-AC70-A1C1392995D2}" name="Column3182"/>
    <tableColumn id="3188" xr3:uid="{9D5DB5A2-92A2-4FC5-832C-2EF20FE81A20}" name="Column3183"/>
    <tableColumn id="3189" xr3:uid="{AB5D4EAE-CA69-443F-A249-E4F1471B250A}" name="Column3184"/>
    <tableColumn id="3190" xr3:uid="{2FC32F66-177F-40F1-9DDA-CF2CA49E5F21}" name="Column3185"/>
    <tableColumn id="3191" xr3:uid="{3C3DD378-09EB-4BC9-A4FE-694165C57F39}" name="Column3186"/>
    <tableColumn id="3192" xr3:uid="{FBC3A9DB-D8C1-46DB-8667-70EE6D712920}" name="Column3187"/>
    <tableColumn id="3193" xr3:uid="{AC9157EA-9EEE-4A31-8EE9-614C932F3C69}" name="Column3188"/>
    <tableColumn id="3194" xr3:uid="{B6E887AD-BD9E-45AE-9201-6A0CBFCBFE64}" name="Column3189"/>
    <tableColumn id="3195" xr3:uid="{3B83DCDF-E24B-4D57-B9F7-246B65F51BB4}" name="Column3190"/>
    <tableColumn id="3196" xr3:uid="{58983909-C607-4CD7-8311-EC6728F998B9}" name="Column3191"/>
    <tableColumn id="3197" xr3:uid="{5A1F2E50-2673-464C-B438-CD324DD214F4}" name="Column3192"/>
    <tableColumn id="3198" xr3:uid="{E6C4D90D-3BB6-45CF-932A-11BEB1C2C4A5}" name="Column3193"/>
    <tableColumn id="3199" xr3:uid="{4C0F13DB-800B-481F-B230-67D8CF8ADE88}" name="Column3194"/>
    <tableColumn id="3200" xr3:uid="{15298FD7-5580-4882-A3B4-3C37F4B47419}" name="Column3195"/>
    <tableColumn id="3201" xr3:uid="{DAEF44B3-5B8B-4B9E-B2CC-A2BDBD5436AB}" name="Column3196"/>
    <tableColumn id="3202" xr3:uid="{9C77A1D5-3A87-4988-B909-B1AFCEAA5423}" name="Column3197"/>
    <tableColumn id="3203" xr3:uid="{F236C4E6-4F19-4619-B7F6-9DB19428F790}" name="Column3198"/>
    <tableColumn id="3204" xr3:uid="{D8107589-530D-4D0E-B5CA-70242FAEA058}" name="Column3199"/>
    <tableColumn id="3205" xr3:uid="{C51EF512-0AC6-4B08-915F-EFEC2BD1CE91}" name="Column3200"/>
    <tableColumn id="3206" xr3:uid="{D4583116-AC6A-4620-9616-DA3AC15E8FB2}" name="Column3201"/>
    <tableColumn id="3207" xr3:uid="{05A1025F-181A-428E-B1F3-25636DAADF44}" name="Column3202"/>
    <tableColumn id="3208" xr3:uid="{8553329C-8E02-4C0D-AF4C-FE7C0E15C6C3}" name="Column3203"/>
    <tableColumn id="3209" xr3:uid="{28F38B4F-C9C9-4247-B90F-579553F0E1D0}" name="Column3204"/>
    <tableColumn id="3210" xr3:uid="{A8AFE649-4E11-4A0C-9CE2-D6E965D55C64}" name="Column3205"/>
    <tableColumn id="3211" xr3:uid="{83A66AAC-6B7E-42BB-B6CB-DD0CE21E1549}" name="Column3206"/>
    <tableColumn id="3212" xr3:uid="{DFC55923-E2FA-4B47-B063-0DE7E953BF84}" name="Column3207"/>
    <tableColumn id="3213" xr3:uid="{AA14E520-7EA5-4772-A425-8BAF267F05B7}" name="Column3208"/>
    <tableColumn id="3214" xr3:uid="{3AE91E89-B266-4CEC-8DBE-22CFC238E079}" name="Column3209"/>
    <tableColumn id="3215" xr3:uid="{FEF63C5C-1819-48AF-9803-68123ACC6653}" name="Column3210"/>
    <tableColumn id="3216" xr3:uid="{6A4C02C5-E359-469B-BC90-B0630421E629}" name="Column3211"/>
    <tableColumn id="3217" xr3:uid="{4D77EBA9-5192-4403-8F99-9FFB223B650A}" name="Column3212"/>
    <tableColumn id="3218" xr3:uid="{66950C73-CD3E-4D88-92F6-2B5159A162AC}" name="Column3213"/>
    <tableColumn id="3219" xr3:uid="{F6831482-2AC3-4B84-9EDE-23407B366ADE}" name="Column3214"/>
    <tableColumn id="3220" xr3:uid="{A6ACC60D-00B9-41AF-9A27-3A9DFAAD417E}" name="Column3215"/>
    <tableColumn id="3221" xr3:uid="{C627F4BC-CC19-4D67-8136-69E5A6D94560}" name="Column3216"/>
    <tableColumn id="3222" xr3:uid="{61413CE3-2D84-4D3A-8E7B-1796104E5084}" name="Column3217"/>
    <tableColumn id="3223" xr3:uid="{00CBEFF4-B7DD-47CC-A7F7-74BCDBE4351E}" name="Column3218"/>
    <tableColumn id="3224" xr3:uid="{DAA67513-4512-4F0A-B4AF-F790F66219B5}" name="Column3219"/>
    <tableColumn id="3225" xr3:uid="{A39EB291-E5F9-4C00-AF65-86B094C671C8}" name="Column3220"/>
    <tableColumn id="3226" xr3:uid="{FA2CAE62-F601-47E8-BF51-5030EE88BEC8}" name="Column3221"/>
    <tableColumn id="3227" xr3:uid="{113D7E5B-7A89-4C46-928C-5B1B45FC53B2}" name="Column3222"/>
    <tableColumn id="3228" xr3:uid="{0E619297-EA56-47E9-BF8E-FCAD9BFF3A1F}" name="Column3223"/>
    <tableColumn id="3229" xr3:uid="{14CDAE74-1E5B-4ABC-BE43-264DEF7C0202}" name="Column3224"/>
    <tableColumn id="3230" xr3:uid="{BF2C40E1-6F3F-498A-A630-0FA76B70ADF4}" name="Column3225"/>
    <tableColumn id="3231" xr3:uid="{9211B4EE-875B-4CBF-AF2F-AF970CF3A48B}" name="Column3226"/>
    <tableColumn id="3232" xr3:uid="{24D0E796-4693-4EAF-9FB5-78D3A0FDCF11}" name="Column3227"/>
    <tableColumn id="3233" xr3:uid="{073511B8-9D59-4DF7-999A-5F8A5F0E13CA}" name="Column3228"/>
    <tableColumn id="3234" xr3:uid="{10C8A4B0-5F72-4762-8323-71BF0A5E80C0}" name="Column3229"/>
    <tableColumn id="3235" xr3:uid="{9E526091-30BF-403E-A0B7-5E9C4E4C2D15}" name="Column3230"/>
    <tableColumn id="3236" xr3:uid="{42FB5C61-0B17-410B-BA1B-49F9B46A1AD7}" name="Column3231"/>
    <tableColumn id="3237" xr3:uid="{DEADB2A6-72CB-4B5F-B8C7-321E8A87D363}" name="Column3232"/>
    <tableColumn id="3238" xr3:uid="{383687B4-374F-49E4-8456-BD3669EA0F2F}" name="Column3233"/>
    <tableColumn id="3239" xr3:uid="{EDBFA335-EC5C-4FB8-9A58-1C1B16DA1656}" name="Column3234"/>
    <tableColumn id="3240" xr3:uid="{A9671A9C-6C60-42F2-A7CE-F9C3D600D8B0}" name="Column3235"/>
    <tableColumn id="3241" xr3:uid="{6B20538E-A429-4D54-9A4A-F9CE70CA2B81}" name="Column3236"/>
    <tableColumn id="3242" xr3:uid="{5C429A3F-DA33-41E5-9E9C-F293396E96A5}" name="Column3237"/>
    <tableColumn id="3243" xr3:uid="{B1889129-3EDD-4E03-9A3C-8C98748C3228}" name="Column3238"/>
    <tableColumn id="3244" xr3:uid="{865D3753-B05C-4E6A-A5A5-9B68951F6D3E}" name="Column3239"/>
    <tableColumn id="3245" xr3:uid="{F19A4A52-383E-42FE-89EF-E370F1BC2F47}" name="Column3240"/>
    <tableColumn id="3246" xr3:uid="{9819CE91-C17B-4A80-B902-F838FFA126E6}" name="Column3241"/>
    <tableColumn id="3247" xr3:uid="{4D4ADA1E-500B-4163-93EF-F5F4E65D3614}" name="Column3242"/>
    <tableColumn id="3248" xr3:uid="{21809C7C-A571-4B69-9ABE-527007DC28D1}" name="Column3243"/>
    <tableColumn id="3249" xr3:uid="{1C4436B9-7D04-4BAD-A151-33BCE38ED8ED}" name="Column3244"/>
    <tableColumn id="3250" xr3:uid="{1C0F730E-E130-4C42-827C-F438CF97BA5E}" name="Column3245"/>
    <tableColumn id="3251" xr3:uid="{67869CC6-D59A-413D-9B38-AB74BD798D5C}" name="Column3246"/>
    <tableColumn id="3252" xr3:uid="{DB9B4DAD-35F6-4BD0-B773-9E527D6DD73C}" name="Column3247"/>
    <tableColumn id="3253" xr3:uid="{98128801-C001-4865-9150-A354BA2658F2}" name="Column3248"/>
    <tableColumn id="3254" xr3:uid="{AC2DF869-0DC9-4BE3-997E-314857C18827}" name="Column3249"/>
    <tableColumn id="3255" xr3:uid="{277FC0DB-02CF-414E-B804-8BC356E2DA82}" name="Column3250"/>
    <tableColumn id="3256" xr3:uid="{732DB2D6-8BF2-4F40-B815-DE6B2B715D3F}" name="Column3251"/>
    <tableColumn id="3257" xr3:uid="{730ECD5D-DADA-479F-B91E-31C5981AFB9D}" name="Column3252"/>
    <tableColumn id="3258" xr3:uid="{2816A08D-EAEE-4EB6-AEA3-1F84C604F441}" name="Column3253"/>
    <tableColumn id="3259" xr3:uid="{2E656DFA-89D4-4306-9A5D-55441008B38D}" name="Column3254"/>
    <tableColumn id="3260" xr3:uid="{268B1BBD-A534-4AD4-98D3-CC2DCE93E3FD}" name="Column3255"/>
    <tableColumn id="3261" xr3:uid="{A62D7C1C-3AD5-48B9-B401-7C41F54FD2BA}" name="Column3256"/>
    <tableColumn id="3262" xr3:uid="{3B01313F-994A-41DD-8086-AAEAF0B8B6A6}" name="Column3257"/>
    <tableColumn id="3263" xr3:uid="{009EE897-3862-4DC6-9FAB-4A1C77490430}" name="Column3258"/>
    <tableColumn id="3264" xr3:uid="{434822C3-4A2B-4750-8A0C-1167ED66FA56}" name="Column3259"/>
    <tableColumn id="3265" xr3:uid="{787FD87B-8EF3-41A1-A11D-5381400BD888}" name="Column3260"/>
    <tableColumn id="3266" xr3:uid="{26EAF7ED-0F8C-4892-BDDA-0EDC495F713E}" name="Column3261"/>
    <tableColumn id="3267" xr3:uid="{37D268B4-35B5-40D9-92D0-F1CF549E98C6}" name="Column3262"/>
    <tableColumn id="3268" xr3:uid="{A978E463-AA84-456E-B62E-2D721520262E}" name="Column3263"/>
    <tableColumn id="3269" xr3:uid="{8463093A-66E3-4644-A763-E0F1E2F1B7A1}" name="Column3264"/>
    <tableColumn id="3270" xr3:uid="{01E727C3-88C1-493B-9169-CE3B4FFFF574}" name="Column3265"/>
    <tableColumn id="3271" xr3:uid="{81869CE0-A217-4CE8-945E-4882384E6A32}" name="Column3266"/>
    <tableColumn id="3272" xr3:uid="{9A95D3C0-7760-49A6-B322-C3962B348371}" name="Column3267"/>
    <tableColumn id="3273" xr3:uid="{FA96ABAF-3DB7-4FD9-856D-A75DF0700A4A}" name="Column3268"/>
    <tableColumn id="3274" xr3:uid="{ECBC661B-9177-4F39-83A8-F3BF9B22F567}" name="Column3269"/>
    <tableColumn id="3275" xr3:uid="{C8016433-21E2-4A6A-A74E-D96AB8AE042F}" name="Column3270"/>
    <tableColumn id="3276" xr3:uid="{1BC2548E-F9E2-411F-B2F8-8E892B6F277A}" name="Column3271"/>
    <tableColumn id="3277" xr3:uid="{23DE1475-464F-4741-8D48-EEF680835916}" name="Column3272"/>
    <tableColumn id="3278" xr3:uid="{42D086F7-D94E-4C6F-8C23-2C7629FC6E06}" name="Column3273"/>
    <tableColumn id="3279" xr3:uid="{041E4B99-0742-43B2-96F4-80235FDE33B0}" name="Column3274"/>
    <tableColumn id="3280" xr3:uid="{BBEFE93B-2725-48BB-BACB-28823E91F708}" name="Column3275"/>
    <tableColumn id="3281" xr3:uid="{54247DF6-969F-4BBB-BA56-3F51B55398E4}" name="Column3276"/>
    <tableColumn id="3282" xr3:uid="{0725CD41-535B-4A91-B18B-F3F1667F45A3}" name="Column3277"/>
    <tableColumn id="3283" xr3:uid="{D508F6F5-5498-4CA8-8F52-A52DE1D42F30}" name="Column3278"/>
    <tableColumn id="3284" xr3:uid="{62757152-F72E-479A-9CFD-6D8E5F8C66AA}" name="Column3279"/>
    <tableColumn id="3285" xr3:uid="{29F16AD2-6F4A-4375-B87A-5EDE2E008763}" name="Column3280"/>
    <tableColumn id="3286" xr3:uid="{C131E42A-FD06-41AC-9144-835A4122BAB7}" name="Column3281"/>
    <tableColumn id="3287" xr3:uid="{515484EC-F5F6-4968-B0DE-D06B2A8FA7E3}" name="Column3282"/>
    <tableColumn id="3288" xr3:uid="{1DACD4F5-0468-4700-9E07-515466DE3E59}" name="Column3283"/>
    <tableColumn id="3289" xr3:uid="{D9990FEA-45B0-416C-8677-047CCC66F888}" name="Column3284"/>
    <tableColumn id="3290" xr3:uid="{34B77455-1847-4C63-AF7B-F56DF15F7609}" name="Column3285"/>
    <tableColumn id="3291" xr3:uid="{BD04990F-568D-4807-B1CE-69A10D4EFC91}" name="Column3286"/>
    <tableColumn id="3292" xr3:uid="{C404C541-8E8F-4F76-AA92-6B7540AA6972}" name="Column3287"/>
    <tableColumn id="3293" xr3:uid="{3E0EE3C2-C4D4-48F9-8C8D-21D4D77F4200}" name="Column3288"/>
    <tableColumn id="3294" xr3:uid="{D97B2A5D-4CF2-48B9-A948-9004CFEF06A8}" name="Column3289"/>
    <tableColumn id="3295" xr3:uid="{5DDD4B21-6C39-4B01-A228-1C87DD7D9010}" name="Column3290"/>
    <tableColumn id="3296" xr3:uid="{FF96D952-1D0C-469F-84D5-054CCF5A1748}" name="Column3291"/>
    <tableColumn id="3297" xr3:uid="{90DD4D2C-F762-4CE8-BBAD-57DD03F30C3A}" name="Column3292"/>
    <tableColumn id="3298" xr3:uid="{AB86CF1F-3AE4-4D60-93D4-2BA4AFAC3526}" name="Column3293"/>
    <tableColumn id="3299" xr3:uid="{4E4EBD7E-F022-4F31-83D2-7AB649D97D19}" name="Column3294"/>
    <tableColumn id="3300" xr3:uid="{5106EF73-08C2-48B0-8D7D-C373AF553C40}" name="Column3295"/>
    <tableColumn id="3301" xr3:uid="{D7F2260B-0341-463B-B3D1-B50FC0303CEE}" name="Column3296"/>
    <tableColumn id="3302" xr3:uid="{221667E1-C5FA-4FFD-8670-79F1C418D006}" name="Column3297"/>
    <tableColumn id="3303" xr3:uid="{06BAD608-7A4F-4201-B1E2-8E2011F74217}" name="Column3298"/>
    <tableColumn id="3304" xr3:uid="{AAF069F0-EA43-4D2D-BAE6-5E17E124C1A2}" name="Column3299"/>
    <tableColumn id="3305" xr3:uid="{2C8CFD3A-A6D2-4234-A7E0-5D887094E76C}" name="Column3300"/>
    <tableColumn id="3306" xr3:uid="{1C0E64CB-5F9E-410E-B75D-993BF3281F04}" name="Column3301"/>
    <tableColumn id="3307" xr3:uid="{500D0B53-8D23-44D4-8096-E9974E32B0A0}" name="Column3302"/>
    <tableColumn id="3308" xr3:uid="{2CEF88F8-1BCC-4114-857B-1183429D4C83}" name="Column3303"/>
    <tableColumn id="3309" xr3:uid="{315DF2EB-3057-4805-A1B6-D8AC6246F04C}" name="Column3304"/>
    <tableColumn id="3310" xr3:uid="{7291F094-9171-40C9-A196-CCAA3B16D01D}" name="Column3305"/>
    <tableColumn id="3311" xr3:uid="{4BC8ECE9-6B89-49DE-9D80-2806D67ACF12}" name="Column3306"/>
    <tableColumn id="3312" xr3:uid="{4502CADF-C4A9-4236-B23C-043D59443363}" name="Column3307"/>
    <tableColumn id="3313" xr3:uid="{D07F638E-9537-480A-AFA6-3902F1C924BA}" name="Column3308"/>
    <tableColumn id="3314" xr3:uid="{3699A766-99F6-491E-B53D-A25E78F39A73}" name="Column3309"/>
    <tableColumn id="3315" xr3:uid="{CE0D0E57-B7A4-4DED-9A31-33E2D312C8F8}" name="Column3310"/>
    <tableColumn id="3316" xr3:uid="{D4114489-B058-4EB5-85EA-997997C3D4D9}" name="Column3311"/>
    <tableColumn id="3317" xr3:uid="{4291A35E-A898-4C2C-9467-2E6E40DFCF81}" name="Column3312"/>
    <tableColumn id="3318" xr3:uid="{3233E4D4-ACBE-4DE7-8570-963F6F58A2EF}" name="Column3313"/>
    <tableColumn id="3319" xr3:uid="{8ABC36CE-7A7B-4E85-932F-809AC0EA2683}" name="Column3314"/>
    <tableColumn id="3320" xr3:uid="{9A3459F8-142E-439F-9166-25C3A32F22D7}" name="Column3315"/>
    <tableColumn id="3321" xr3:uid="{F3EA478F-37EE-48D7-89B3-DCE1BF7FD0AF}" name="Column3316"/>
    <tableColumn id="3322" xr3:uid="{462068C6-0BA0-48A1-82AD-96AF2A4E0BB4}" name="Column3317"/>
    <tableColumn id="3323" xr3:uid="{E97FF2A0-4655-47CF-95F6-937654B9A39E}" name="Column3318"/>
    <tableColumn id="3324" xr3:uid="{787EC48D-7BDF-4F56-8306-4BF55A2D3A3D}" name="Column3319"/>
    <tableColumn id="3325" xr3:uid="{C7474DD3-EA62-4700-AEC4-1CF4C158F681}" name="Column3320"/>
    <tableColumn id="3326" xr3:uid="{9A81FCFE-8ACA-49EF-ACE3-3CF142979FC9}" name="Column3321"/>
    <tableColumn id="3327" xr3:uid="{A179AC0E-59BB-4E9C-A146-33A358D6D1B3}" name="Column3322"/>
    <tableColumn id="3328" xr3:uid="{CC64AD64-7D8B-416F-9FC1-2DD6A401A42E}" name="Column3323"/>
    <tableColumn id="3329" xr3:uid="{900EF7FA-7B10-4F2D-9823-06A9CD813B5A}" name="Column3324"/>
    <tableColumn id="3330" xr3:uid="{AF50D3B5-FBCB-48B3-9EC3-FFA343A4173C}" name="Column3325"/>
    <tableColumn id="3331" xr3:uid="{DAC0EDDD-F84E-482A-AD00-B4449D67A9A9}" name="Column3326"/>
    <tableColumn id="3332" xr3:uid="{1BCBA084-7C28-4852-8E2E-79BE67ABCDB5}" name="Column3327"/>
    <tableColumn id="3333" xr3:uid="{C37C7218-2683-4100-96DE-57923C97B5AA}" name="Column3328"/>
    <tableColumn id="3334" xr3:uid="{2284C730-DD85-4200-813D-485AFCEB1162}" name="Column3329"/>
    <tableColumn id="3335" xr3:uid="{7DD0DC8F-2C42-42B3-B64E-0824F6291F73}" name="Column3330"/>
    <tableColumn id="3336" xr3:uid="{854BC477-ADE7-457D-B6DE-37623EA69BEE}" name="Column3331"/>
    <tableColumn id="3337" xr3:uid="{6AB51D7F-72F2-4BDD-B60A-DEFDB7B1A6CD}" name="Column3332"/>
    <tableColumn id="3338" xr3:uid="{289D62DC-EA88-49DB-B5CF-FF3887D9B8E5}" name="Column3333"/>
    <tableColumn id="3339" xr3:uid="{7F25E92C-AD45-49DD-A027-68D194F9630B}" name="Column3334"/>
    <tableColumn id="3340" xr3:uid="{F0F42062-9BEF-4851-A51B-D5D9626B4025}" name="Column3335"/>
    <tableColumn id="3341" xr3:uid="{7AA78E39-070F-49C5-9985-6E3E26C7E01D}" name="Column3336"/>
    <tableColumn id="3342" xr3:uid="{F138C9FB-260F-4BF2-BF74-FFB933C9DCD1}" name="Column3337"/>
    <tableColumn id="3343" xr3:uid="{DD5FD10A-8B36-4205-B0F0-B3ADE6B02D58}" name="Column3338"/>
    <tableColumn id="3344" xr3:uid="{5A83265F-1BAD-4B8B-A8A1-512F912FB9C2}" name="Column3339"/>
    <tableColumn id="3345" xr3:uid="{C331BEAB-C9A5-4278-A7CB-EC7DC7E93931}" name="Column3340"/>
    <tableColumn id="3346" xr3:uid="{4143B32B-254C-4490-9576-EA9376BBAFE5}" name="Column3341"/>
    <tableColumn id="3347" xr3:uid="{C2244C9A-16B4-4E6F-ADC1-E4633D7988E6}" name="Column3342"/>
    <tableColumn id="3348" xr3:uid="{6B518943-2C92-409E-8D39-559B8873A632}" name="Column3343"/>
    <tableColumn id="3349" xr3:uid="{8466C5A9-0C45-41B5-BB5B-C1E3DE271507}" name="Column3344"/>
    <tableColumn id="3350" xr3:uid="{DA06B2A3-B808-4239-9293-AAB92AEBD015}" name="Column3345"/>
    <tableColumn id="3351" xr3:uid="{2DA439E1-4514-4E06-983F-2DF709842740}" name="Column3346"/>
    <tableColumn id="3352" xr3:uid="{2DA9A259-B5DB-4EB4-BA24-0156CD2C49E6}" name="Column3347"/>
    <tableColumn id="3353" xr3:uid="{19B3EC17-4020-4092-A89F-76C4FF2546DC}" name="Column3348"/>
    <tableColumn id="3354" xr3:uid="{778E8262-71EF-4042-93C2-EF1B1CA0536E}" name="Column3349"/>
    <tableColumn id="3355" xr3:uid="{64E1B0C8-C4E7-4707-85C3-D0C420B2E1DC}" name="Column3350"/>
    <tableColumn id="3356" xr3:uid="{C9AB83B3-B2CB-4F3D-BE40-1512FEC8383E}" name="Column3351"/>
    <tableColumn id="3357" xr3:uid="{15A0D534-559A-441E-B815-F5E71B730ECC}" name="Column3352"/>
    <tableColumn id="3358" xr3:uid="{850CD7E2-3EEB-4739-A23B-049CDF7DF8AF}" name="Column3353"/>
    <tableColumn id="3359" xr3:uid="{875378F4-EA93-4C04-9DCD-B19123F867D1}" name="Column3354"/>
    <tableColumn id="3360" xr3:uid="{3B07DD2F-CF27-483D-973B-644F8AFEB69B}" name="Column3355"/>
    <tableColumn id="3361" xr3:uid="{06BD3FDE-5C2B-417E-B85D-DE32A8E6F152}" name="Column3356"/>
    <tableColumn id="3362" xr3:uid="{D4F8FA2C-5DEF-4D59-AC31-35DAEC34C9BE}" name="Column3357"/>
    <tableColumn id="3363" xr3:uid="{6B4771AA-16B2-45B6-A893-98A53B084317}" name="Column3358"/>
    <tableColumn id="3364" xr3:uid="{3942C14B-35DA-43C2-8611-0C7668ECF3CA}" name="Column3359"/>
    <tableColumn id="3365" xr3:uid="{473BCA7A-B44F-4A9B-BC4C-4F4F02E856A6}" name="Column3360"/>
    <tableColumn id="3366" xr3:uid="{3FEA8009-B8A8-46A7-A220-E2CF181F838F}" name="Column3361"/>
    <tableColumn id="3367" xr3:uid="{457F8C13-484F-4246-A600-CD5402B4E32C}" name="Column3362"/>
    <tableColumn id="3368" xr3:uid="{08EF73CC-4B52-49E1-A2A5-7D8067723356}" name="Column3363"/>
    <tableColumn id="3369" xr3:uid="{E343C4EA-1339-47FA-AA43-635C9F197674}" name="Column3364"/>
    <tableColumn id="3370" xr3:uid="{D19F1CB1-5903-4BE9-8C3B-C38935F8E894}" name="Column3365"/>
    <tableColumn id="3371" xr3:uid="{632EDB54-9706-4428-8E8E-218BD091D183}" name="Column3366"/>
    <tableColumn id="3372" xr3:uid="{41E988D0-7EEF-4203-A81B-2C826B9C6CAA}" name="Column3367"/>
    <tableColumn id="3373" xr3:uid="{926C91C5-1CEE-4F46-8119-6C6736657D0A}" name="Column3368"/>
    <tableColumn id="3374" xr3:uid="{74797CE3-5278-4ECB-AB0F-B594351DC27B}" name="Column3369"/>
    <tableColumn id="3375" xr3:uid="{C38AC14E-878C-4F3B-BDAD-9C3CD95CC0BC}" name="Column3370"/>
    <tableColumn id="3376" xr3:uid="{AE1BF1C3-DD2F-4DDF-A89F-3E15775A8C14}" name="Column3371"/>
    <tableColumn id="3377" xr3:uid="{48169A9A-7D9D-4ED1-AE4B-1AFCF6432BAE}" name="Column3372"/>
    <tableColumn id="3378" xr3:uid="{AFECABDF-E84E-4E7F-B905-6E0AE74CB4DB}" name="Column3373"/>
    <tableColumn id="3379" xr3:uid="{9CA8E451-616D-4C4A-8DF8-573C27E3441B}" name="Column3374"/>
    <tableColumn id="3380" xr3:uid="{E6FAB6CF-573D-4885-A0BE-536B878AC207}" name="Column3375"/>
    <tableColumn id="3381" xr3:uid="{2E62E9E5-46E7-4E03-ABC2-90C20CA5D23C}" name="Column3376"/>
    <tableColumn id="3382" xr3:uid="{B0F4ADD9-E48D-48D5-91A8-9A6E89622C0D}" name="Column3377"/>
    <tableColumn id="3383" xr3:uid="{4E6A753C-C18E-47B4-8545-386729A72A15}" name="Column3378"/>
    <tableColumn id="3384" xr3:uid="{A20DF377-D91B-48EA-8874-4916BBB4D658}" name="Column3379"/>
    <tableColumn id="3385" xr3:uid="{40155D25-B4F4-4516-9407-94EFF433802A}" name="Column3380"/>
    <tableColumn id="3386" xr3:uid="{87FD4DE8-726A-4EDB-B6ED-6D0862E03E5D}" name="Column3381"/>
    <tableColumn id="3387" xr3:uid="{C4CD01D8-983F-430C-8126-981CB5B55682}" name="Column3382"/>
    <tableColumn id="3388" xr3:uid="{FB0542EC-15B1-4E54-AAE1-1D6D6296DE8E}" name="Column3383"/>
    <tableColumn id="3389" xr3:uid="{0D51E965-0CCB-49E4-95DB-3AC3BABDC2A4}" name="Column3384"/>
    <tableColumn id="3390" xr3:uid="{3766FE5A-A862-44B2-8AD4-7E317936AEB3}" name="Column3385"/>
    <tableColumn id="3391" xr3:uid="{6D22C34D-5839-4F81-8B18-D9919D8F5404}" name="Column3386"/>
    <tableColumn id="3392" xr3:uid="{75D3CE90-DE6D-4CCD-8089-C3FCA6D5785C}" name="Column3387"/>
    <tableColumn id="3393" xr3:uid="{638FEFFD-1FB9-4603-966C-2910B3FE3652}" name="Column3388"/>
    <tableColumn id="3394" xr3:uid="{2B66ECD6-6F34-41C9-AAFE-60C46E4C6295}" name="Column3389"/>
    <tableColumn id="3395" xr3:uid="{48A7F6AA-9E5A-4A7F-B072-FB3FED56B58A}" name="Column3390"/>
    <tableColumn id="3396" xr3:uid="{E258594F-95B8-4D18-AED9-4C903A96D049}" name="Column3391"/>
    <tableColumn id="3397" xr3:uid="{DDAB6CAF-66F6-4798-8A69-24BFD70EE052}" name="Column3392"/>
    <tableColumn id="3398" xr3:uid="{5E2128B1-CF1C-48D1-B8F6-7DF62A479CA1}" name="Column3393"/>
    <tableColumn id="3399" xr3:uid="{58989DCB-0300-4E4E-BBF4-2810046812FA}" name="Column3394"/>
    <tableColumn id="3400" xr3:uid="{B99514C9-2948-4823-B64A-924196C780EC}" name="Column3395"/>
    <tableColumn id="3401" xr3:uid="{3F310C05-B994-41DE-A2B3-AB6352E7A1D4}" name="Column3396"/>
    <tableColumn id="3402" xr3:uid="{5FC6E008-7AD4-45B9-8E88-6F0B51D2E71F}" name="Column3397"/>
    <tableColumn id="3403" xr3:uid="{2597F770-3A95-4861-8A87-313F34A8184D}" name="Column3398"/>
    <tableColumn id="3404" xr3:uid="{ED181539-F6F0-4DBC-8041-55E94E6B8666}" name="Column3399"/>
    <tableColumn id="3405" xr3:uid="{335D9CD8-8C76-4684-B573-ABD6E824DE04}" name="Column3400"/>
    <tableColumn id="3406" xr3:uid="{CBDB44A1-4127-459C-BE09-D71B74359680}" name="Column3401"/>
    <tableColumn id="3407" xr3:uid="{79A6FF11-4AB1-4C8C-BA84-B67EF7D3709A}" name="Column3402"/>
    <tableColumn id="3408" xr3:uid="{0A37C481-2774-49CF-96D6-515CF583B449}" name="Column3403"/>
    <tableColumn id="3409" xr3:uid="{7383792D-FCF5-4420-92CF-DA51CD53E105}" name="Column3404"/>
    <tableColumn id="3410" xr3:uid="{2CA80926-258E-4585-8063-06B29902AEF2}" name="Column3405"/>
    <tableColumn id="3411" xr3:uid="{54FE2950-26AF-4FAA-B9AF-5341D3A57671}" name="Column3406"/>
    <tableColumn id="3412" xr3:uid="{E1F36F10-F297-4FA1-892E-1A8FE5588C96}" name="Column3407"/>
    <tableColumn id="3413" xr3:uid="{B85F4EF7-0473-4732-A65D-EA6D7EECCB34}" name="Column3408"/>
    <tableColumn id="3414" xr3:uid="{60C9F735-7F86-48BB-84CF-BC37B1BCED71}" name="Column3409"/>
    <tableColumn id="3415" xr3:uid="{98DD27A9-BEBA-4840-B1BC-1E0A846345DF}" name="Column3410"/>
    <tableColumn id="3416" xr3:uid="{F4DFC27F-DBA9-40E7-80B3-DAB22D771081}" name="Column3411"/>
    <tableColumn id="3417" xr3:uid="{F23DE92F-2B59-4607-9056-A36861CF10FC}" name="Column3412"/>
    <tableColumn id="3418" xr3:uid="{CB2CD364-C62B-4BF8-9EA3-9B5F5D3EC601}" name="Column3413"/>
    <tableColumn id="3419" xr3:uid="{0F78A294-9C12-4DB2-AFD2-F11EF0D94AB9}" name="Column3414"/>
    <tableColumn id="3420" xr3:uid="{7E182DE8-AD25-4A9A-972C-B2623B29FAD7}" name="Column3415"/>
    <tableColumn id="3421" xr3:uid="{5FE27F38-AF89-408B-AD4C-D5BC63075D47}" name="Column3416"/>
    <tableColumn id="3422" xr3:uid="{636D9A2C-D350-4198-91D3-02224DC10471}" name="Column3417"/>
    <tableColumn id="3423" xr3:uid="{610670EC-156E-40B5-89AC-7B15441EE11C}" name="Column3418"/>
    <tableColumn id="3424" xr3:uid="{AC434B21-A2C7-49CF-BCED-6B45579A6115}" name="Column3419"/>
    <tableColumn id="3425" xr3:uid="{42F8C735-A18F-4E5D-9359-9E6CC2787FB8}" name="Column3420"/>
    <tableColumn id="3426" xr3:uid="{6B2469AB-8425-48EB-9670-7FDC55075675}" name="Column3421"/>
    <tableColumn id="3427" xr3:uid="{E37AB8DA-EA46-42EE-90EB-DD95397C406F}" name="Column3422"/>
    <tableColumn id="3428" xr3:uid="{827D1BFB-A62D-405B-A7E2-CB41908CB185}" name="Column3423"/>
    <tableColumn id="3429" xr3:uid="{E00ACF3B-ADF2-4E52-B8D5-C77688728E54}" name="Column3424"/>
    <tableColumn id="3430" xr3:uid="{84B43368-D8EA-4842-B9D3-43E9AA15969A}" name="Column3425"/>
    <tableColumn id="3431" xr3:uid="{5016D3BE-DEAF-4EF6-858A-D352EB3AA05D}" name="Column3426"/>
    <tableColumn id="3432" xr3:uid="{3332FD1D-26F2-4943-8EEF-A729867097C6}" name="Column3427"/>
    <tableColumn id="3433" xr3:uid="{4F5FB22C-C986-4A32-95D9-272762F15197}" name="Column3428"/>
    <tableColumn id="3434" xr3:uid="{AAB5253E-E66D-468B-97C9-13E69C5E17C5}" name="Column3429"/>
    <tableColumn id="3435" xr3:uid="{CB0AAF6E-C02C-44C3-87B3-EE0B0029D29A}" name="Column3430"/>
    <tableColumn id="3436" xr3:uid="{261B1B5F-9E2B-470D-B244-7BB6A52D6C09}" name="Column3431"/>
    <tableColumn id="3437" xr3:uid="{5C85AC49-8C45-4829-9DA1-A52F98DCABEB}" name="Column3432"/>
    <tableColumn id="3438" xr3:uid="{F4126A33-C833-4031-A3AB-3379549C6A39}" name="Column3433"/>
    <tableColumn id="3439" xr3:uid="{1D6C6E21-1B75-4E90-A556-B1EA85707891}" name="Column3434"/>
    <tableColumn id="3440" xr3:uid="{06891A3F-B33E-443D-9E49-3D2D2D834B0C}" name="Column3435"/>
    <tableColumn id="3441" xr3:uid="{26BF8F66-0046-4CF2-9EDF-C08FB6217B83}" name="Column3436"/>
    <tableColumn id="3442" xr3:uid="{4C1A85A1-A5EF-4A7B-BBEF-AF8CF8A3F124}" name="Column3437"/>
    <tableColumn id="3443" xr3:uid="{6FA485D0-7F94-4AAB-B096-BF34CC34007B}" name="Column3438"/>
    <tableColumn id="3444" xr3:uid="{0B2BDA0E-1C84-4CF2-A5C3-B2D0A9FB059D}" name="Column3439"/>
    <tableColumn id="3445" xr3:uid="{54C7E199-CA6C-4E79-B2E4-9C97C14C5FB4}" name="Column3440"/>
    <tableColumn id="3446" xr3:uid="{527DE2A0-3AE0-4B83-8D77-1C775528A116}" name="Column3441"/>
    <tableColumn id="3447" xr3:uid="{89A5D167-D3F8-4163-9346-DAB00DB69A46}" name="Column3442"/>
    <tableColumn id="3448" xr3:uid="{15A7D6C4-365A-45C4-9186-9D128B4D4B1E}" name="Column3443"/>
    <tableColumn id="3449" xr3:uid="{A75FE419-6977-4B6F-B289-F02ABA7DF1B8}" name="Column3444"/>
    <tableColumn id="3450" xr3:uid="{68A76DEB-C4A5-4D85-8025-75E453B5A535}" name="Column3445"/>
    <tableColumn id="3451" xr3:uid="{5FB546D0-D243-43A7-AC06-6D5DE9D33B15}" name="Column3446"/>
    <tableColumn id="3452" xr3:uid="{85ACA24E-CDA9-4268-8C76-86FC93217AF4}" name="Column3447"/>
    <tableColumn id="3453" xr3:uid="{5B87E3DB-6B57-4F7C-B8DC-E12DDF83AF24}" name="Column3448"/>
    <tableColumn id="3454" xr3:uid="{D25DC4F6-36B8-4905-9655-C9D7155210D2}" name="Column3449"/>
    <tableColumn id="3455" xr3:uid="{3BDC4A5E-CA0E-44C3-82A1-B0BC0B8495AB}" name="Column3450"/>
    <tableColumn id="3456" xr3:uid="{79C4DF24-513D-4B3B-875A-6656CD1FBD82}" name="Column3451"/>
    <tableColumn id="3457" xr3:uid="{B1CA35D6-2CE2-4A75-AFDF-B7C8A7661034}" name="Column3452"/>
    <tableColumn id="3458" xr3:uid="{DC7DC524-2CA3-4908-9412-13C55F01155E}" name="Column3453"/>
    <tableColumn id="3459" xr3:uid="{728C0CA7-E6DC-4EAB-8AEB-CD7765D0C2E3}" name="Column3454"/>
    <tableColumn id="3460" xr3:uid="{116BD8A6-91E2-4660-9086-7ABF87B1CC69}" name="Column3455"/>
    <tableColumn id="3461" xr3:uid="{2AC18C65-EA01-4310-98FD-116873393D75}" name="Column3456"/>
    <tableColumn id="3462" xr3:uid="{19212B6D-250C-4F61-AEF6-CCB379596068}" name="Column3457"/>
    <tableColumn id="3463" xr3:uid="{7289D2FB-FF96-43FE-9CB6-C18D0BEC1341}" name="Column3458"/>
    <tableColumn id="3464" xr3:uid="{84374C1A-0E2B-4EF1-83C0-67E620D2782B}" name="Column3459"/>
    <tableColumn id="3465" xr3:uid="{31D32D3C-FD74-4164-8C74-20A8A9AD44A4}" name="Column3460"/>
    <tableColumn id="3466" xr3:uid="{80B9B22A-9DFD-4489-8DD0-2E2BB09C6CEE}" name="Column3461"/>
    <tableColumn id="3467" xr3:uid="{E5FA7015-C8AE-485B-B759-3143C6925506}" name="Column3462"/>
    <tableColumn id="3468" xr3:uid="{B9DF3A66-0081-43E1-9003-C1D417B40591}" name="Column3463"/>
    <tableColumn id="3469" xr3:uid="{9583F7DC-D770-4579-8A5C-58F878078487}" name="Column3464"/>
    <tableColumn id="3470" xr3:uid="{C30E098D-C46B-4597-A414-B8367EC8002E}" name="Column3465"/>
    <tableColumn id="3471" xr3:uid="{D373156D-8D5C-49ED-A780-3339ECC66138}" name="Column3466"/>
    <tableColumn id="3472" xr3:uid="{FBDDF229-9780-42B1-BBA1-309579292DA6}" name="Column3467"/>
    <tableColumn id="3473" xr3:uid="{7D97D9F4-8C44-4D07-8B45-529B9A1DC627}" name="Column3468"/>
    <tableColumn id="3474" xr3:uid="{514266A0-EE42-418A-BB72-397CA4B95B9F}" name="Column3469"/>
    <tableColumn id="3475" xr3:uid="{67E93D95-AF29-4D08-8FE6-1FB85C1FFAB7}" name="Column3470"/>
    <tableColumn id="3476" xr3:uid="{45BE4399-B3A1-4BD1-B351-8344D71696C3}" name="Column3471"/>
    <tableColumn id="3477" xr3:uid="{261363F9-0D84-407A-816D-3802D378B164}" name="Column3472"/>
    <tableColumn id="3478" xr3:uid="{D6555CB9-E865-45F7-8205-7ECE9FAA6F00}" name="Column3473"/>
    <tableColumn id="3479" xr3:uid="{CFF18D76-697F-4718-926D-E09F0970106A}" name="Column3474"/>
    <tableColumn id="3480" xr3:uid="{FF3462B5-5572-479E-9971-97640D0DD39F}" name="Column3475"/>
    <tableColumn id="3481" xr3:uid="{D65F44E7-5D7B-4179-AF64-512FBF276574}" name="Column3476"/>
    <tableColumn id="3482" xr3:uid="{CC264914-3815-47BF-B064-22C1FBF367D2}" name="Column3477"/>
    <tableColumn id="3483" xr3:uid="{49CD2C3A-91ED-41FC-B648-7461899A53F5}" name="Column3478"/>
    <tableColumn id="3484" xr3:uid="{FD92C2B5-AC66-4855-8630-8323A7B1093F}" name="Column3479"/>
    <tableColumn id="3485" xr3:uid="{D13C5611-A085-4267-A03A-AE9A03F73853}" name="Column3480"/>
    <tableColumn id="3486" xr3:uid="{22F5FE74-AF18-4AE6-B184-D3AD11556650}" name="Column3481"/>
    <tableColumn id="3487" xr3:uid="{82F29AE3-7548-42E1-9A47-A2EEDD6CF3CE}" name="Column3482"/>
    <tableColumn id="3488" xr3:uid="{E35109C4-45C6-49EA-9C9D-75FB287039FA}" name="Column3483"/>
    <tableColumn id="3489" xr3:uid="{79DB1915-97BD-480C-9204-CE3047C83560}" name="Column3484"/>
    <tableColumn id="3490" xr3:uid="{C609CD50-439E-4C09-8F96-F9716163DD2C}" name="Column3485"/>
    <tableColumn id="3491" xr3:uid="{04B9E2D3-C1C3-48CB-9185-AC7D34DDA6BE}" name="Column3486"/>
    <tableColumn id="3492" xr3:uid="{0A7F108D-8F81-4DF5-9EC3-B3C77A19B4E3}" name="Column3487"/>
    <tableColumn id="3493" xr3:uid="{58BFEDCB-D030-4CB2-9D33-1211F287EA84}" name="Column3488"/>
    <tableColumn id="3494" xr3:uid="{B0FDEC8B-E912-4D5A-A0DD-899DBE532821}" name="Column3489"/>
    <tableColumn id="3495" xr3:uid="{A831533D-2A21-41EF-B01A-817DAF7FEB05}" name="Column3490"/>
    <tableColumn id="3496" xr3:uid="{882E2F1D-4A94-4668-82A6-E8AE4C0D3E1A}" name="Column3491"/>
    <tableColumn id="3497" xr3:uid="{1D997A21-1BED-450C-A0D8-A3B3E1025FEC}" name="Column3492"/>
    <tableColumn id="3498" xr3:uid="{540A7C8F-919A-4785-8067-393DDF29CEF4}" name="Column3493"/>
    <tableColumn id="3499" xr3:uid="{9914302B-5C1E-4A0F-8C32-D4984D9CCAA7}" name="Column3494"/>
    <tableColumn id="3500" xr3:uid="{AC414E99-E1E5-430A-B7CF-8AD12EAB6F1A}" name="Column3495"/>
    <tableColumn id="3501" xr3:uid="{A20AC02C-E1CC-4EF7-8016-42F6888400F9}" name="Column3496"/>
    <tableColumn id="3502" xr3:uid="{7A024DE6-75E8-4EDC-9B77-8B8640307276}" name="Column3497"/>
    <tableColumn id="3503" xr3:uid="{CF7BAF0A-F913-4511-9E93-14DA839ABDCC}" name="Column3498"/>
    <tableColumn id="3504" xr3:uid="{A58A74CF-0DCB-4EFE-89E0-84EEBF70B0AD}" name="Column3499"/>
    <tableColumn id="3505" xr3:uid="{B69606B3-B717-447D-81C8-DE796550FBE2}" name="Column3500"/>
    <tableColumn id="3506" xr3:uid="{4D5FF47D-C726-449A-9EC8-FA43F9128983}" name="Column3501"/>
    <tableColumn id="3507" xr3:uid="{F7021009-4CA1-486D-806F-2C96DD7A6425}" name="Column3502"/>
    <tableColumn id="3508" xr3:uid="{C9DFEA41-3761-4722-9EBD-E839EAE070A5}" name="Column3503"/>
    <tableColumn id="3509" xr3:uid="{2450A201-8B9E-4F49-8308-1B3922183010}" name="Column3504"/>
    <tableColumn id="3510" xr3:uid="{4F08D13A-71C3-4A52-B51F-63F7AC3C3B13}" name="Column3505"/>
    <tableColumn id="3511" xr3:uid="{2D37BB30-E665-44C4-846D-44D62A441BE6}" name="Column3506"/>
    <tableColumn id="3512" xr3:uid="{ACAC71D3-C009-4A44-BE50-FD39A43D1DFD}" name="Column3507"/>
    <tableColumn id="3513" xr3:uid="{29A9C4F5-1A27-4DB5-81C2-78E195E32AA1}" name="Column3508"/>
    <tableColumn id="3514" xr3:uid="{D7EBA86A-8D0C-4217-A4B8-3938F4392B8A}" name="Column3509"/>
    <tableColumn id="3515" xr3:uid="{BCBB4BCA-6E19-4569-8A4D-80AE1D261B8F}" name="Column3510"/>
    <tableColumn id="3516" xr3:uid="{1C36401D-9CEF-4A94-8241-35DCF0E4876F}" name="Column3511"/>
    <tableColumn id="3517" xr3:uid="{7D311DA6-E204-4FCD-8396-5D1C33F18526}" name="Column3512"/>
    <tableColumn id="3518" xr3:uid="{AC87AA90-EC39-418F-9CAB-AF8AF5849ECD}" name="Column3513"/>
    <tableColumn id="3519" xr3:uid="{6C9C7381-2031-4CEB-A440-40AF54C4479A}" name="Column3514"/>
    <tableColumn id="3520" xr3:uid="{ED368504-5095-4B7D-B1D0-287DFF2E498E}" name="Column3515"/>
    <tableColumn id="3521" xr3:uid="{B1121409-CBA3-4D3D-BD3C-365CAD6B6C20}" name="Column3516"/>
    <tableColumn id="3522" xr3:uid="{C76F1688-51F9-4FCA-89A6-55E8BB378405}" name="Column3517"/>
    <tableColumn id="3523" xr3:uid="{3490250C-01A6-4A94-99D8-6E78B82FBEA0}" name="Column3518"/>
    <tableColumn id="3524" xr3:uid="{33D49DB1-9B39-4126-ADBC-4AADC84F9035}" name="Column3519"/>
    <tableColumn id="3525" xr3:uid="{AD88C32D-BA03-49E6-A417-DD8B046819B7}" name="Column3520"/>
    <tableColumn id="3526" xr3:uid="{FEFE68A1-A0C0-487F-8F79-1BA90823A144}" name="Column3521"/>
    <tableColumn id="3527" xr3:uid="{165A1170-F6C7-4CEA-B169-1CF82A0F27C3}" name="Column3522"/>
    <tableColumn id="3528" xr3:uid="{70E829D5-4245-4E68-A19D-99216BF9F457}" name="Column3523"/>
    <tableColumn id="3529" xr3:uid="{969CCACC-ABF3-4FB5-8E5F-BFD002D7D3FC}" name="Column3524"/>
    <tableColumn id="3530" xr3:uid="{86FB62A2-99FA-4C97-8A5C-0248CF4AD05B}" name="Column3525"/>
    <tableColumn id="3531" xr3:uid="{B950542F-1C05-4FB3-90CE-0F67BCE6DE43}" name="Column3526"/>
    <tableColumn id="3532" xr3:uid="{5DE2FE36-B6E0-4209-B531-39581CD8995D}" name="Column3527"/>
    <tableColumn id="3533" xr3:uid="{E9ABC462-24F1-4A8B-9F29-2EA55E282763}" name="Column3528"/>
    <tableColumn id="3534" xr3:uid="{A9772C0F-C20B-4D0A-B159-FD67844CE4A5}" name="Column3529"/>
    <tableColumn id="3535" xr3:uid="{D6BD76B8-32E1-4336-B488-8C6F4B55BF42}" name="Column3530"/>
    <tableColumn id="3536" xr3:uid="{B1DAC50D-028F-48F8-BD69-9148E016D8E8}" name="Column3531"/>
    <tableColumn id="3537" xr3:uid="{4BF67FAE-AB9C-4A3E-BEE1-3C0059936478}" name="Column3532"/>
    <tableColumn id="3538" xr3:uid="{DE9E6B09-7432-4256-B4F1-D07566966EFD}" name="Column3533"/>
    <tableColumn id="3539" xr3:uid="{7610D6F7-324B-46BE-85C6-D21D04C5D024}" name="Column3534"/>
    <tableColumn id="3540" xr3:uid="{95C86C27-548C-417A-BDD6-0BA002ED682E}" name="Column3535"/>
    <tableColumn id="3541" xr3:uid="{B537665C-B465-4E01-9E00-A328375CE7A8}" name="Column3536"/>
    <tableColumn id="3542" xr3:uid="{3CD8790F-B782-4444-B867-3E6743A0D8F4}" name="Column3537"/>
    <tableColumn id="3543" xr3:uid="{3C5BCDD9-5271-4670-B1B0-C8A0F8601FCA}" name="Column3538"/>
    <tableColumn id="3544" xr3:uid="{AA70A489-B192-4BF2-8B53-91895DA5FB8E}" name="Column3539"/>
    <tableColumn id="3545" xr3:uid="{4E190A3C-BD19-4737-BBE2-86A4E2BE986F}" name="Column3540"/>
    <tableColumn id="3546" xr3:uid="{E8E528CB-27AA-40FD-B1E4-CFCD90AABA6F}" name="Column3541"/>
    <tableColumn id="3547" xr3:uid="{DCD82D06-6144-4DA6-AA86-2F8FB78C922A}" name="Column3542"/>
    <tableColumn id="3548" xr3:uid="{71F856AD-7161-4C82-911C-1B79C9E77F3D}" name="Column3543"/>
    <tableColumn id="3549" xr3:uid="{045278AB-E96E-4EE1-8834-E9C5A16109A1}" name="Column3544"/>
    <tableColumn id="3550" xr3:uid="{7629AE58-7846-41C3-B1ED-604E70E47ED7}" name="Column3545"/>
    <tableColumn id="3551" xr3:uid="{37EC6995-E322-41DF-A418-0BB9C8C4FC85}" name="Column3546"/>
    <tableColumn id="3552" xr3:uid="{422A0D82-3B7E-488C-B2D4-E3F067D09B7D}" name="Column3547"/>
    <tableColumn id="3553" xr3:uid="{DC862B46-0BB7-4E85-A7A4-E4F5497A4420}" name="Column3548"/>
    <tableColumn id="3554" xr3:uid="{BD7F1CF6-74C0-4B99-B03C-8A1FDDABF2FB}" name="Column3549"/>
    <tableColumn id="3555" xr3:uid="{A832CEF8-80F9-45AF-9556-B52D96EF0AB6}" name="Column3550"/>
    <tableColumn id="3556" xr3:uid="{CC435A76-7634-473F-A900-BAF51C6D333E}" name="Column3551"/>
    <tableColumn id="3557" xr3:uid="{B64D8F74-A492-442D-81B8-CCFA8FA4862A}" name="Column3552"/>
    <tableColumn id="3558" xr3:uid="{FDB83205-45D8-4211-A82F-EA8BEAD06925}" name="Column3553"/>
    <tableColumn id="3559" xr3:uid="{B56B1A63-95DC-4F2D-BE82-CE321DB659A5}" name="Column3554"/>
    <tableColumn id="3560" xr3:uid="{D9F9E208-33FE-4B7A-A655-7339E785B519}" name="Column3555"/>
    <tableColumn id="3561" xr3:uid="{E38D39BE-B025-40BA-9F9F-93BFBDAA455F}" name="Column3556"/>
    <tableColumn id="3562" xr3:uid="{E2BCBF7B-72BB-4DD1-9A9F-9CA884E71E9A}" name="Column3557"/>
    <tableColumn id="3563" xr3:uid="{CA94CD4F-51BE-4D3A-B59B-E70C3485510F}" name="Column3558"/>
    <tableColumn id="3564" xr3:uid="{6FC0A43E-7A62-4E40-ABD6-3FBB1ABAADA4}" name="Column3559"/>
    <tableColumn id="3565" xr3:uid="{0CD0EBC5-5BE1-4725-83BC-8A0F05345823}" name="Column3560"/>
    <tableColumn id="3566" xr3:uid="{9DBDCA83-4B93-49E8-861C-0DF3144CA95F}" name="Column3561"/>
    <tableColumn id="3567" xr3:uid="{CB7BFEE8-6F43-463A-A4E9-4587A2C34AD3}" name="Column3562"/>
    <tableColumn id="3568" xr3:uid="{6046C884-E470-4A87-8C43-EA9D5D982574}" name="Column3563"/>
    <tableColumn id="3569" xr3:uid="{E42471CA-FE23-4CA8-ACDD-F2FDAF13FAFC}" name="Column3564"/>
    <tableColumn id="3570" xr3:uid="{DD378506-DDB0-46F5-AB24-5D6AFCA14B5F}" name="Column3565"/>
    <tableColumn id="3571" xr3:uid="{B986499C-309B-4068-AFB5-29EE2D9DE471}" name="Column3566"/>
    <tableColumn id="3572" xr3:uid="{F8113C4A-AC8A-44A4-BB26-32C833593189}" name="Column3567"/>
    <tableColumn id="3573" xr3:uid="{7FA117EE-A712-4841-B0BE-CCFDCD894B39}" name="Column3568"/>
    <tableColumn id="3574" xr3:uid="{83836664-8E5F-4DEB-ACE6-8771EF23F13F}" name="Column3569"/>
    <tableColumn id="3575" xr3:uid="{E6C31F77-9C91-4492-A577-C8926B12B818}" name="Column3570"/>
    <tableColumn id="3576" xr3:uid="{313528E9-0A5B-46CD-987D-069A5FA8007D}" name="Column3571"/>
    <tableColumn id="3577" xr3:uid="{C8E6A1E8-BE20-45B7-9107-EAD623888A48}" name="Column3572"/>
    <tableColumn id="3578" xr3:uid="{12575976-66CD-4D56-9C5F-CA9FA6EB126B}" name="Column3573"/>
    <tableColumn id="3579" xr3:uid="{A270DB34-D6CD-45F5-AE89-00FB28EDFB9A}" name="Column3574"/>
    <tableColumn id="3580" xr3:uid="{2AA78A64-FAB5-4959-8E1B-958D3727B6A0}" name="Column3575"/>
    <tableColumn id="3581" xr3:uid="{DE955A43-FD0F-4C51-B034-0F1013C3149D}" name="Column3576"/>
    <tableColumn id="3582" xr3:uid="{920B12D6-9741-4FA6-98D9-EC5FAF285675}" name="Column3577"/>
    <tableColumn id="3583" xr3:uid="{0DBE6DA8-941A-460D-B544-222A1FDC502F}" name="Column3578"/>
    <tableColumn id="3584" xr3:uid="{03EAA504-5846-40B6-8E33-C590644BAFFF}" name="Column3579"/>
    <tableColumn id="3585" xr3:uid="{B46FAC92-1038-44DD-AC02-91597AD4C744}" name="Column3580"/>
    <tableColumn id="3586" xr3:uid="{FBDA9DDB-59E5-46A9-A1A0-1DE839B96B46}" name="Column3581"/>
    <tableColumn id="3587" xr3:uid="{2382F990-FB3E-4D28-B3F5-B100EACDF89E}" name="Column3582"/>
    <tableColumn id="3588" xr3:uid="{2C84FE20-572C-4AF9-8869-FA33A750FAC4}" name="Column3583"/>
    <tableColumn id="3589" xr3:uid="{60250166-889D-4227-8C68-16CCA80A1C3A}" name="Column3584"/>
    <tableColumn id="3590" xr3:uid="{C22E2A54-D091-48BB-AD98-56FD79F751A9}" name="Column3585"/>
    <tableColumn id="3591" xr3:uid="{C7FC8713-2968-4D0A-AB7E-DC94B4F71B13}" name="Column3586"/>
    <tableColumn id="3592" xr3:uid="{7C6E3727-63C8-45BD-8712-EBE8731984DD}" name="Column3587"/>
    <tableColumn id="3593" xr3:uid="{DFA1563E-E80F-4A9E-9577-1C63A0846CB5}" name="Column3588"/>
    <tableColumn id="3594" xr3:uid="{E69B8246-392C-454A-9A31-E7B869B1124F}" name="Column3589"/>
    <tableColumn id="3595" xr3:uid="{D5292637-0CDA-4580-AC2B-81EC315AFC92}" name="Column3590"/>
    <tableColumn id="3596" xr3:uid="{667FFA6D-7C3D-4241-ACBE-110983945B6E}" name="Column3591"/>
    <tableColumn id="3597" xr3:uid="{9F4F3C1E-4C1E-490A-A447-857A0B3EEC1B}" name="Column3592"/>
    <tableColumn id="3598" xr3:uid="{25A4408E-6A00-421B-9DD5-88A4C85D747D}" name="Column3593"/>
    <tableColumn id="3599" xr3:uid="{1D0B7229-2EA1-49C0-B829-D88578093BB6}" name="Column3594"/>
    <tableColumn id="3600" xr3:uid="{494F27FE-FA7A-4D0E-BA3F-ED07829D45C2}" name="Column3595"/>
    <tableColumn id="3601" xr3:uid="{CE8BCAE9-E8CE-490C-BA64-BE59CE4EF276}" name="Column3596"/>
    <tableColumn id="3602" xr3:uid="{3D623B1A-C578-4BDE-82D2-142D9B938AC3}" name="Column3597"/>
    <tableColumn id="3603" xr3:uid="{55442B49-B62F-40DD-B8D9-9822A31BDE6A}" name="Column3598"/>
    <tableColumn id="3604" xr3:uid="{D78F3BBB-24F6-4710-A0BB-3029EA425D7D}" name="Column3599"/>
    <tableColumn id="3605" xr3:uid="{9CEEDAA3-F899-4757-AE77-3C738D48339A}" name="Column3600"/>
    <tableColumn id="3606" xr3:uid="{083AF101-2E9F-4643-80FD-F492272D0C5F}" name="Column3601"/>
    <tableColumn id="3607" xr3:uid="{FED4AAAC-FBCF-4B32-9425-A2D635FD2E13}" name="Column3602"/>
    <tableColumn id="3608" xr3:uid="{FB7310F9-BC14-4331-8CBD-AB1C0A56C4D3}" name="Column3603"/>
    <tableColumn id="3609" xr3:uid="{88E7B3DA-FFAC-4D38-B1AB-1D5B86E1841B}" name="Column3604"/>
    <tableColumn id="3610" xr3:uid="{85BEBAB4-A168-4420-AD3F-7E88A40623F6}" name="Column3605"/>
    <tableColumn id="3611" xr3:uid="{4B7E9107-06A1-42A4-B2E3-1FD176801A3F}" name="Column3606"/>
    <tableColumn id="3612" xr3:uid="{2332A8F6-EAF0-4B92-8561-2943AA2997F9}" name="Column3607"/>
    <tableColumn id="3613" xr3:uid="{B6F59998-11EE-4741-962E-CA706909A0E6}" name="Column3608"/>
    <tableColumn id="3614" xr3:uid="{0336C116-422E-40F1-B62C-1B51445B5526}" name="Column3609"/>
    <tableColumn id="3615" xr3:uid="{4DFBFD1C-B404-4753-A304-8D9EE65D3FC1}" name="Column3610"/>
    <tableColumn id="3616" xr3:uid="{77AF783C-258A-473E-8405-136B1EAACDC5}" name="Column3611"/>
    <tableColumn id="3617" xr3:uid="{30B8D67A-A48C-4F57-830B-6B2335C7CDAB}" name="Column3612"/>
    <tableColumn id="3618" xr3:uid="{50D2CCDC-F857-4C10-98D0-84509568A267}" name="Column3613"/>
    <tableColumn id="3619" xr3:uid="{81B8742F-FBD8-4320-9B61-6E47B79FCAC5}" name="Column3614"/>
    <tableColumn id="3620" xr3:uid="{8CE69CE5-C9B5-422D-97DE-4229B78EE849}" name="Column3615"/>
    <tableColumn id="3621" xr3:uid="{5DE5AA74-9714-459E-AC1E-649E0359C12D}" name="Column3616"/>
    <tableColumn id="3622" xr3:uid="{E891A782-A69E-4794-BD75-D629B1C9FEF5}" name="Column3617"/>
    <tableColumn id="3623" xr3:uid="{6BBBDA67-BE8F-4F9C-890B-DA34389C5820}" name="Column3618"/>
    <tableColumn id="3624" xr3:uid="{3103E549-1383-4357-8945-1CF36404E0B9}" name="Column3619"/>
    <tableColumn id="3625" xr3:uid="{D36DA865-3B61-4D63-90E2-03326658D1F0}" name="Column3620"/>
    <tableColumn id="3626" xr3:uid="{2504B697-4616-4CB7-A7A1-9D82408A5DF0}" name="Column3621"/>
    <tableColumn id="3627" xr3:uid="{37D936F6-3BD8-42C0-9CAA-B1B67AC64A92}" name="Column3622"/>
    <tableColumn id="3628" xr3:uid="{846037F4-84B0-4C0F-8BF3-18676971015D}" name="Column3623"/>
    <tableColumn id="3629" xr3:uid="{002021BE-33B3-41D8-A8BE-E778833E8336}" name="Column3624"/>
    <tableColumn id="3630" xr3:uid="{F931C0A9-9209-4B3B-B05B-27D67274A6E6}" name="Column3625"/>
    <tableColumn id="3631" xr3:uid="{146F530A-2B64-44BE-919D-DA6F8E2B6AF2}" name="Column3626"/>
    <tableColumn id="3632" xr3:uid="{60513CD6-D056-4A9E-9FFB-B91FADE234F2}" name="Column3627"/>
    <tableColumn id="3633" xr3:uid="{A062CBAE-9577-4DE4-9E98-B6BCF4269D58}" name="Column3628"/>
    <tableColumn id="3634" xr3:uid="{B68E0A3B-E4FE-4101-80C5-CD6E0593B1EE}" name="Column3629"/>
    <tableColumn id="3635" xr3:uid="{A38783D3-C771-4898-9268-B3E7AEE6CFD2}" name="Column3630"/>
    <tableColumn id="3636" xr3:uid="{8E5B9155-EBBE-4DE7-8629-F906A9C7537A}" name="Column3631"/>
    <tableColumn id="3637" xr3:uid="{8499BAE9-2A37-4781-9106-A2CA892F0A89}" name="Column3632"/>
    <tableColumn id="3638" xr3:uid="{8329A87A-806E-484F-A1D3-E11F344404AF}" name="Column3633"/>
    <tableColumn id="3639" xr3:uid="{D23C987D-7927-4017-BF4F-31FE98A224BE}" name="Column3634"/>
    <tableColumn id="3640" xr3:uid="{5044B938-E56D-4443-9DDB-084B161C0C33}" name="Column3635"/>
    <tableColumn id="3641" xr3:uid="{EDCF4936-E25C-4AA6-9357-5A13DAB80D5F}" name="Column3636"/>
    <tableColumn id="3642" xr3:uid="{E4DE797E-B315-4913-91C2-34D57B7FD7CD}" name="Column3637"/>
    <tableColumn id="3643" xr3:uid="{AAB92F39-3469-47D3-9C96-657158D7E999}" name="Column3638"/>
    <tableColumn id="3644" xr3:uid="{BEB8760B-5A71-4316-8AEF-6E1D13664752}" name="Column3639"/>
    <tableColumn id="3645" xr3:uid="{DF59436F-357F-4B07-AE0C-C0DBF89B4942}" name="Column3640"/>
    <tableColumn id="3646" xr3:uid="{2343BBB3-9987-4745-907A-068D5A146D93}" name="Column3641"/>
    <tableColumn id="3647" xr3:uid="{946E2BB9-CF71-4FD6-A5AC-D8509F23CCFF}" name="Column3642"/>
    <tableColumn id="3648" xr3:uid="{691D52E2-3CD9-45A7-9385-FC7ECC86BED3}" name="Column3643"/>
    <tableColumn id="3649" xr3:uid="{3C753707-C395-4E83-A558-8E21FC10AC30}" name="Column3644"/>
    <tableColumn id="3650" xr3:uid="{ABBBD521-3777-4284-BDA8-19FFE96FFC61}" name="Column3645"/>
    <tableColumn id="3651" xr3:uid="{21F357F5-7B5E-47B7-B413-7DB896B270CC}" name="Column3646"/>
    <tableColumn id="3652" xr3:uid="{2704F219-4306-4528-8598-97A8222355B6}" name="Column3647"/>
    <tableColumn id="3653" xr3:uid="{76DF8E79-1C49-4EFA-AB86-80321756CD4B}" name="Column3648"/>
    <tableColumn id="3654" xr3:uid="{3EE936CF-40F2-42A2-9FB0-629424D2E7A6}" name="Column3649"/>
    <tableColumn id="3655" xr3:uid="{7264AF18-0276-4242-8761-CB7BCC05D40D}" name="Column3650"/>
    <tableColumn id="3656" xr3:uid="{0C080D7C-B8B9-451C-84B4-2073E391243F}" name="Column3651"/>
    <tableColumn id="3657" xr3:uid="{453D5AAE-E12D-449F-8C1A-B20472AEF8A6}" name="Column3652"/>
    <tableColumn id="3658" xr3:uid="{E1900CAD-C9EC-459A-B489-C5158387460C}" name="Column3653"/>
    <tableColumn id="3659" xr3:uid="{02C4318C-B62C-4C6A-8F8E-CEA5B75F8BAB}" name="Column3654"/>
    <tableColumn id="3660" xr3:uid="{E5724382-A3BD-472D-9818-D3DE8D3E2C8E}" name="Column3655"/>
    <tableColumn id="3661" xr3:uid="{23FF35E1-E5ED-4FB4-B726-1C4EC2FB2ADA}" name="Column3656"/>
    <tableColumn id="3662" xr3:uid="{2358DF04-17BD-4E22-B6B6-529CBF8F6AC3}" name="Column3657"/>
    <tableColumn id="3663" xr3:uid="{6D671C69-4F82-45B8-B259-8214CD62E756}" name="Column3658"/>
    <tableColumn id="3664" xr3:uid="{853C323B-E25E-4894-8B48-EF7BC0D28749}" name="Column3659"/>
    <tableColumn id="3665" xr3:uid="{D5F99FE8-B1D7-420E-B3F3-2BAF957C5EA2}" name="Column3660"/>
    <tableColumn id="3666" xr3:uid="{E024D454-9EE2-467C-8A80-0E5608BF2705}" name="Column3661"/>
    <tableColumn id="3667" xr3:uid="{A130281E-CDFE-4ED8-91AB-64AF59EEEC18}" name="Column3662"/>
    <tableColumn id="3668" xr3:uid="{4A296F60-1F52-451F-AA12-F7929B5BB297}" name="Column3663"/>
    <tableColumn id="3669" xr3:uid="{9D336474-EFBE-4CA3-8F25-46A6990D3F86}" name="Column3664"/>
    <tableColumn id="3670" xr3:uid="{715C71CF-439F-4D8C-9E2E-AD8C4FF7E8B3}" name="Column3665"/>
    <tableColumn id="3671" xr3:uid="{C10A85A4-6706-4098-9D47-76C6F355C3D7}" name="Column3666"/>
    <tableColumn id="3672" xr3:uid="{A0EB65F4-68B8-4C38-9126-7E8F1D990110}" name="Column3667"/>
    <tableColumn id="3673" xr3:uid="{BE934A71-2A66-44C2-9266-EC7B21EAFE65}" name="Column3668"/>
    <tableColumn id="3674" xr3:uid="{46F6E9F3-FD4A-4BD6-A81F-713665C8CB6B}" name="Column3669"/>
    <tableColumn id="3675" xr3:uid="{F8000C5E-F0A5-4917-B62E-A541C4068B86}" name="Column3670"/>
    <tableColumn id="3676" xr3:uid="{194D49E8-36B1-4E72-9078-74D886125F5B}" name="Column3671"/>
    <tableColumn id="3677" xr3:uid="{8684AD76-2A73-47E8-8230-DC00E8E4F2C9}" name="Column3672"/>
    <tableColumn id="3678" xr3:uid="{F7A98383-1C57-402E-9D3F-32B1DB947BA1}" name="Column3673"/>
    <tableColumn id="3679" xr3:uid="{8B21056B-1226-44B4-8D43-F56FA3C25DDA}" name="Column3674"/>
    <tableColumn id="3680" xr3:uid="{793E7FEF-4B34-4AD3-B2FC-4B9AB2FF8F49}" name="Column3675"/>
    <tableColumn id="3681" xr3:uid="{4F57B95A-5CC4-479D-8463-3DB7CC748231}" name="Column3676"/>
    <tableColumn id="3682" xr3:uid="{D78D1BAE-400B-49C2-ACCA-ABB193B4C957}" name="Column3677"/>
    <tableColumn id="3683" xr3:uid="{F905211B-43D9-4158-8F77-ED024E22CD14}" name="Column3678"/>
    <tableColumn id="3684" xr3:uid="{D3D28C5F-50A5-4586-BA4F-52CBE42E33A5}" name="Column3679"/>
    <tableColumn id="3685" xr3:uid="{3C089397-FED1-45C3-9855-76ADC7C2E6E0}" name="Column3680"/>
    <tableColumn id="3686" xr3:uid="{CFD15469-061A-4694-AF6E-E8C39DE37BD1}" name="Column3681"/>
    <tableColumn id="3687" xr3:uid="{6CF2CB9E-D81B-483C-A230-01864840444E}" name="Column3682"/>
    <tableColumn id="3688" xr3:uid="{EB8B1F78-8948-4B73-A840-4E4B80D29F26}" name="Column3683"/>
    <tableColumn id="3689" xr3:uid="{7EB66EBA-E208-4F0F-9D03-4B7C3C407125}" name="Column3684"/>
    <tableColumn id="3690" xr3:uid="{B08EB88A-D7FA-4086-8769-3A964B60462B}" name="Column3685"/>
    <tableColumn id="3691" xr3:uid="{81D734D9-7265-497E-AE34-2CB280AB62D6}" name="Column3686"/>
    <tableColumn id="3692" xr3:uid="{9F8F2EA6-0B4D-4D35-9DBC-ECE536723A9C}" name="Column3687"/>
    <tableColumn id="3693" xr3:uid="{75BBC63B-E0BE-4605-BA9D-DFB0F85AD3E2}" name="Column3688"/>
    <tableColumn id="3694" xr3:uid="{C604894A-9A5C-490C-B186-3C1ABFC6FC2A}" name="Column3689"/>
    <tableColumn id="3695" xr3:uid="{DB371294-4EBE-4274-8D2B-57BC22C1A743}" name="Column3690"/>
    <tableColumn id="3696" xr3:uid="{B62A4225-28D9-4FD0-ABFB-A11D03372C8C}" name="Column3691"/>
    <tableColumn id="3697" xr3:uid="{2F8AA56E-FB6B-450C-BC49-7FFE6C3B30C4}" name="Column3692"/>
    <tableColumn id="3698" xr3:uid="{8F3AB2E5-F19D-46E0-B896-8CCDE7278A40}" name="Column3693"/>
    <tableColumn id="3699" xr3:uid="{3C12AFDC-E3FD-4F54-9F4B-727EF8E88683}" name="Column3694"/>
    <tableColumn id="3700" xr3:uid="{0DBFE4CB-1662-4586-9096-645189EE4F8C}" name="Column3695"/>
    <tableColumn id="3701" xr3:uid="{96810385-6C95-43C2-9C13-2F2D18A56722}" name="Column3696"/>
    <tableColumn id="3702" xr3:uid="{D2FA9558-CE25-4BD8-A26A-E6C9986206EC}" name="Column3697"/>
    <tableColumn id="3703" xr3:uid="{650A3BB4-A19D-46E7-A562-5EF6CE7DFB4B}" name="Column3698"/>
    <tableColumn id="3704" xr3:uid="{88CC1C8B-58FC-4D6E-833B-5A74331064AE}" name="Column3699"/>
    <tableColumn id="3705" xr3:uid="{F214E23D-8F6F-42EB-805F-A556428F533C}" name="Column3700"/>
    <tableColumn id="3706" xr3:uid="{507CC64D-6A64-4B4C-8FCE-1F7DCAAF6E2D}" name="Column3701"/>
    <tableColumn id="3707" xr3:uid="{79E36F6F-45BE-4EC3-A5AB-E03DB06CDC03}" name="Column3702"/>
    <tableColumn id="3708" xr3:uid="{7165291C-35DE-451F-98A4-DD49200B88B4}" name="Column3703"/>
    <tableColumn id="3709" xr3:uid="{D527DDAE-E0A3-4C27-A85E-D05C03E8DA14}" name="Column3704"/>
    <tableColumn id="3710" xr3:uid="{F5605E5D-069B-4770-80FA-48A05D92782F}" name="Column3705"/>
    <tableColumn id="3711" xr3:uid="{CA962892-525A-41B1-8FB2-95B11E6D00C7}" name="Column3706"/>
    <tableColumn id="3712" xr3:uid="{61508F59-8378-46E7-8A87-0774D20F9001}" name="Column3707"/>
    <tableColumn id="3713" xr3:uid="{634F143E-C479-4543-BD66-7D2BBE23C7E2}" name="Column3708"/>
    <tableColumn id="3714" xr3:uid="{2347B5F8-516E-4541-9665-DB218245C94A}" name="Column3709"/>
    <tableColumn id="3715" xr3:uid="{B7C9FEF2-5A1A-4335-8871-6B764CD68C03}" name="Column3710"/>
    <tableColumn id="3716" xr3:uid="{DB38F087-43EC-44E0-8E38-30AE2C57F883}" name="Column3711"/>
    <tableColumn id="3717" xr3:uid="{2C350235-D3AF-4866-93C3-7EFC55F1EFAD}" name="Column3712"/>
    <tableColumn id="3718" xr3:uid="{7E9DC558-A707-428B-9345-8E3D657D695E}" name="Column3713"/>
    <tableColumn id="3719" xr3:uid="{FFDEE836-6011-4B4C-BCBB-A4707FC2F201}" name="Column3714"/>
    <tableColumn id="3720" xr3:uid="{4087A37C-2419-4F27-A877-F319BEAFFA20}" name="Column3715"/>
    <tableColumn id="3721" xr3:uid="{6E79E0CD-6E95-47C3-AA1B-13C09F56E114}" name="Column3716"/>
    <tableColumn id="3722" xr3:uid="{9F52BC77-4088-446B-9332-DF7F7E4EE719}" name="Column3717"/>
    <tableColumn id="3723" xr3:uid="{5E1F2C09-28F6-490E-9D4E-707114A2B86E}" name="Column3718"/>
    <tableColumn id="3724" xr3:uid="{C76A19C3-662C-4A19-B589-EF90AA4391BB}" name="Column3719"/>
    <tableColumn id="3725" xr3:uid="{50261934-5BDB-48A8-A575-77103023DFA7}" name="Column3720"/>
    <tableColumn id="3726" xr3:uid="{0BA2009D-34AC-45B5-8958-F7F9F0DB6F7E}" name="Column3721"/>
    <tableColumn id="3727" xr3:uid="{650D556D-364D-4933-8D55-5A5CD003A58F}" name="Column3722"/>
    <tableColumn id="3728" xr3:uid="{893FB117-42A8-4DF0-8E98-03296FB008BF}" name="Column3723"/>
    <tableColumn id="3729" xr3:uid="{E6997C3B-ECE7-40AB-9C59-DCEEBEDDCA3A}" name="Column3724"/>
    <tableColumn id="3730" xr3:uid="{C2163660-8455-4676-BBD5-3191B15A87B6}" name="Column3725"/>
    <tableColumn id="3731" xr3:uid="{6FD50B39-C94C-4D13-B237-8DE871ED207B}" name="Column3726"/>
    <tableColumn id="3732" xr3:uid="{18C16C1E-1B52-4EDD-840E-350F5DEB654B}" name="Column3727"/>
    <tableColumn id="3733" xr3:uid="{89C39598-D62A-4D1B-9818-C8D5972E9DBE}" name="Column3728"/>
    <tableColumn id="3734" xr3:uid="{40F10ECA-D441-4D95-B14C-56B172392A4A}" name="Column3729"/>
    <tableColumn id="3735" xr3:uid="{DB025404-9DB6-485E-AD9F-AD93456DD26B}" name="Column3730"/>
    <tableColumn id="3736" xr3:uid="{9551181B-AD50-4596-9A4B-A2C3896E04F9}" name="Column3731"/>
    <tableColumn id="3737" xr3:uid="{A37CA251-3C28-4E46-8470-21F359BB4CFF}" name="Column3732"/>
    <tableColumn id="3738" xr3:uid="{1DD06E7E-C737-4821-BEBB-33C4328D642B}" name="Column3733"/>
    <tableColumn id="3739" xr3:uid="{B5D2659D-6FEF-4E4B-8329-654311C3CC63}" name="Column3734"/>
    <tableColumn id="3740" xr3:uid="{7F083EFF-3A23-48A5-A01B-FDE29CF70D1A}" name="Column3735"/>
    <tableColumn id="3741" xr3:uid="{C24E7804-6B45-49BE-9000-B8813D255A2F}" name="Column3736"/>
    <tableColumn id="3742" xr3:uid="{468074FF-DA50-4657-9E9A-E5DF154B7AA9}" name="Column3737"/>
    <tableColumn id="3743" xr3:uid="{016F142B-8E88-48B4-9BB8-990F35347FA3}" name="Column3738"/>
    <tableColumn id="3744" xr3:uid="{57DF1A13-2D53-4FD2-A518-039B451BA807}" name="Column3739"/>
    <tableColumn id="3745" xr3:uid="{9A3CA80B-A475-40CC-9627-6EB23D00A6B8}" name="Column3740"/>
    <tableColumn id="3746" xr3:uid="{2D18E2B7-F905-4CBF-AEA3-819448E47EC5}" name="Column3741"/>
    <tableColumn id="3747" xr3:uid="{36311F04-96AF-4764-9673-C8D0CE8918E3}" name="Column3742"/>
    <tableColumn id="3748" xr3:uid="{2035E962-4742-48BE-BCDB-ACEAE683715F}" name="Column3743"/>
    <tableColumn id="3749" xr3:uid="{43EAB4EF-6F8E-4DE5-A93B-0542756A787C}" name="Column3744"/>
    <tableColumn id="3750" xr3:uid="{BA6ED7F4-A1E6-4285-A8DA-9FEB7821B0F9}" name="Column3745"/>
    <tableColumn id="3751" xr3:uid="{654A1D2B-6A2B-4D6F-98FA-0269E2A93BBC}" name="Column3746"/>
    <tableColumn id="3752" xr3:uid="{278060F7-251B-4418-AB03-89634542A065}" name="Column3747"/>
    <tableColumn id="3753" xr3:uid="{4040E1CF-3341-4754-B65E-AC6D1F06644E}" name="Column3748"/>
    <tableColumn id="3754" xr3:uid="{583A92DE-7783-4FCA-B77C-247FB1DE8E75}" name="Column3749"/>
    <tableColumn id="3755" xr3:uid="{ABDD3EFC-39B8-4E54-9798-24C384660D31}" name="Column3750"/>
    <tableColumn id="3756" xr3:uid="{28602ECA-391C-4754-9DEF-C8A773F60FB8}" name="Column3751"/>
    <tableColumn id="3757" xr3:uid="{826311D8-E133-4730-891F-C36BBDB16DF8}" name="Column3752"/>
    <tableColumn id="3758" xr3:uid="{A4A147A4-0FD2-486E-B179-DA360DB75E53}" name="Column3753"/>
    <tableColumn id="3759" xr3:uid="{28DAE90E-A6F4-4E2E-9C3F-069D089B3C95}" name="Column3754"/>
    <tableColumn id="3760" xr3:uid="{82219968-B31B-4D1E-AD37-635D4C1600A2}" name="Column3755"/>
    <tableColumn id="3761" xr3:uid="{C18AA381-4C07-4A81-9549-AF766398A387}" name="Column3756"/>
    <tableColumn id="3762" xr3:uid="{5329C280-0738-4104-AB86-1DA035EEE235}" name="Column3757"/>
    <tableColumn id="3763" xr3:uid="{591FDFA9-A63E-49A3-9228-83AF24C075B7}" name="Column3758"/>
    <tableColumn id="3764" xr3:uid="{AAFB5D77-112C-421B-828C-F12A8DA721C4}" name="Column3759"/>
    <tableColumn id="3765" xr3:uid="{FB64E95E-293D-44CD-8E08-B7A32528D138}" name="Column3760"/>
    <tableColumn id="3766" xr3:uid="{7D0915ED-8893-49BD-A7C5-57FB3B964054}" name="Column3761"/>
    <tableColumn id="3767" xr3:uid="{B79D1707-BC33-408F-B32F-E370BB2B65A9}" name="Column3762"/>
    <tableColumn id="3768" xr3:uid="{0061158D-824D-4CD9-9C27-7E8E48898BA2}" name="Column3763"/>
    <tableColumn id="3769" xr3:uid="{C62E40B7-7DFD-4A02-A817-E9A64AD12DC9}" name="Column3764"/>
    <tableColumn id="3770" xr3:uid="{6D2EE485-C2D0-49C9-B980-9674FD52BB99}" name="Column3765"/>
    <tableColumn id="3771" xr3:uid="{45C8611D-7B32-4C1B-916F-BB92E1823DF7}" name="Column3766"/>
    <tableColumn id="3772" xr3:uid="{A795A659-6CE5-4E48-AB95-639C199A6341}" name="Column3767"/>
    <tableColumn id="3773" xr3:uid="{19D15F9A-5F22-4D71-A8F2-D7D81F127639}" name="Column3768"/>
    <tableColumn id="3774" xr3:uid="{C243D8DA-37D0-47FB-A702-14FA19077A6E}" name="Column3769"/>
    <tableColumn id="3775" xr3:uid="{23304522-1151-47EC-9503-7500970D5F64}" name="Column3770"/>
    <tableColumn id="3776" xr3:uid="{03E31CA2-5383-44BB-B6A1-5D954472BBA3}" name="Column3771"/>
    <tableColumn id="3777" xr3:uid="{C9A30AD5-E8BA-47C1-9710-50079D79F8F6}" name="Column3772"/>
    <tableColumn id="3778" xr3:uid="{D631B926-B06C-4B24-B55A-D10FD5C148E5}" name="Column3773"/>
    <tableColumn id="3779" xr3:uid="{C22DE019-2E23-478E-B6D0-C7BFED26B920}" name="Column3774"/>
    <tableColumn id="3780" xr3:uid="{6F51D9A1-8E20-46A7-964D-BB874C7D9FC2}" name="Column3775"/>
    <tableColumn id="3781" xr3:uid="{E41CB321-29D6-4E7C-AC08-59E225D75983}" name="Column3776"/>
    <tableColumn id="3782" xr3:uid="{7AA176E0-4408-4002-B399-E8C89A2E2E44}" name="Column3777"/>
    <tableColumn id="3783" xr3:uid="{F3C82706-0F7D-4EBA-9A38-7E8E48404587}" name="Column3778"/>
    <tableColumn id="3784" xr3:uid="{4A8CAD7B-7633-42C9-866D-D20D8C689977}" name="Column3779"/>
    <tableColumn id="3785" xr3:uid="{2F12437C-BD6D-455D-992D-84BE5B99D3AB}" name="Column3780"/>
    <tableColumn id="3786" xr3:uid="{10C1C265-5F0D-4BAF-BBA7-324B45E3F1B9}" name="Column3781"/>
    <tableColumn id="3787" xr3:uid="{03703B05-6C83-4587-A2EB-EFFFBB69B9EC}" name="Column3782"/>
    <tableColumn id="3788" xr3:uid="{1EEF0E7D-658A-41F7-A1A9-95F220896B1B}" name="Column3783"/>
    <tableColumn id="3789" xr3:uid="{7363329B-157A-4CCC-9643-C82C3BC3827E}" name="Column3784"/>
    <tableColumn id="3790" xr3:uid="{108615F0-F3C7-4461-AAFA-19150E784604}" name="Column3785"/>
    <tableColumn id="3791" xr3:uid="{D565D41D-8C1F-478E-A272-62B29DC24E1D}" name="Column3786"/>
    <tableColumn id="3792" xr3:uid="{23958150-0F29-472F-A746-B4B649C365A2}" name="Column3787"/>
    <tableColumn id="3793" xr3:uid="{01DD3193-9215-401E-B462-EC6EF32EB99C}" name="Column3788"/>
    <tableColumn id="3794" xr3:uid="{A739D5E9-9C1C-4C23-AE5C-BA5B434BB528}" name="Column3789"/>
    <tableColumn id="3795" xr3:uid="{EF355A71-AA1B-471C-90AF-529770DFDF4F}" name="Column3790"/>
    <tableColumn id="3796" xr3:uid="{EC9ECD61-8393-4EB3-93F8-2750E7E5BA81}" name="Column3791"/>
    <tableColumn id="3797" xr3:uid="{F7892CB3-9006-4104-B2C1-8137C1FD6D07}" name="Column3792"/>
    <tableColumn id="3798" xr3:uid="{478E553D-3DFD-42EF-A5B9-D83D29F56B8B}" name="Column3793"/>
    <tableColumn id="3799" xr3:uid="{226F79E8-47C9-4D07-AD50-2B530ECD2B77}" name="Column3794"/>
    <tableColumn id="3800" xr3:uid="{3A2F66E0-56B6-4E15-9217-00CA727841DC}" name="Column3795"/>
    <tableColumn id="3801" xr3:uid="{B2C38D9E-62CE-4163-8473-941DB7E14443}" name="Column3796"/>
    <tableColumn id="3802" xr3:uid="{C60EF5A2-9ADE-4530-882B-9E57CB26E7EC}" name="Column3797"/>
    <tableColumn id="3803" xr3:uid="{8665207A-8F69-4055-9B5D-63E1A33E0F69}" name="Column3798"/>
    <tableColumn id="3804" xr3:uid="{DDC56168-C256-45D2-8CC6-DDAAC30715CA}" name="Column3799"/>
    <tableColumn id="3805" xr3:uid="{D5E4DEDA-30BC-41B5-8699-90C160CE5F1B}" name="Column3800"/>
    <tableColumn id="3806" xr3:uid="{808393F4-EAAF-472A-88A0-F51FF912ED09}" name="Column3801"/>
    <tableColumn id="3807" xr3:uid="{A0A295D7-4C88-4E48-AB2A-E969C23C6853}" name="Column3802"/>
    <tableColumn id="3808" xr3:uid="{30B844FE-D945-4074-AB2E-3F01435F8CBD}" name="Column3803"/>
    <tableColumn id="3809" xr3:uid="{F2589C95-E2F4-4DCE-8DBC-CFB8E7564E1C}" name="Column3804"/>
    <tableColumn id="3810" xr3:uid="{268E89A5-CBC0-4CFA-AFB8-A33792250632}" name="Column3805"/>
    <tableColumn id="3811" xr3:uid="{704AB3AC-9368-4989-B6CF-D55D912272D9}" name="Column3806"/>
    <tableColumn id="3812" xr3:uid="{CFDB7DA4-6D58-4ACE-A99C-B409FB433136}" name="Column3807"/>
    <tableColumn id="3813" xr3:uid="{FB379D3A-C407-4522-9BAC-A5B25C0CFF4B}" name="Column3808"/>
    <tableColumn id="3814" xr3:uid="{D91DB56C-D693-4AA9-8CAD-428A1D4E9F68}" name="Column3809"/>
    <tableColumn id="3815" xr3:uid="{42BCF020-CB0E-4AF2-82F3-10942C16F6FA}" name="Column3810"/>
    <tableColumn id="3816" xr3:uid="{A073FF32-C227-4C7B-930B-952E3D97787F}" name="Column3811"/>
    <tableColumn id="3817" xr3:uid="{3664D380-CF59-4E4F-B4AC-5336E4D61251}" name="Column3812"/>
    <tableColumn id="3818" xr3:uid="{9F22640C-6225-45F6-A1C7-FC8410C271DE}" name="Column3813"/>
    <tableColumn id="3819" xr3:uid="{298A17A1-05CD-4667-9E19-B9196D5D5B55}" name="Column3814"/>
    <tableColumn id="3820" xr3:uid="{075602D2-8C93-41DA-BEF3-702DE2E0F51A}" name="Column3815"/>
    <tableColumn id="3821" xr3:uid="{D884BCF7-E871-415B-92E3-88F0F70555FC}" name="Column3816"/>
    <tableColumn id="3822" xr3:uid="{01254EAA-59CC-4167-B9FD-44C5BA0E1A29}" name="Column3817"/>
    <tableColumn id="3823" xr3:uid="{073745EB-6477-41FA-98D2-47FF04C22A06}" name="Column3818"/>
    <tableColumn id="3824" xr3:uid="{95AD62D0-29D1-434B-B87D-F12F61AB4328}" name="Column3819"/>
    <tableColumn id="3825" xr3:uid="{A554AF1A-1894-4DAE-A358-5CE0004D9B8A}" name="Column3820"/>
    <tableColumn id="3826" xr3:uid="{4E420CC2-F872-4BC6-AFE2-C35CC9CDB783}" name="Column3821"/>
    <tableColumn id="3827" xr3:uid="{468466D6-7061-4EAA-9DB1-91F5F3B99907}" name="Column3822"/>
    <tableColumn id="3828" xr3:uid="{D5D4AEB0-F28D-4275-B927-FA7333A3C914}" name="Column3823"/>
    <tableColumn id="3829" xr3:uid="{F2F6F26E-9F29-44CB-B76F-4842C5BDD7F8}" name="Column3824"/>
    <tableColumn id="3830" xr3:uid="{E93223D0-BD91-456C-B5CF-9AB0419F10F0}" name="Column3825"/>
    <tableColumn id="3831" xr3:uid="{C0FD6418-C05D-4BCE-A06C-A211A33318BD}" name="Column3826"/>
    <tableColumn id="3832" xr3:uid="{319BA7AF-AAD0-43C7-80E9-5DC72636E6EE}" name="Column3827"/>
    <tableColumn id="3833" xr3:uid="{9B359909-4675-40B7-BDB4-C4CAF68F1887}" name="Column3828"/>
    <tableColumn id="3834" xr3:uid="{D2DB5768-B208-48E8-AB09-C47555EBD308}" name="Column3829"/>
    <tableColumn id="3835" xr3:uid="{C599CACD-AE14-4C4C-8A8B-AECE5592F253}" name="Column3830"/>
    <tableColumn id="3836" xr3:uid="{9878260B-FA49-4426-B735-8C2FB2A003A2}" name="Column3831"/>
    <tableColumn id="3837" xr3:uid="{D07042E9-BE94-4662-912B-7342FBEE5EB0}" name="Column3832"/>
    <tableColumn id="3838" xr3:uid="{46B8BAED-F615-44BF-8CF4-16DB6594B670}" name="Column3833"/>
    <tableColumn id="3839" xr3:uid="{FFD4F0FC-9441-47DD-BF97-C7AF7F383A67}" name="Column3834"/>
    <tableColumn id="3840" xr3:uid="{EA7C1494-6AF0-4B9F-99B1-CC743EE16C5A}" name="Column3835"/>
    <tableColumn id="3841" xr3:uid="{13CF638D-648D-4941-A74E-C5DAD2A409C8}" name="Column3836"/>
    <tableColumn id="3842" xr3:uid="{E14523C3-FADB-41B1-842D-89B5C2A10E6E}" name="Column3837"/>
    <tableColumn id="3843" xr3:uid="{280A85A7-DFDC-4E88-98B4-56B7340336AA}" name="Column3838"/>
    <tableColumn id="3844" xr3:uid="{78FDED3E-0F49-4CB4-92CE-9AFB0B7BED22}" name="Column3839"/>
    <tableColumn id="3845" xr3:uid="{C7A96018-838E-4E28-980C-59FDECFDF323}" name="Column3840"/>
    <tableColumn id="3846" xr3:uid="{1A5E8743-97AA-4139-B966-2C3730881679}" name="Column3841"/>
    <tableColumn id="3847" xr3:uid="{EB8F8B0E-B0D1-48EF-B9B8-816BE2E815C8}" name="Column3842"/>
    <tableColumn id="3848" xr3:uid="{CE3AAEB0-A9D7-49AF-B49B-2FDCBF203BD9}" name="Column3843"/>
    <tableColumn id="3849" xr3:uid="{10C33C3F-E189-4173-8775-D4A90FB72D3F}" name="Column3844"/>
    <tableColumn id="3850" xr3:uid="{0EFC957B-ECC3-4F8B-80A4-411D54CBA1CB}" name="Column3845"/>
    <tableColumn id="3851" xr3:uid="{67AACE14-1A07-497E-9F2C-E1932B60AE50}" name="Column3846"/>
    <tableColumn id="3852" xr3:uid="{6BC393A8-9522-4B2B-BDD4-C2F5692DEAAF}" name="Column3847"/>
    <tableColumn id="3853" xr3:uid="{7684FC44-1814-4149-8B74-B6A9E8CC3B7A}" name="Column3848"/>
    <tableColumn id="3854" xr3:uid="{B117B1C5-81C6-4A12-B62B-33A800F17F32}" name="Column3849"/>
    <tableColumn id="3855" xr3:uid="{F0587130-F69D-45BE-9416-D3AA7299EC49}" name="Column3850"/>
    <tableColumn id="3856" xr3:uid="{A018C52C-C013-46DE-A892-7BB0877C8C18}" name="Column3851"/>
    <tableColumn id="3857" xr3:uid="{096C88EA-3542-484D-B5B4-F75D266140A4}" name="Column3852"/>
    <tableColumn id="3858" xr3:uid="{42DCBB3A-A828-49E4-922C-E70A89466DB6}" name="Column3853"/>
    <tableColumn id="3859" xr3:uid="{849CE925-47F5-4DDD-9DF5-F9B441C16981}" name="Column3854"/>
    <tableColumn id="3860" xr3:uid="{A5473768-3EA6-4EA3-8943-9038902A7A6B}" name="Column3855"/>
    <tableColumn id="3861" xr3:uid="{52BD4726-113D-43C1-B6BC-23D011B97370}" name="Column3856"/>
    <tableColumn id="3862" xr3:uid="{E7E25FA6-456A-4587-B066-0105A5EC1B75}" name="Column3857"/>
    <tableColumn id="3863" xr3:uid="{534E5986-1BFB-4855-9B90-409BD71B34BF}" name="Column3858"/>
    <tableColumn id="3864" xr3:uid="{76A7F8C8-2859-4D56-B4E9-13D77E3EC15F}" name="Column3859"/>
    <tableColumn id="3865" xr3:uid="{87F81306-8D32-49AD-9A8C-971659586E1F}" name="Column3860"/>
    <tableColumn id="3866" xr3:uid="{18C63FCF-AEFD-4FC7-9659-1EA3781B4222}" name="Column3861"/>
    <tableColumn id="3867" xr3:uid="{E9285AAF-3A99-4BE4-9268-B5463E54100B}" name="Column3862"/>
    <tableColumn id="3868" xr3:uid="{75656DE2-5C5A-48CD-93C9-B4332C5A041D}" name="Column3863"/>
    <tableColumn id="3869" xr3:uid="{606EE23F-9957-4F9E-8577-0FE10FEDEF62}" name="Column3864"/>
    <tableColumn id="3870" xr3:uid="{EF70EF9E-4A16-443B-A8CB-AE33C1B7AFB1}" name="Column3865"/>
    <tableColumn id="3871" xr3:uid="{B56120A7-ECA3-411E-8108-1742C1937352}" name="Column3866"/>
    <tableColumn id="3872" xr3:uid="{D5747D8A-3484-4CB4-AFEE-59FEB1622B3C}" name="Column3867"/>
    <tableColumn id="3873" xr3:uid="{42C47A6A-1733-4E81-9287-F72A297FF592}" name="Column3868"/>
    <tableColumn id="3874" xr3:uid="{59162B78-DCC4-403B-8268-312364DE0ED5}" name="Column3869"/>
    <tableColumn id="3875" xr3:uid="{D70BD4DF-C3D1-4681-B320-93C6ED779EF8}" name="Column3870"/>
    <tableColumn id="3876" xr3:uid="{EA9B9DB0-ACBA-4F70-807E-54AAFB20ADC2}" name="Column3871"/>
    <tableColumn id="3877" xr3:uid="{8A1F6E57-419E-48A0-B771-719EB731FEE9}" name="Column3872"/>
    <tableColumn id="3878" xr3:uid="{CB14020D-042D-4E83-BB7A-45FE9639B9CE}" name="Column3873"/>
    <tableColumn id="3879" xr3:uid="{4757D2A5-F25E-41E7-8B32-D49B11A45307}" name="Column3874"/>
    <tableColumn id="3880" xr3:uid="{41D2F55A-01BD-4B7C-872A-B762FA9E9D15}" name="Column3875"/>
    <tableColumn id="3881" xr3:uid="{4714BC3D-6889-4168-A86A-62C0423889A0}" name="Column3876"/>
    <tableColumn id="3882" xr3:uid="{EDD3C963-0388-4A4E-946C-BED277099142}" name="Column3877"/>
    <tableColumn id="3883" xr3:uid="{B67C9267-1742-4629-87FE-E7EA9752685E}" name="Column3878"/>
    <tableColumn id="3884" xr3:uid="{CD191C7A-9DE0-48B5-817A-1DD1CA0196CC}" name="Column3879"/>
    <tableColumn id="3885" xr3:uid="{C04273D8-B56C-4F16-A6C2-CF7533CE50A1}" name="Column3880"/>
    <tableColumn id="3886" xr3:uid="{CD62D761-77FC-470B-A391-5798D41C32B6}" name="Column3881"/>
    <tableColumn id="3887" xr3:uid="{48298022-09EF-4191-B266-CF84E9E789A0}" name="Column3882"/>
    <tableColumn id="3888" xr3:uid="{E43A3F1A-0D05-470C-86AE-6EC1A75DB077}" name="Column3883"/>
    <tableColumn id="3889" xr3:uid="{209AD448-C003-4780-854D-0F03A356690D}" name="Column3884"/>
    <tableColumn id="3890" xr3:uid="{4BFE88B7-3AD8-49C8-AE22-49616245275D}" name="Column3885"/>
    <tableColumn id="3891" xr3:uid="{418B72C0-ABB6-4F7E-82E9-8A911F50EC79}" name="Column3886"/>
    <tableColumn id="3892" xr3:uid="{EB1512D9-A2A9-44D0-8CD2-AD4D2EF929C0}" name="Column3887"/>
    <tableColumn id="3893" xr3:uid="{8A91D441-CB49-441E-9DEA-C65868282E4E}" name="Column3888"/>
    <tableColumn id="3894" xr3:uid="{93513D67-276A-4786-B794-A3AE08084549}" name="Column3889"/>
    <tableColumn id="3895" xr3:uid="{25A30199-492D-4A3E-ABAC-236E171FB1EB}" name="Column3890"/>
    <tableColumn id="3896" xr3:uid="{1961E34C-8C67-4954-BE8A-749A5534CCAA}" name="Column3891"/>
    <tableColumn id="3897" xr3:uid="{B076CAA3-9E6C-453C-9F90-2DBC00AD88F7}" name="Column3892"/>
    <tableColumn id="3898" xr3:uid="{0FAE860D-18EA-42A9-9DCF-D45CD9D632D5}" name="Column3893"/>
    <tableColumn id="3899" xr3:uid="{9F7BA48C-4420-48E1-97D6-3E7995060808}" name="Column3894"/>
    <tableColumn id="3900" xr3:uid="{D542E58A-0340-413B-95EA-85E1E94D8C9E}" name="Column3895"/>
    <tableColumn id="3901" xr3:uid="{91DDDD2F-0A04-4B52-B821-FF1ED1D29B67}" name="Column3896"/>
    <tableColumn id="3902" xr3:uid="{9481E200-2F17-4D06-B45A-57EB4CE59080}" name="Column3897"/>
    <tableColumn id="3903" xr3:uid="{7DFE1EBE-F2A6-4F7A-80A9-C46432571B12}" name="Column3898"/>
    <tableColumn id="3904" xr3:uid="{A4E38CBE-B7F3-47EA-9DBA-316FF122D154}" name="Column3899"/>
    <tableColumn id="3905" xr3:uid="{45E80434-9FE0-4660-BDCC-9A9AAC9B6C14}" name="Column3900"/>
    <tableColumn id="3906" xr3:uid="{B6294B22-71A6-4B9A-86E0-1A4A1A273515}" name="Column3901"/>
    <tableColumn id="3907" xr3:uid="{7E307684-A2DC-464C-9085-FB82C7D5DC5B}" name="Column3902"/>
    <tableColumn id="3908" xr3:uid="{4069DC60-0C4C-46C9-8F5B-E67B38AD334A}" name="Column3903"/>
    <tableColumn id="3909" xr3:uid="{59A15720-1A4B-4FC0-9B92-C9B447F21E84}" name="Column3904"/>
    <tableColumn id="3910" xr3:uid="{E128F9B1-C125-4233-AC84-1175F831E42E}" name="Column3905"/>
    <tableColumn id="3911" xr3:uid="{38823F2E-8DE2-4685-9DB2-88682FCB21D6}" name="Column3906"/>
    <tableColumn id="3912" xr3:uid="{E27ACA37-188D-4696-BEB4-CFF50F3D3A77}" name="Column3907"/>
    <tableColumn id="3913" xr3:uid="{E8827EAC-5013-4D62-80D4-42689BF9632E}" name="Column3908"/>
    <tableColumn id="3914" xr3:uid="{8C67AE48-C50F-4DA0-B311-C3C1A5C643F7}" name="Column3909"/>
    <tableColumn id="3915" xr3:uid="{829D450D-2443-4AC7-94F6-B2D075986126}" name="Column3910"/>
    <tableColumn id="3916" xr3:uid="{76F19AF1-98FD-468D-9D7D-CF33116A91E8}" name="Column3911"/>
    <tableColumn id="3917" xr3:uid="{B8B84985-E3C5-470C-B34E-2C941FD202D0}" name="Column3912"/>
    <tableColumn id="3918" xr3:uid="{FE75C16F-0543-4316-A053-EDA56DA7428F}" name="Column3913"/>
    <tableColumn id="3919" xr3:uid="{D746AB26-D49B-4D85-B3F0-9CFD6BADB7C2}" name="Column3914"/>
    <tableColumn id="3920" xr3:uid="{44CA1ADC-1627-4051-BDE4-510A7413A1BB}" name="Column3915"/>
    <tableColumn id="3921" xr3:uid="{059ADFC6-B168-4F5B-BAEC-EFCC1112D520}" name="Column3916"/>
    <tableColumn id="3922" xr3:uid="{94F8CEB0-FB83-4547-B2CF-5807B03C404C}" name="Column3917"/>
    <tableColumn id="3923" xr3:uid="{44E3D20D-71A0-4F1C-84BB-5AFB762ABD0E}" name="Column3918"/>
    <tableColumn id="3924" xr3:uid="{18393EF9-A31C-425D-B509-DCC20F21B997}" name="Column3919"/>
    <tableColumn id="3925" xr3:uid="{816C78C4-6464-48F9-807E-FF64A5B62872}" name="Column3920"/>
    <tableColumn id="3926" xr3:uid="{C1306481-F6AE-4092-B342-8D696E1D83E7}" name="Column3921"/>
    <tableColumn id="3927" xr3:uid="{4E7AFBD3-D23C-4714-B6A5-EAFFB0AE3B36}" name="Column3922"/>
    <tableColumn id="3928" xr3:uid="{57B60327-D3C5-49B4-8A47-9F842E01C0F6}" name="Column3923"/>
    <tableColumn id="3929" xr3:uid="{85E19219-EA7C-48EC-A49E-71F62387F61D}" name="Column3924"/>
    <tableColumn id="3930" xr3:uid="{5CD3AFFE-068F-4B51-9793-DE796408A0F2}" name="Column3925"/>
    <tableColumn id="3931" xr3:uid="{2BE2CDD3-F077-442C-999A-74D16FF2F11F}" name="Column3926"/>
    <tableColumn id="3932" xr3:uid="{4743710A-12EF-4887-8A86-355AF125F133}" name="Column3927"/>
    <tableColumn id="3933" xr3:uid="{756D17D3-7CB6-43CE-BF68-BF38BAC690DC}" name="Column3928"/>
    <tableColumn id="3934" xr3:uid="{44C9F319-052F-4C4A-B610-6B8DAC5B3ED9}" name="Column3929"/>
    <tableColumn id="3935" xr3:uid="{1019AE3A-AB6E-4E5F-BF70-E584D1A85DA5}" name="Column3930"/>
    <tableColumn id="3936" xr3:uid="{99F63DAB-3BCE-4D09-AC73-C2D4EA8044CF}" name="Column3931"/>
    <tableColumn id="3937" xr3:uid="{9773460E-56A4-4A31-B248-CD2CF988F4E3}" name="Column3932"/>
    <tableColumn id="3938" xr3:uid="{1C70685A-F07D-4659-B02B-7D6ACDBD7A4B}" name="Column3933"/>
    <tableColumn id="3939" xr3:uid="{B34C422F-D880-4366-95D4-9589FCF91E7A}" name="Column3934"/>
    <tableColumn id="3940" xr3:uid="{B674F5E1-28B2-45CD-A0F9-93DD124FABF7}" name="Column3935"/>
    <tableColumn id="3941" xr3:uid="{62FD1B64-43E4-429A-A05C-A14B1AFC1186}" name="Column3936"/>
    <tableColumn id="3942" xr3:uid="{EB5249A7-E52D-4B09-A4D3-C4180349EBDC}" name="Column3937"/>
    <tableColumn id="3943" xr3:uid="{812B118E-C7D9-49E4-9AD9-A4038382712D}" name="Column3938"/>
    <tableColumn id="3944" xr3:uid="{94DFD437-2D51-48B4-8A7C-8FBA656ACAEE}" name="Column3939"/>
    <tableColumn id="3945" xr3:uid="{7406345D-A76D-4D92-9BA4-D0CF325D83D2}" name="Column3940"/>
    <tableColumn id="3946" xr3:uid="{D69C9938-8CAC-46FC-8A92-54422356A1F9}" name="Column3941"/>
    <tableColumn id="3947" xr3:uid="{E8D0055F-829C-4C04-B5DF-A0007ADD9A3E}" name="Column3942"/>
    <tableColumn id="3948" xr3:uid="{01D9B91A-1CFB-4E01-999B-E88A997279AE}" name="Column3943"/>
    <tableColumn id="3949" xr3:uid="{94D5CE64-BEFD-4013-A43D-EECE1046727D}" name="Column3944"/>
    <tableColumn id="3950" xr3:uid="{32AC8652-47FF-470C-A7FD-08EBD2E78BC5}" name="Column3945"/>
    <tableColumn id="3951" xr3:uid="{80B48A1A-5F5A-4690-9858-00C9465054FF}" name="Column3946"/>
    <tableColumn id="3952" xr3:uid="{15EDD5CC-0AB8-419D-A354-43B49946847D}" name="Column3947"/>
    <tableColumn id="3953" xr3:uid="{0307755B-F015-400D-A54B-84B90328F27D}" name="Column3948"/>
    <tableColumn id="3954" xr3:uid="{C41B08A7-4185-4AE4-8972-71F16E812BDB}" name="Column3949"/>
    <tableColumn id="3955" xr3:uid="{D57A3F44-B1A9-41C0-AAE7-51C2F3984DE4}" name="Column3950"/>
    <tableColumn id="3956" xr3:uid="{FB64C1A6-3C24-415D-A5F6-C9839C9F1CED}" name="Column3951"/>
    <tableColumn id="3957" xr3:uid="{C197B919-DA70-4876-ABC1-49214173EB82}" name="Column3952"/>
    <tableColumn id="3958" xr3:uid="{64EF65BF-A155-4E2A-9766-70D9DDA251B3}" name="Column3953"/>
    <tableColumn id="3959" xr3:uid="{8BA624A1-11CE-475C-B775-11B94E23EF63}" name="Column3954"/>
    <tableColumn id="3960" xr3:uid="{8940497D-8465-4417-BC4A-2957354FDD8F}" name="Column3955"/>
    <tableColumn id="3961" xr3:uid="{BC3F340B-9FE5-4EFB-BAC1-B6A65DB792CE}" name="Column3956"/>
    <tableColumn id="3962" xr3:uid="{5CEA3BE3-95B6-4B13-A68C-034CEA561CDF}" name="Column3957"/>
    <tableColumn id="3963" xr3:uid="{D887E238-818C-4613-8783-FED6B7582C0F}" name="Column3958"/>
    <tableColumn id="3964" xr3:uid="{FF347F65-B3CA-42B8-B6B6-398006CF6E6D}" name="Column3959"/>
    <tableColumn id="3965" xr3:uid="{3663FCA9-6894-4356-BE3B-A8C99A47A52E}" name="Column3960"/>
    <tableColumn id="3966" xr3:uid="{A5C0C69F-A141-44D3-8A1B-CF4C2B3F883F}" name="Column3961"/>
    <tableColumn id="3967" xr3:uid="{26A72A91-DBD0-4E96-B480-E2B200FD964F}" name="Column3962"/>
    <tableColumn id="3968" xr3:uid="{F90EC384-E732-4DBC-825D-2E5086100A62}" name="Column3963"/>
    <tableColumn id="3969" xr3:uid="{C3EAEF2C-A9F4-4BCC-9F38-37C8774049B9}" name="Column3964"/>
    <tableColumn id="3970" xr3:uid="{A4B6C3AB-D827-4BD9-9579-2BA983F99FC3}" name="Column3965"/>
    <tableColumn id="3971" xr3:uid="{DAA7B700-E2B8-42C9-8148-FEAF1CC2A09B}" name="Column3966"/>
    <tableColumn id="3972" xr3:uid="{C89075A3-7954-4584-93D7-2AD2E279497F}" name="Column3967"/>
    <tableColumn id="3973" xr3:uid="{7B8AFBB2-A968-40B6-8AF9-8B6237C3923A}" name="Column3968"/>
    <tableColumn id="3974" xr3:uid="{683AA4B7-CF6C-4576-80BC-71B767E12651}" name="Column3969"/>
    <tableColumn id="3975" xr3:uid="{D5F7025D-31E5-4818-8302-BF57D00D8B4A}" name="Column3970"/>
    <tableColumn id="3976" xr3:uid="{6BF7BFD5-A6C8-4C0C-9E34-3D37DBC6515C}" name="Column3971"/>
    <tableColumn id="3977" xr3:uid="{314DFE00-4CF9-4AA0-B044-8CB31A6C2CBE}" name="Column3972"/>
    <tableColumn id="3978" xr3:uid="{1890198F-C699-402E-B8B0-F196D263AB49}" name="Column3973"/>
    <tableColumn id="3979" xr3:uid="{0CB90799-22CB-44CA-899A-4FA901CEE6B2}" name="Column3974"/>
    <tableColumn id="3980" xr3:uid="{6B41131B-BF18-4519-A7E2-B6627BE6BACA}" name="Column3975"/>
    <tableColumn id="3981" xr3:uid="{CD081D89-CEB0-4A7E-AFBA-6EB30257B7DF}" name="Column3976"/>
    <tableColumn id="3982" xr3:uid="{5816A194-A9B4-4947-8052-9F15EAC7487A}" name="Column3977"/>
    <tableColumn id="3983" xr3:uid="{CA1E0994-65B5-4E08-9752-6E94D3648A7B}" name="Column3978"/>
    <tableColumn id="3984" xr3:uid="{67121D4B-BCA7-4AFA-A1CD-87BAA2A7CB17}" name="Column3979"/>
    <tableColumn id="3985" xr3:uid="{EC94C4E0-ED8B-4FC3-8BEA-9096CBB4C3A9}" name="Column3980"/>
    <tableColumn id="3986" xr3:uid="{9A64B616-7646-4B50-9525-FBCD29A5097D}" name="Column3981"/>
    <tableColumn id="3987" xr3:uid="{C1BD608C-BBA7-441A-86B5-88C3AB3D3AFA}" name="Column3982"/>
    <tableColumn id="3988" xr3:uid="{163040CB-D139-4AB2-A5A7-EA5F54166946}" name="Column3983"/>
    <tableColumn id="3989" xr3:uid="{D9ED77C6-CF41-47CC-A41C-C13C35ADB20C}" name="Column3984"/>
    <tableColumn id="3990" xr3:uid="{6CAB70C8-04CB-4552-AD42-8492BD110E03}" name="Column3985"/>
    <tableColumn id="3991" xr3:uid="{98965CC1-F995-4458-B968-7B167727BD72}" name="Column3986"/>
    <tableColumn id="3992" xr3:uid="{5C084EF0-4697-49A1-9E77-D4CBF6607F5E}" name="Column3987"/>
    <tableColumn id="3993" xr3:uid="{6209A496-A012-4FB2-A95F-F3575B0A355C}" name="Column3988"/>
    <tableColumn id="3994" xr3:uid="{7C92A894-3D2E-4718-8F24-CDCD13648B97}" name="Column3989"/>
    <tableColumn id="3995" xr3:uid="{1FC451F9-5BCF-4A67-977F-56BEE3920E69}" name="Column3990"/>
    <tableColumn id="3996" xr3:uid="{7E8D750A-78E5-493B-9A4B-3EA75616E756}" name="Column3991"/>
    <tableColumn id="3997" xr3:uid="{98D592C5-9189-4692-96D1-A9E41A08D2CE}" name="Column3992"/>
    <tableColumn id="3998" xr3:uid="{5E71AA63-F313-45F7-981E-3F208E4B9CA0}" name="Column3993"/>
    <tableColumn id="3999" xr3:uid="{B8D21CBC-84DF-470C-AB0A-B7C1A6B61BB5}" name="Column3994"/>
    <tableColumn id="4000" xr3:uid="{EF8D033C-C0F7-40E7-867A-F334F70EF8C7}" name="Column3995"/>
    <tableColumn id="4001" xr3:uid="{287986DA-0411-4590-BCE8-CC985D6A8D1A}" name="Column3996"/>
    <tableColumn id="4002" xr3:uid="{D1A81F95-CEFB-46AB-886F-307E6E908913}" name="Column3997"/>
    <tableColumn id="4003" xr3:uid="{0C4F8651-F8A3-477F-BE49-1EEDF3C900BE}" name="Column3998"/>
    <tableColumn id="4004" xr3:uid="{2EBE1A6D-9C61-425F-9653-E43C8EACE406}" name="Column3999"/>
    <tableColumn id="4005" xr3:uid="{DE41E47C-20F4-4989-8BC8-DFA96F7C28E1}" name="Column4000"/>
    <tableColumn id="4006" xr3:uid="{FF093147-E8F9-4687-B628-F109BECF71BB}" name="Column4001"/>
    <tableColumn id="4007" xr3:uid="{93DE1B81-59FA-46A8-A6C6-B9D021A97B9B}" name="Column4002"/>
    <tableColumn id="4008" xr3:uid="{294752C5-846E-485E-BBF5-215F85357B48}" name="Column4003"/>
    <tableColumn id="4009" xr3:uid="{C9436DDB-6A2F-4EF7-A305-30099ABDBFCB}" name="Column4004"/>
    <tableColumn id="4010" xr3:uid="{DB423BDF-6946-4894-A842-653438DB4FF5}" name="Column4005"/>
    <tableColumn id="4011" xr3:uid="{8EF69693-3941-48D3-B827-517AAF35CD8C}" name="Column4006"/>
    <tableColumn id="4012" xr3:uid="{7C2F2AC8-C4CA-4DB7-9784-8B8F608D6C49}" name="Column4007"/>
    <tableColumn id="4013" xr3:uid="{1C6950D0-29D8-44EB-8577-B65124D60A1F}" name="Column4008"/>
    <tableColumn id="4014" xr3:uid="{1B2D8784-E16A-4C51-B169-FBD326F15A98}" name="Column4009"/>
    <tableColumn id="4015" xr3:uid="{69BAD3FA-7B7B-4534-BD09-23B8C3E922A6}" name="Column4010"/>
    <tableColumn id="4016" xr3:uid="{DC185895-8068-413E-B358-31124D6883CC}" name="Column4011"/>
    <tableColumn id="4017" xr3:uid="{B4F54B30-66F1-4D3A-98C0-0189299DE9D9}" name="Column4012"/>
    <tableColumn id="4018" xr3:uid="{68A570CC-7828-477E-B685-E413F9AE9A71}" name="Column4013"/>
    <tableColumn id="4019" xr3:uid="{DC6B7F14-FF54-42C4-B929-4881FE4E38A1}" name="Column4014"/>
    <tableColumn id="4020" xr3:uid="{77D8BEB9-C874-4C52-BD20-EFD764C433B6}" name="Column4015"/>
    <tableColumn id="4021" xr3:uid="{D0E17927-DC19-48AE-8040-F06CCBB4349A}" name="Column4016"/>
    <tableColumn id="4022" xr3:uid="{1F5F6A6A-0810-4945-884A-50586B2B7BED}" name="Column4017"/>
    <tableColumn id="4023" xr3:uid="{68FE90B1-4282-493D-B950-3D12A95832E0}" name="Column4018"/>
    <tableColumn id="4024" xr3:uid="{1E0BE34E-CF36-4F43-96B0-379E3E96DBE7}" name="Column4019"/>
    <tableColumn id="4025" xr3:uid="{7CA1B230-06B0-4C78-BF7B-4D1D6051D4DD}" name="Column4020"/>
    <tableColumn id="4026" xr3:uid="{7905ADFC-F621-48EF-B25F-293E0B0B3FCF}" name="Column4021"/>
    <tableColumn id="4027" xr3:uid="{012A1502-698A-4F97-B4BB-350D40A4A3CD}" name="Column4022"/>
    <tableColumn id="4028" xr3:uid="{1D7BDD33-04C1-4A52-B577-5424BF0784A7}" name="Column4023"/>
    <tableColumn id="4029" xr3:uid="{4EEEAE5C-6182-4EBE-9447-9406B7A0B78B}" name="Column4024"/>
    <tableColumn id="4030" xr3:uid="{0AD277A3-B240-4665-9E6B-8F80A2644752}" name="Column4025"/>
    <tableColumn id="4031" xr3:uid="{C8F19F44-A6EE-43C6-8741-493F7B54BEE6}" name="Column4026"/>
    <tableColumn id="4032" xr3:uid="{70371F21-265E-4018-9003-997ECC146707}" name="Column4027"/>
    <tableColumn id="4033" xr3:uid="{18B8261A-AB65-4FD2-8207-845A74C8CB28}" name="Column4028"/>
    <tableColumn id="4034" xr3:uid="{77726E0F-215E-4467-BF3F-43A733E61AB5}" name="Column4029"/>
    <tableColumn id="4035" xr3:uid="{036F53AB-2CB7-4E66-9207-4DCDAB74B59B}" name="Column4030"/>
    <tableColumn id="4036" xr3:uid="{714EFC96-C8B8-473A-8D86-08D876A9164F}" name="Column4031"/>
    <tableColumn id="4037" xr3:uid="{62F4C596-C6CC-4C02-B2CD-D052DF199E21}" name="Column4032"/>
    <tableColumn id="4038" xr3:uid="{92C627ED-1D41-4EE9-A018-DB4EC3FAAC30}" name="Column4033"/>
    <tableColumn id="4039" xr3:uid="{A02DC1ED-2CF9-4425-A8CC-257743946F35}" name="Column4034"/>
    <tableColumn id="4040" xr3:uid="{1EFFB026-211E-4E3E-8369-32D4C867A687}" name="Column4035"/>
    <tableColumn id="4041" xr3:uid="{DE820702-F3D8-4CA9-BA7B-0F654170C263}" name="Column4036"/>
    <tableColumn id="4042" xr3:uid="{06F489D6-CE52-4FF4-AE7B-6671E4523FF6}" name="Column4037"/>
    <tableColumn id="4043" xr3:uid="{FF6427FE-51D4-4990-A9FC-31B806617332}" name="Column4038"/>
    <tableColumn id="4044" xr3:uid="{DB5E69FD-E956-4202-8514-8B9CDEC964E8}" name="Column4039"/>
    <tableColumn id="4045" xr3:uid="{6F11AA88-7F07-41ED-91BF-1E1435B803D3}" name="Column4040"/>
    <tableColumn id="4046" xr3:uid="{27BB8448-C34F-4B51-BBD9-44A2586B92C5}" name="Column4041"/>
    <tableColumn id="4047" xr3:uid="{6B566957-0808-4ED0-B1FD-AD59175CA917}" name="Column4042"/>
    <tableColumn id="4048" xr3:uid="{5486EDBC-1507-4406-8D7A-B317C5C31E07}" name="Column4043"/>
    <tableColumn id="4049" xr3:uid="{0AC023F9-1DBA-4D27-9640-58D7784F8F9A}" name="Column4044"/>
    <tableColumn id="4050" xr3:uid="{B4682642-6A86-48F1-879F-F2B4D50FC47F}" name="Column4045"/>
    <tableColumn id="4051" xr3:uid="{5ADEBCD0-B483-4A80-ACEC-D50D140CDA81}" name="Column4046"/>
    <tableColumn id="4052" xr3:uid="{F00AF32C-81BA-4B85-9C23-44F61C248F23}" name="Column4047"/>
    <tableColumn id="4053" xr3:uid="{65D4E40F-CB01-455E-9019-014846EB7EAA}" name="Column4048"/>
    <tableColumn id="4054" xr3:uid="{3711DFA5-17D6-4AAE-A307-22179BB60F0C}" name="Column4049"/>
    <tableColumn id="4055" xr3:uid="{979D1E8B-3786-4DD6-BF4A-90000A4A221F}" name="Column4050"/>
    <tableColumn id="4056" xr3:uid="{B563D8AA-0064-4A12-9414-892BACDDC5D2}" name="Column4051"/>
    <tableColumn id="4057" xr3:uid="{F17D9A2D-73ED-422F-A671-6C782CE66FAA}" name="Column4052"/>
    <tableColumn id="4058" xr3:uid="{1FDBB908-F747-44AD-B9D9-104D709FE420}" name="Column4053"/>
    <tableColumn id="4059" xr3:uid="{4041D5E1-91E5-494C-857E-26F2EF618C7E}" name="Column4054"/>
    <tableColumn id="4060" xr3:uid="{505A9F5E-D08F-48D3-8F65-D27709DAC0A6}" name="Column4055"/>
    <tableColumn id="4061" xr3:uid="{20714DA5-429F-4EC4-A6A0-CF6479DFDC65}" name="Column4056"/>
    <tableColumn id="4062" xr3:uid="{03F443C6-BD53-4B45-972E-A112D48D4A4F}" name="Column4057"/>
    <tableColumn id="4063" xr3:uid="{7498BDC4-67D6-40F8-BE96-D9BCD9379C71}" name="Column4058"/>
    <tableColumn id="4064" xr3:uid="{6B23FE5C-6BCE-4715-816F-C2D0B849FE96}" name="Column4059"/>
    <tableColumn id="4065" xr3:uid="{14B509C2-691A-4162-92B4-C43A594E9DE3}" name="Column4060"/>
    <tableColumn id="4066" xr3:uid="{E6EB1A82-A8F7-4372-BE0B-43AEE5D89364}" name="Column4061"/>
    <tableColumn id="4067" xr3:uid="{A63ED8A9-E688-4DBD-8397-D3FCE29534DB}" name="Column4062"/>
    <tableColumn id="4068" xr3:uid="{A0D27DB0-8BB2-4FC7-B277-FF5F14895E7A}" name="Column4063"/>
    <tableColumn id="4069" xr3:uid="{528B65AE-E97E-4EB1-BA98-91FD86CC64E2}" name="Column4064"/>
    <tableColumn id="4070" xr3:uid="{8C6E0F44-AA35-4BD0-B0C1-35AAE7CABA0D}" name="Column4065"/>
    <tableColumn id="4071" xr3:uid="{F4119645-9C5C-40CE-B8EA-16C38C63C5BE}" name="Column4066"/>
    <tableColumn id="4072" xr3:uid="{4254386E-6A8C-4B34-B42B-BA6E47E1233F}" name="Column4067"/>
    <tableColumn id="4073" xr3:uid="{CB264D59-B2E1-4446-A9FF-D75F79180026}" name="Column4068"/>
    <tableColumn id="4074" xr3:uid="{A46FA754-6024-4382-931D-E2B712607B78}" name="Column4069"/>
    <tableColumn id="4075" xr3:uid="{4FE5654C-DE49-4F09-A8C1-05956E05D066}" name="Column4070"/>
    <tableColumn id="4076" xr3:uid="{E89F6BBF-BE08-43CC-AD02-B39F0BAB51F8}" name="Column4071"/>
    <tableColumn id="4077" xr3:uid="{E3A6828D-BCF5-438F-AD72-7FE146EDED15}" name="Column4072"/>
    <tableColumn id="4078" xr3:uid="{8BD52AFA-84AA-4745-AF90-3658D66AFF77}" name="Column4073"/>
    <tableColumn id="4079" xr3:uid="{3D802EB8-10F0-4B5F-9880-F2E8C3C0AB10}" name="Column4074"/>
    <tableColumn id="4080" xr3:uid="{C6FFA544-454A-42EE-B9C0-8F53B6006EC0}" name="Column4075"/>
    <tableColumn id="4081" xr3:uid="{0FF0CD57-1D04-4C22-9554-212D8DF79399}" name="Column4076"/>
    <tableColumn id="4082" xr3:uid="{3C96B883-5352-4B53-B49A-06F7CB19E8B3}" name="Column4077"/>
    <tableColumn id="4083" xr3:uid="{580150C2-CF62-4959-9B61-D1D7E33654A9}" name="Column4078"/>
    <tableColumn id="4084" xr3:uid="{36C63E34-36F8-48E9-BC4F-BC4CAD8895D7}" name="Column4079"/>
    <tableColumn id="4085" xr3:uid="{2DF801DF-67FB-4D11-B0BF-121119850D28}" name="Column4080"/>
    <tableColumn id="4086" xr3:uid="{D15DCBF0-78F4-471D-B8DF-3E937AF9851D}" name="Column4081"/>
    <tableColumn id="4087" xr3:uid="{5FF0DCD3-7044-4EE9-9466-47E18B1623E5}" name="Column4082"/>
    <tableColumn id="4088" xr3:uid="{02B77FBB-FE4B-4B8E-AD5D-ED69DD487C54}" name="Column4083"/>
    <tableColumn id="4089" xr3:uid="{AE9DFB38-7B92-40C3-B9E7-2CB9B2837E91}" name="Column4084"/>
    <tableColumn id="4090" xr3:uid="{CF9CC84F-CE95-49EB-960C-F25E302DBB73}" name="Column4085"/>
    <tableColumn id="4091" xr3:uid="{A61D40B1-11CA-4EE1-B5BA-1880079F2ABC}" name="Column4086"/>
    <tableColumn id="4092" xr3:uid="{C531DFEB-6111-41D1-A26D-6414F2448C0D}" name="Column4087"/>
    <tableColumn id="4093" xr3:uid="{926C30F5-2E23-4289-8D70-2D7F2B2F6676}" name="Column4088"/>
    <tableColumn id="4094" xr3:uid="{59649BFC-2A50-4DB2-8D43-536EC2B58E65}" name="Column4089"/>
    <tableColumn id="4095" xr3:uid="{8485A128-C9F8-476B-B7BB-CEDBA0818587}" name="Column4090"/>
    <tableColumn id="4096" xr3:uid="{4A7264C1-4B76-4B99-A0D6-94EA0D4273FD}" name="Column4091"/>
    <tableColumn id="4097" xr3:uid="{AED04371-F563-4345-B6D2-52A3CDA0CC43}" name="Column4092"/>
    <tableColumn id="4098" xr3:uid="{66B6410C-2E33-4652-B0CA-E0436180C7A5}" name="Column4093"/>
    <tableColumn id="4099" xr3:uid="{80506B02-3374-47F6-8B88-1BC91F9F841A}" name="Column4094"/>
    <tableColumn id="4100" xr3:uid="{35C0D5A1-7FF7-40A4-B486-D2D5E983BCF8}" name="Column4095"/>
    <tableColumn id="4101" xr3:uid="{310F2904-6358-4EBB-9629-4F4DD49156B3}" name="Column4096"/>
    <tableColumn id="4102" xr3:uid="{3D763300-05DF-4909-AD51-BEA21EC727DC}" name="Column4097"/>
    <tableColumn id="4103" xr3:uid="{A41C21D4-4CAA-4C9A-867E-9F15C903CCB4}" name="Column4098"/>
    <tableColumn id="4104" xr3:uid="{A1282707-5772-4596-B586-E346FE7D8F51}" name="Column4099"/>
    <tableColumn id="4105" xr3:uid="{3415964B-5768-4916-BA47-3EA9AA8A39AB}" name="Column4100"/>
    <tableColumn id="4106" xr3:uid="{4D0B5ED6-21C3-49B3-AA2D-C48FC7BE5011}" name="Column4101"/>
    <tableColumn id="4107" xr3:uid="{398D7CF8-1749-4700-8C7A-515128A17F08}" name="Column4102"/>
    <tableColumn id="4108" xr3:uid="{BA1EA75B-4173-4962-A92D-102EBB4F2F6E}" name="Column4103"/>
    <tableColumn id="4109" xr3:uid="{A8B11EFF-F98E-4857-A3EC-BFC4CD2D3F16}" name="Column4104"/>
    <tableColumn id="4110" xr3:uid="{75B8D711-3E59-45E6-8496-7BD547FAA081}" name="Column4105"/>
    <tableColumn id="4111" xr3:uid="{55AAA178-B162-4104-A81E-9C376FD2C13F}" name="Column4106"/>
    <tableColumn id="4112" xr3:uid="{A5066EB5-77C4-4185-8924-7D89B17228CD}" name="Column4107"/>
    <tableColumn id="4113" xr3:uid="{C66A7D6C-E920-4EA3-97B3-2A613005DC21}" name="Column4108"/>
    <tableColumn id="4114" xr3:uid="{2F179BD2-C67F-4910-A76F-11A58E698CFC}" name="Column4109"/>
    <tableColumn id="4115" xr3:uid="{D3AB452B-31E9-4300-B1A1-132D22C53E1A}" name="Column4110"/>
    <tableColumn id="4116" xr3:uid="{B5BCBB16-9097-42DD-99FF-58EB1C9C0D2D}" name="Column4111"/>
    <tableColumn id="4117" xr3:uid="{DDDD5738-A228-432B-89DB-542909E87D9E}" name="Column4112"/>
    <tableColumn id="4118" xr3:uid="{E9559224-A13E-4174-BDCC-FE3B3863890C}" name="Column4113"/>
    <tableColumn id="4119" xr3:uid="{91A08D4B-2BBD-417C-901C-72C27FE212CC}" name="Column4114"/>
    <tableColumn id="4120" xr3:uid="{9FF08312-6068-4C39-8668-A8CCE5D22931}" name="Column4115"/>
    <tableColumn id="4121" xr3:uid="{142C2F85-3BA7-44D3-BC1F-92E4ED8E095C}" name="Column4116"/>
    <tableColumn id="4122" xr3:uid="{08F3A6DE-2E76-4C22-9BCC-D71054415870}" name="Column4117"/>
    <tableColumn id="4123" xr3:uid="{C6D3F8A5-EBB4-4F13-8631-C5C21379CAD4}" name="Column4118"/>
    <tableColumn id="4124" xr3:uid="{07A4083C-4833-4A71-AF15-638EB8350DB5}" name="Column4119"/>
    <tableColumn id="4125" xr3:uid="{6A94C5D9-0198-4E9B-ACD0-1CEE71E0E96D}" name="Column4120"/>
    <tableColumn id="4126" xr3:uid="{6E3B6B09-2735-4FDF-A617-DC33AB637E1C}" name="Column4121"/>
    <tableColumn id="4127" xr3:uid="{FBE3A68C-B396-402F-8117-09B68E05C7B9}" name="Column4122"/>
    <tableColumn id="4128" xr3:uid="{508DCE5C-CC24-43FF-8B9A-62557647A1B3}" name="Column4123"/>
    <tableColumn id="4129" xr3:uid="{D2349277-A408-41AF-826B-E5A543D2D66C}" name="Column4124"/>
    <tableColumn id="4130" xr3:uid="{48AD2B77-B577-4856-B910-03EA2FC6665D}" name="Column4125"/>
    <tableColumn id="4131" xr3:uid="{56C91156-52C6-49B8-BD8A-05780FB32115}" name="Column4126"/>
    <tableColumn id="4132" xr3:uid="{103FD60F-8937-4EA1-9E12-4244FB120C63}" name="Column4127"/>
    <tableColumn id="4133" xr3:uid="{2A288F4A-2527-44F8-86FF-39F7A671E3BB}" name="Column4128"/>
    <tableColumn id="4134" xr3:uid="{35A8B36D-44E4-4392-8A07-3FA980037A63}" name="Column4129"/>
    <tableColumn id="4135" xr3:uid="{0518CFD7-1376-42CC-9474-A70EF9AD2BF0}" name="Column4130"/>
    <tableColumn id="4136" xr3:uid="{FF32DA40-E35E-4D4A-B3DB-72C85F2BE7A0}" name="Column4131"/>
    <tableColumn id="4137" xr3:uid="{5FAEC438-4011-405D-9BFC-5FFF94DA694D}" name="Column4132"/>
    <tableColumn id="4138" xr3:uid="{3E40A738-7486-42F4-82CC-04EB7856BF2F}" name="Column4133"/>
    <tableColumn id="4139" xr3:uid="{C9EC2ED4-6A4E-474B-B919-17CC6170A253}" name="Column4134"/>
    <tableColumn id="4140" xr3:uid="{3E5429B9-BEA6-42FD-AE95-9179BB84A56A}" name="Column4135"/>
    <tableColumn id="4141" xr3:uid="{38F7E3F2-6E81-48E9-BD3C-E8177D5AC2C8}" name="Column4136"/>
    <tableColumn id="4142" xr3:uid="{E31AD6BC-F669-449F-BBD1-B3830100F935}" name="Column4137"/>
    <tableColumn id="4143" xr3:uid="{2F90E454-A105-43D2-9898-443812614762}" name="Column4138"/>
    <tableColumn id="4144" xr3:uid="{3D8283FD-2DEB-420F-8695-0B0E1C59B70E}" name="Column4139"/>
    <tableColumn id="4145" xr3:uid="{ECAFB4EA-E3BA-4BC7-9DA5-28DC93570FCC}" name="Column4140"/>
    <tableColumn id="4146" xr3:uid="{8FAF980E-4B27-4FF9-8755-1B893251DD3E}" name="Column4141"/>
    <tableColumn id="4147" xr3:uid="{879073BB-990A-4DC0-BCAA-7F70B26D3A8A}" name="Column4142"/>
    <tableColumn id="4148" xr3:uid="{D2CBE516-D469-4165-8EAB-02256BA26A7B}" name="Column4143"/>
    <tableColumn id="4149" xr3:uid="{449FD0F4-03CC-4513-9DCE-6187D6B29D29}" name="Column4144"/>
    <tableColumn id="4150" xr3:uid="{85156AF0-C1E8-4392-B544-FD179B58BDB6}" name="Column4145"/>
    <tableColumn id="4151" xr3:uid="{3DB125C8-0425-4826-9BD6-09185BE35C1E}" name="Column4146"/>
    <tableColumn id="4152" xr3:uid="{A9F41216-3389-4EB6-A832-3CEBBD0D8096}" name="Column4147"/>
    <tableColumn id="4153" xr3:uid="{C7C57D02-FD8B-4A1C-8EE4-C4A241294913}" name="Column4148"/>
    <tableColumn id="4154" xr3:uid="{183CA7EF-D5CB-4C89-83BD-C2B27E0229B8}" name="Column4149"/>
    <tableColumn id="4155" xr3:uid="{325575E7-6EE3-4FB7-84D5-CA7F6E527D6F}" name="Column4150"/>
    <tableColumn id="4156" xr3:uid="{0D8BED42-52A9-4904-9AF9-718743E4E490}" name="Column4151"/>
    <tableColumn id="4157" xr3:uid="{B17AD072-799C-4071-A464-CD3B81BA71F6}" name="Column4152"/>
    <tableColumn id="4158" xr3:uid="{5579B959-482C-4B2B-99C5-312648019113}" name="Column4153"/>
    <tableColumn id="4159" xr3:uid="{A3C84079-CF4E-4158-A2A1-5C3B361D6127}" name="Column4154"/>
    <tableColumn id="4160" xr3:uid="{A79780A5-9752-46AC-AFF1-B806CC33BCFE}" name="Column4155"/>
    <tableColumn id="4161" xr3:uid="{344813CD-E28E-4048-BB09-5BAC6DB993B3}" name="Column4156"/>
    <tableColumn id="4162" xr3:uid="{D6E36125-6921-4503-A32D-953522AF679F}" name="Column4157"/>
    <tableColumn id="4163" xr3:uid="{DACEC6C2-C882-4B17-AF9E-6055D80A4DC7}" name="Column4158"/>
    <tableColumn id="4164" xr3:uid="{1D02DA41-A28C-4BBF-9900-F3A6138E6900}" name="Column4159"/>
    <tableColumn id="4165" xr3:uid="{16C3D984-9707-4745-B880-226112142B21}" name="Column4160"/>
    <tableColumn id="4166" xr3:uid="{3374032E-B507-4E15-9665-F3158A66F51E}" name="Column4161"/>
    <tableColumn id="4167" xr3:uid="{6A17D4B3-B6DF-45F1-A126-70A6B6B84F37}" name="Column4162"/>
    <tableColumn id="4168" xr3:uid="{F3E8D649-EFF6-451B-8BED-42C544C98543}" name="Column4163"/>
    <tableColumn id="4169" xr3:uid="{2C7B03B8-C553-465C-A2EC-E5BB4E6DF2DD}" name="Column4164"/>
    <tableColumn id="4170" xr3:uid="{7EE899BA-D21D-4AAF-BEF0-AA2D5A82E669}" name="Column4165"/>
    <tableColumn id="4171" xr3:uid="{3D7C7904-45E8-402E-B0DC-90EAAFB18BE1}" name="Column4166"/>
    <tableColumn id="4172" xr3:uid="{FD6BAC14-154F-4836-85BF-0C861BCAC4D7}" name="Column4167"/>
    <tableColumn id="4173" xr3:uid="{66FA8212-DD91-48FB-89C2-75FFF1DFE189}" name="Column4168"/>
    <tableColumn id="4174" xr3:uid="{429C9487-37F8-4A0E-B6FE-45E7517BBC96}" name="Column4169"/>
    <tableColumn id="4175" xr3:uid="{C8ED81E5-1432-4AB7-9595-A2638FC676EC}" name="Column4170"/>
    <tableColumn id="4176" xr3:uid="{39C995DC-67A7-48F1-BD00-8C3DF6EED8DB}" name="Column4171"/>
    <tableColumn id="4177" xr3:uid="{7D58F99C-338E-432D-BCEB-8F7A38019548}" name="Column4172"/>
    <tableColumn id="4178" xr3:uid="{E3C9EDFA-93F1-4CAA-9C5F-F86F2DFD8DFE}" name="Column4173"/>
    <tableColumn id="4179" xr3:uid="{69403C8F-DF7A-4DC9-A80E-E848E41C30F5}" name="Column4174"/>
    <tableColumn id="4180" xr3:uid="{858628B0-C267-4027-AE13-7C70EF6758F0}" name="Column4175"/>
    <tableColumn id="4181" xr3:uid="{C6E4205F-4F30-491D-A7FF-C82A8206C8BE}" name="Column4176"/>
    <tableColumn id="4182" xr3:uid="{5BD07DF4-C4D5-4AD7-9B2E-E866CE22ED7E}" name="Column4177"/>
    <tableColumn id="4183" xr3:uid="{094783F7-99D5-4444-8B9C-37370F2D25FD}" name="Column4178"/>
    <tableColumn id="4184" xr3:uid="{71585602-1A72-42C4-8EEE-96D0F8E9920A}" name="Column4179"/>
    <tableColumn id="4185" xr3:uid="{6D4DF042-618D-443A-9845-62763F689216}" name="Column4180"/>
    <tableColumn id="4186" xr3:uid="{FBBDCEF8-77A4-4EF6-84A0-DB30B45254D3}" name="Column4181"/>
    <tableColumn id="4187" xr3:uid="{30687FC0-976A-49A3-B5AD-40EFE51C4990}" name="Column4182"/>
    <tableColumn id="4188" xr3:uid="{9C3FF59B-9693-40BB-812F-1489610C42CC}" name="Column4183"/>
    <tableColumn id="4189" xr3:uid="{F100DAC2-313D-4578-AD31-5D1047B05EA3}" name="Column4184"/>
    <tableColumn id="4190" xr3:uid="{143A5DAA-C5B5-4227-B116-E3A276F5A483}" name="Column4185"/>
    <tableColumn id="4191" xr3:uid="{54E8165A-7A57-445C-BD7A-0A434315B3F8}" name="Column4186"/>
    <tableColumn id="4192" xr3:uid="{0AC2168E-0489-4683-9123-73FBA86C4FB8}" name="Column4187"/>
    <tableColumn id="4193" xr3:uid="{7CCD06B2-9D9B-43A6-9613-576BBC414E87}" name="Column4188"/>
    <tableColumn id="4194" xr3:uid="{B2EDD605-1BC8-478E-AF71-9A716EEC099B}" name="Column4189"/>
    <tableColumn id="4195" xr3:uid="{DF8A3DE5-43B7-4E2F-BC56-AA314901D328}" name="Column4190"/>
    <tableColumn id="4196" xr3:uid="{7D145B99-2D5D-40E8-AC9D-2974D0ADCF28}" name="Column4191"/>
    <tableColumn id="4197" xr3:uid="{7B4E6849-9137-40CA-BE9D-CF3F49905628}" name="Column4192"/>
    <tableColumn id="4198" xr3:uid="{5C1DE37B-DDA3-47DC-9333-19A1314BB8E6}" name="Column4193"/>
    <tableColumn id="4199" xr3:uid="{E9090C96-6231-458E-B879-383291E7411C}" name="Column4194"/>
    <tableColumn id="4200" xr3:uid="{15FA8147-2BA6-40B6-86E6-C5AF0C000D9B}" name="Column4195"/>
    <tableColumn id="4201" xr3:uid="{904C9F56-11C0-4D23-BDD5-84A06BB25A62}" name="Column4196"/>
    <tableColumn id="4202" xr3:uid="{CD16D91E-F6DE-48F8-82C4-C82317065ED9}" name="Column4197"/>
    <tableColumn id="4203" xr3:uid="{E9210029-A8D3-43F9-9A57-134E28D6FB78}" name="Column4198"/>
    <tableColumn id="4204" xr3:uid="{C098D214-E956-4555-9D12-373C86533224}" name="Column4199"/>
    <tableColumn id="4205" xr3:uid="{8B8F93A1-809E-4FCF-A5C8-A15B793D99F0}" name="Column4200"/>
    <tableColumn id="4206" xr3:uid="{C6435D35-24A3-4256-80AF-7D41A7AC5334}" name="Column4201"/>
    <tableColumn id="4207" xr3:uid="{4DE0EE4F-885D-42E3-9E73-DC0DF376EB91}" name="Column4202"/>
    <tableColumn id="4208" xr3:uid="{D824B7A8-CD2E-48C1-BCAC-84502E27EA4E}" name="Column4203"/>
    <tableColumn id="4209" xr3:uid="{91744C4E-46CE-4103-ABAE-580DB9FF1E8D}" name="Column4204"/>
    <tableColumn id="4210" xr3:uid="{81F75246-1390-4C2E-9292-145C284FA4F7}" name="Column4205"/>
    <tableColumn id="4211" xr3:uid="{5C4E9796-1F3E-4B4D-A087-FBC607B342A7}" name="Column4206"/>
    <tableColumn id="4212" xr3:uid="{BEFA4BA2-368D-40CB-863D-F0407E7A9D3F}" name="Column4207"/>
    <tableColumn id="4213" xr3:uid="{1CE6FAEB-F1CE-4F5D-AFC2-494FCC63D302}" name="Column4208"/>
    <tableColumn id="4214" xr3:uid="{AFE98CA5-F626-4273-8232-6C6D49AB4755}" name="Column4209"/>
    <tableColumn id="4215" xr3:uid="{B8961DAA-AF4F-4473-8911-E73809E74818}" name="Column4210"/>
    <tableColumn id="4216" xr3:uid="{3F3997AF-921C-4C7D-BA75-18A12A5786E2}" name="Column4211"/>
    <tableColumn id="4217" xr3:uid="{C9741818-287C-4C8E-AE35-60F2BB1C2E74}" name="Column4212"/>
    <tableColumn id="4218" xr3:uid="{5123D12E-A193-447A-9AF0-819DA0ED51DF}" name="Column4213"/>
    <tableColumn id="4219" xr3:uid="{FB0F3E69-2AC4-40B6-A6D9-7854F0D4287F}" name="Column4214"/>
    <tableColumn id="4220" xr3:uid="{07EA0C99-CC42-4156-8CDE-99065D2A10F0}" name="Column4215"/>
    <tableColumn id="4221" xr3:uid="{8D211B93-1488-473D-83F6-1BA67DC483C1}" name="Column4216"/>
    <tableColumn id="4222" xr3:uid="{56864286-8767-4E25-AD4F-C633A432DB80}" name="Column4217"/>
    <tableColumn id="4223" xr3:uid="{052BE2BC-FBF4-474B-9F85-3A1B011A2A8F}" name="Column4218"/>
    <tableColumn id="4224" xr3:uid="{4A1E6A1F-2666-4AB1-B6EA-2C0112F4BDDB}" name="Column4219"/>
    <tableColumn id="4225" xr3:uid="{325F4457-7724-4D0B-9D29-10E30D02696C}" name="Column4220"/>
    <tableColumn id="4226" xr3:uid="{CF333DD4-F160-4768-8054-556449F1E305}" name="Column4221"/>
    <tableColumn id="4227" xr3:uid="{596D0206-1B09-4C92-ADBE-5DD10B6265FF}" name="Column4222"/>
    <tableColumn id="4228" xr3:uid="{5BBDC5E4-2AFF-4A4F-B903-11D7E7C9845E}" name="Column4223"/>
    <tableColumn id="4229" xr3:uid="{01FBBA7C-3300-4F93-ACB9-E6F8440048F9}" name="Column4224"/>
    <tableColumn id="4230" xr3:uid="{561283A9-0521-48FE-9139-24843953A2D4}" name="Column4225"/>
    <tableColumn id="4231" xr3:uid="{2E99A664-CF08-4C24-899F-65A04A0DAE93}" name="Column4226"/>
    <tableColumn id="4232" xr3:uid="{CC29231D-0212-4969-940B-7C8AB503853E}" name="Column4227"/>
    <tableColumn id="4233" xr3:uid="{950CEFD1-072D-418B-B5D1-CDB8BC9F9E6C}" name="Column4228"/>
    <tableColumn id="4234" xr3:uid="{FCAB34BA-55E1-4533-9CB1-463B1C8ADB6E}" name="Column4229"/>
    <tableColumn id="4235" xr3:uid="{86D76EF6-8548-40BC-AA74-8CAE713FC0AC}" name="Column4230"/>
    <tableColumn id="4236" xr3:uid="{B750554B-F344-4538-A96D-5B92D001C1AF}" name="Column4231"/>
    <tableColumn id="4237" xr3:uid="{561F2801-FFA9-4315-BC07-D8A6D009C251}" name="Column4232"/>
    <tableColumn id="4238" xr3:uid="{61649B4A-5386-44AE-B383-934B71300D7A}" name="Column4233"/>
    <tableColumn id="4239" xr3:uid="{5CEC0050-FFE9-46AE-84C3-FCC99A5AF484}" name="Column4234"/>
    <tableColumn id="4240" xr3:uid="{47D3E29B-3C48-4CA2-BC1F-6B44F481897C}" name="Column4235"/>
    <tableColumn id="4241" xr3:uid="{50702FFF-ADBE-442C-990E-FADC9A43F517}" name="Column4236"/>
    <tableColumn id="4242" xr3:uid="{E704F97B-C90D-4A25-BCFB-9A42FB086AC9}" name="Column4237"/>
    <tableColumn id="4243" xr3:uid="{7A8182CB-F308-44D9-87AC-78E7603D3E0B}" name="Column4238"/>
    <tableColumn id="4244" xr3:uid="{46B3AD45-8B08-421A-BDD9-13A136649A32}" name="Column4239"/>
    <tableColumn id="4245" xr3:uid="{C6C4FF1D-107C-47BC-A214-2E4461D8CD2E}" name="Column4240"/>
    <tableColumn id="4246" xr3:uid="{34F0573F-7207-4DAC-B5C2-6A56F2ED8125}" name="Column4241"/>
    <tableColumn id="4247" xr3:uid="{443103CF-ABA8-447B-8C75-583B37055EDB}" name="Column4242"/>
    <tableColumn id="4248" xr3:uid="{C30EA8CB-34CB-4FE1-87CE-784173B063EA}" name="Column4243"/>
    <tableColumn id="4249" xr3:uid="{4B728851-10BB-4971-9921-5623FFB3658C}" name="Column4244"/>
    <tableColumn id="4250" xr3:uid="{6FA57A18-553A-4201-A497-955E578F3A0D}" name="Column4245"/>
    <tableColumn id="4251" xr3:uid="{E970CE01-3EFE-4918-A069-D1ED9B5F987C}" name="Column4246"/>
    <tableColumn id="4252" xr3:uid="{9B956575-9218-4267-B212-3E5E5ACE0DB9}" name="Column4247"/>
    <tableColumn id="4253" xr3:uid="{B3530FE1-B9EB-4164-9D65-B44A66577BCA}" name="Column4248"/>
    <tableColumn id="4254" xr3:uid="{2D773D58-191C-40BF-AED9-C9267D40FF70}" name="Column4249"/>
    <tableColumn id="4255" xr3:uid="{CA00F2B0-8B14-497D-9788-7E25F4749594}" name="Column4250"/>
    <tableColumn id="4256" xr3:uid="{52702198-E2AC-40AD-A576-FBB38FCD0C87}" name="Column4251"/>
    <tableColumn id="4257" xr3:uid="{851DC190-F1C2-4B7D-BD5D-379172648F9A}" name="Column4252"/>
    <tableColumn id="4258" xr3:uid="{D29DDAB4-CC45-4578-9057-2D4DA2B14F0B}" name="Column4253"/>
    <tableColumn id="4259" xr3:uid="{0E543027-E663-43D6-93B5-0EA5E6F92F6C}" name="Column4254"/>
    <tableColumn id="4260" xr3:uid="{B3333D5B-AE56-4C6A-9348-5C24DFC73645}" name="Column4255"/>
    <tableColumn id="4261" xr3:uid="{3A9A76F3-8A47-4675-9CEF-DD5FADFD3B3E}" name="Column4256"/>
    <tableColumn id="4262" xr3:uid="{1A2A4796-A514-441A-8D7D-D31948D0196E}" name="Column4257"/>
    <tableColumn id="4263" xr3:uid="{7B1FF0E9-4E0F-48F7-BCC8-30A40FDB3101}" name="Column4258"/>
    <tableColumn id="4264" xr3:uid="{F49F1AD7-6B1A-4898-BF73-E23CD4A9C187}" name="Column4259"/>
    <tableColumn id="4265" xr3:uid="{E227743C-0A8C-4FBD-84F2-409F12472CB6}" name="Column4260"/>
    <tableColumn id="4266" xr3:uid="{5AA77324-4D6B-44F8-99C9-6F88D5CF11FA}" name="Column4261"/>
    <tableColumn id="4267" xr3:uid="{81306B6E-BDA5-48B4-8D06-3527E80E6E8C}" name="Column4262"/>
    <tableColumn id="4268" xr3:uid="{7858E448-AF57-4427-8921-92D32D0E8F53}" name="Column4263"/>
    <tableColumn id="4269" xr3:uid="{AD0BAA54-A489-414C-93E9-EAE9C87D7417}" name="Column4264"/>
    <tableColumn id="4270" xr3:uid="{7D2FB066-BD21-438D-BA5C-F38CD7CDF35C}" name="Column4265"/>
    <tableColumn id="4271" xr3:uid="{3571DE83-E68A-499A-8096-1A6D4C37450F}" name="Column4266"/>
    <tableColumn id="4272" xr3:uid="{BC01BF92-5898-4D5C-963B-5314ABAB0F19}" name="Column4267"/>
    <tableColumn id="4273" xr3:uid="{C4C820C3-E3B6-4B6C-A9B8-5523E7CD35CA}" name="Column4268"/>
    <tableColumn id="4274" xr3:uid="{93070B66-1C93-4362-8038-7EAF26840430}" name="Column4269"/>
    <tableColumn id="4275" xr3:uid="{5D89110E-B2CE-485B-87BD-EE92CB7AD65C}" name="Column4270"/>
    <tableColumn id="4276" xr3:uid="{B5A27349-4CAA-46E0-8DF3-EB86538BC79C}" name="Column4271"/>
    <tableColumn id="4277" xr3:uid="{D48F6240-666E-413C-BD5A-92EB7BA0F580}" name="Column4272"/>
    <tableColumn id="4278" xr3:uid="{60948DAF-2E63-47EE-A9C0-257C8A0E4B75}" name="Column4273"/>
    <tableColumn id="4279" xr3:uid="{75B36F47-27BB-4A18-B4DC-3FEE3AB3ECAA}" name="Column4274"/>
    <tableColumn id="4280" xr3:uid="{E84F8BA0-E69E-479E-BA7A-AC0CA4653FBC}" name="Column4275"/>
    <tableColumn id="4281" xr3:uid="{2FCE6B51-ADEA-4EF6-9E3D-500512BCB887}" name="Column4276"/>
    <tableColumn id="4282" xr3:uid="{D6B0FA5C-3C65-409B-A447-9E72CFEC7C04}" name="Column4277"/>
    <tableColumn id="4283" xr3:uid="{022B7788-2288-4D08-BE36-C71BE15CC8D1}" name="Column4278"/>
    <tableColumn id="4284" xr3:uid="{C93FB3BA-9DBF-4D36-B561-44EAEDACC1DE}" name="Column4279"/>
    <tableColumn id="4285" xr3:uid="{D79E6DE2-2889-4743-9CDC-A3C8092DF2D4}" name="Column4280"/>
    <tableColumn id="4286" xr3:uid="{934FCB59-07F1-49FB-85C1-113207A32D32}" name="Column4281"/>
    <tableColumn id="4287" xr3:uid="{5EEAF021-7857-4AAE-8E19-C5F9B4637088}" name="Column4282"/>
    <tableColumn id="4288" xr3:uid="{28515507-2E84-42D1-92BA-3653AB443097}" name="Column4283"/>
    <tableColumn id="4289" xr3:uid="{0FBA35FE-3645-4F81-B537-4E4D7E54790B}" name="Column4284"/>
    <tableColumn id="4290" xr3:uid="{386A3C71-03D2-4AD9-B631-F113D22CEBA6}" name="Column4285"/>
    <tableColumn id="4291" xr3:uid="{D4872FB0-7626-4F71-91A4-C6FB39835680}" name="Column4286"/>
    <tableColumn id="4292" xr3:uid="{5CB00368-695E-4EDD-887D-CBF8470FC899}" name="Column4287"/>
    <tableColumn id="4293" xr3:uid="{EFE0FC52-DFC5-4EB3-B051-715B0FDA6DAF}" name="Column4288"/>
    <tableColumn id="4294" xr3:uid="{22510E7D-5C5A-4C59-8723-5822FB667271}" name="Column4289"/>
    <tableColumn id="4295" xr3:uid="{37560F90-585B-4927-8777-1BAA258D8826}" name="Column4290"/>
    <tableColumn id="4296" xr3:uid="{5A9B65A2-2601-4964-9843-51529C7A178D}" name="Column4291"/>
    <tableColumn id="4297" xr3:uid="{07D886F7-A9DD-4E3B-AFDD-5E4B34F79A3E}" name="Column4292"/>
    <tableColumn id="4298" xr3:uid="{663F90F0-2DE5-49DB-B4A9-BF0D2EA212C3}" name="Column4293"/>
    <tableColumn id="4299" xr3:uid="{9407FF53-FF7A-4B00-B7C4-AACA24666F0D}" name="Column4294"/>
    <tableColumn id="4300" xr3:uid="{03152C27-CDAD-4D38-9EC8-57D21FBCACCD}" name="Column4295"/>
    <tableColumn id="4301" xr3:uid="{F6BC61BD-C730-49A2-9C9E-4DCD790E897F}" name="Column4296"/>
    <tableColumn id="4302" xr3:uid="{815629B2-FDC8-432D-B6BF-AF2C42C0AFE6}" name="Column4297"/>
    <tableColumn id="4303" xr3:uid="{4E9110FF-7324-4D7B-91A6-ED3ED4D10407}" name="Column4298"/>
    <tableColumn id="4304" xr3:uid="{B34EDCA7-8AC0-49D8-A170-8EF597616A1F}" name="Column4299"/>
    <tableColumn id="4305" xr3:uid="{405CE13E-BEA9-4FEA-9F5E-E4098ACA2C44}" name="Column4300"/>
    <tableColumn id="4306" xr3:uid="{9349C7F3-8F43-40DD-BF5F-EB6E95A20524}" name="Column4301"/>
    <tableColumn id="4307" xr3:uid="{FA7C02AD-2B27-4354-901B-57F13011F180}" name="Column4302"/>
    <tableColumn id="4308" xr3:uid="{3AFFD940-DAAC-44C6-8833-CF26861A78CD}" name="Column4303"/>
    <tableColumn id="4309" xr3:uid="{59B7E854-C38C-4B34-B5A5-CF9F08C89371}" name="Column4304"/>
    <tableColumn id="4310" xr3:uid="{8F95431A-52D3-4595-8164-AE9C70521337}" name="Column4305"/>
    <tableColumn id="4311" xr3:uid="{73BC2E8F-EFB9-4AED-B85A-1DC4E5A5B756}" name="Column4306"/>
    <tableColumn id="4312" xr3:uid="{68858987-CCCE-4B83-961C-BDC10E76603D}" name="Column4307"/>
    <tableColumn id="4313" xr3:uid="{68AE2FE2-6897-47DD-AF47-EE3C41D01395}" name="Column4308"/>
    <tableColumn id="4314" xr3:uid="{C3669378-A852-4496-8615-F57D9883B414}" name="Column4309"/>
    <tableColumn id="4315" xr3:uid="{56F0F8A0-7380-41E0-BAE9-5442FFCE7E00}" name="Column4310"/>
    <tableColumn id="4316" xr3:uid="{40097BA1-9872-44AC-8F23-D3037199578B}" name="Column4311"/>
    <tableColumn id="4317" xr3:uid="{5695A77D-A9D7-42CF-8377-E8A847A4BD5C}" name="Column4312"/>
    <tableColumn id="4318" xr3:uid="{479C2CC3-7E6E-4AE4-81D9-B2207EA8E31B}" name="Column4313"/>
    <tableColumn id="4319" xr3:uid="{B1A739B7-C496-4504-B432-7ABF2B866887}" name="Column4314"/>
    <tableColumn id="4320" xr3:uid="{28D37218-C8DB-446F-9B5E-7D78F376AEA4}" name="Column4315"/>
    <tableColumn id="4321" xr3:uid="{FDF82567-9394-4C46-AF1B-45936C9D829B}" name="Column4316"/>
    <tableColumn id="4322" xr3:uid="{EA803DAA-A3C6-4587-AFB8-34630FCBCD67}" name="Column4317"/>
    <tableColumn id="4323" xr3:uid="{21124B48-8C83-4331-A8DB-29E302F503BF}" name="Column4318"/>
    <tableColumn id="4324" xr3:uid="{F2CBBEA3-043B-4C57-92A8-9C8ABF60105A}" name="Column4319"/>
    <tableColumn id="4325" xr3:uid="{46F97E69-8887-4077-8162-87B74B3810D7}" name="Column4320"/>
    <tableColumn id="4326" xr3:uid="{DD264285-2BFB-4541-AE60-3C23FA8472BC}" name="Column4321"/>
    <tableColumn id="4327" xr3:uid="{F290C33E-123E-4162-B0E8-2FD317D596C3}" name="Column4322"/>
    <tableColumn id="4328" xr3:uid="{A8E2519B-D531-41B9-85C9-CCBB1EC02784}" name="Column4323"/>
    <tableColumn id="4329" xr3:uid="{BEDE64CE-2889-4A0E-8DEC-C1C5F1226D18}" name="Column4324"/>
    <tableColumn id="4330" xr3:uid="{EADACCCD-14D5-4675-9419-40BD3EBC0452}" name="Column4325"/>
    <tableColumn id="4331" xr3:uid="{F7B39BAA-8280-47FB-84BF-3AD692077D3E}" name="Column4326"/>
    <tableColumn id="4332" xr3:uid="{C1B1FEAA-C9B2-424D-BC2B-3D257DB1BFD0}" name="Column4327"/>
    <tableColumn id="4333" xr3:uid="{EDA30CD3-E946-43F7-B92A-55AF3810A6EA}" name="Column4328"/>
    <tableColumn id="4334" xr3:uid="{AC8CC69C-7F7F-4D27-B74F-39CD133F2A1B}" name="Column4329"/>
    <tableColumn id="4335" xr3:uid="{55CA65D2-743C-459E-B2B3-8758AD90B4E3}" name="Column4330"/>
    <tableColumn id="4336" xr3:uid="{019E908C-26D2-459F-9553-D0D51C2BFCAC}" name="Column4331"/>
    <tableColumn id="4337" xr3:uid="{369D40C6-5E86-4989-95A5-95FC3C2EC2F3}" name="Column4332"/>
    <tableColumn id="4338" xr3:uid="{549C161B-2463-4579-9272-637420FE190C}" name="Column4333"/>
    <tableColumn id="4339" xr3:uid="{500B664D-12B0-4FEF-B406-9C17BA06F386}" name="Column4334"/>
    <tableColumn id="4340" xr3:uid="{031F8C94-9ADE-4C30-8F91-249ADE5EA0DA}" name="Column4335"/>
    <tableColumn id="4341" xr3:uid="{DB8FDE6A-9471-44BD-8876-6402FA3F22E8}" name="Column4336"/>
    <tableColumn id="4342" xr3:uid="{DA7FCA5F-49C1-4C9B-86CB-4CD156A0FFE5}" name="Column4337"/>
    <tableColumn id="4343" xr3:uid="{2DB99A22-0BED-46B3-9059-F6CE371AF280}" name="Column4338"/>
    <tableColumn id="4344" xr3:uid="{E8E6F413-C33D-4C0A-BF78-7616B870206C}" name="Column4339"/>
    <tableColumn id="4345" xr3:uid="{C5D1093F-D945-441B-BB71-12B55A1FC658}" name="Column4340"/>
    <tableColumn id="4346" xr3:uid="{F6D20759-F9CB-46E5-90AA-63BE2ABB71D5}" name="Column4341"/>
    <tableColumn id="4347" xr3:uid="{8C4D1EBB-2A61-428E-BF5A-B864AFDE1E52}" name="Column4342"/>
    <tableColumn id="4348" xr3:uid="{8B7E8CB3-8CD5-4E7B-8368-FD9B430CF683}" name="Column4343"/>
    <tableColumn id="4349" xr3:uid="{95E9463A-A111-4F84-8426-E9A57616E81E}" name="Column4344"/>
    <tableColumn id="4350" xr3:uid="{8642C884-FCF8-4520-99F6-11B048C17FB3}" name="Column4345"/>
    <tableColumn id="4351" xr3:uid="{C5E81FDD-0CE6-42B6-B5A9-E9CC7BE20684}" name="Column4346"/>
    <tableColumn id="4352" xr3:uid="{AF48CDF6-B467-447C-A8A3-467B041FFF47}" name="Column4347"/>
    <tableColumn id="4353" xr3:uid="{3A3C9E7C-4046-49F2-83FF-1FE0857B9D01}" name="Column4348"/>
    <tableColumn id="4354" xr3:uid="{AA22B11C-D73C-48E9-AC77-3F4FA9F527D3}" name="Column4349"/>
    <tableColumn id="4355" xr3:uid="{45D8F8FC-0BBE-4585-849D-9D8DF505DD1A}" name="Column4350"/>
    <tableColumn id="4356" xr3:uid="{4A4C30BC-569F-4AE5-908D-097D89E074A3}" name="Column4351"/>
    <tableColumn id="4357" xr3:uid="{33B27937-84A9-4105-8DCF-8453B24244AD}" name="Column4352"/>
    <tableColumn id="4358" xr3:uid="{7E604F08-58F6-49AE-B6E5-02F87CDBC49B}" name="Column4353"/>
    <tableColumn id="4359" xr3:uid="{46CD9E16-83EF-46BB-914B-E07E206EEFE1}" name="Column4354"/>
    <tableColumn id="4360" xr3:uid="{05478410-3C74-49E5-B813-664678C06B79}" name="Column4355"/>
    <tableColumn id="4361" xr3:uid="{54ACA216-ABB6-44FC-B34E-E673AC514A36}" name="Column4356"/>
    <tableColumn id="4362" xr3:uid="{C37ED3CB-2A0C-4C63-8DDB-7C6D4ED74FFD}" name="Column4357"/>
    <tableColumn id="4363" xr3:uid="{C4A68EAE-A3D8-4B95-970E-4DDB76F251D7}" name="Column4358"/>
    <tableColumn id="4364" xr3:uid="{C6DCCDA9-D2F0-47C6-B2F8-A2E348163C00}" name="Column4359"/>
    <tableColumn id="4365" xr3:uid="{E7613EBA-2C3F-484B-867D-35861C723471}" name="Column4360"/>
    <tableColumn id="4366" xr3:uid="{2BD2D730-6741-431F-BD25-278149E303C9}" name="Column4361"/>
    <tableColumn id="4367" xr3:uid="{878A3B8F-894B-42C7-A78C-05422F3753F3}" name="Column4362"/>
    <tableColumn id="4368" xr3:uid="{143B549D-22CF-45CC-AAB0-5AF6C29EECC4}" name="Column4363"/>
    <tableColumn id="4369" xr3:uid="{4D716095-ECD9-47DD-9324-077D7319A570}" name="Column4364"/>
    <tableColumn id="4370" xr3:uid="{799EF6C3-E4B6-4926-B246-5031ABF1F554}" name="Column4365"/>
    <tableColumn id="4371" xr3:uid="{AB88B6B8-25BE-4530-9658-E13F84AE4830}" name="Column4366"/>
    <tableColumn id="4372" xr3:uid="{502A476E-40AE-4FD8-9A3E-AA65581D0662}" name="Column4367"/>
    <tableColumn id="4373" xr3:uid="{CEEA14AE-2573-4E6E-9013-4CCEC05EDD2B}" name="Column4368"/>
    <tableColumn id="4374" xr3:uid="{1D92234E-379A-4B79-A8EC-ED0A6B4C3BA1}" name="Column4369"/>
    <tableColumn id="4375" xr3:uid="{E4F0DA30-4022-4D84-8610-8827DB3CE353}" name="Column4370"/>
    <tableColumn id="4376" xr3:uid="{7C9A35EB-5388-4679-B613-66A1EC2914CE}" name="Column4371"/>
    <tableColumn id="4377" xr3:uid="{B69BDFAD-D952-4DD5-A15C-FFE3FBADF2DB}" name="Column4372"/>
    <tableColumn id="4378" xr3:uid="{42E22E07-A9C4-4410-B03D-E120035639C1}" name="Column4373"/>
    <tableColumn id="4379" xr3:uid="{EC81257D-DB7C-49FB-9FBF-FA3D3618E142}" name="Column4374"/>
    <tableColumn id="4380" xr3:uid="{E8A56A77-3BC0-474E-8B80-5A683860F012}" name="Column4375"/>
    <tableColumn id="4381" xr3:uid="{86B9201F-184B-4EF3-A1DA-921DB4AC2809}" name="Column4376"/>
    <tableColumn id="4382" xr3:uid="{664D1527-83F0-49FB-9FA5-531AB805863F}" name="Column4377"/>
    <tableColumn id="4383" xr3:uid="{8CA4E36E-98DB-46F2-B91E-83C928BE65DB}" name="Column4378"/>
    <tableColumn id="4384" xr3:uid="{89982A0E-59B0-418E-A03D-491A44A14F7F}" name="Column4379"/>
    <tableColumn id="4385" xr3:uid="{53721284-5B08-4D72-9C4E-EBFEFD63143F}" name="Column4380"/>
    <tableColumn id="4386" xr3:uid="{8090B147-F86A-4D52-A2C0-F6FBF627C400}" name="Column4381"/>
    <tableColumn id="4387" xr3:uid="{8B73CDDB-0467-42C8-845B-CEC8A7FA1568}" name="Column4382"/>
    <tableColumn id="4388" xr3:uid="{8EB04FD8-5D9F-4840-A272-F220E5C718C8}" name="Column4383"/>
    <tableColumn id="4389" xr3:uid="{10E0EB83-9E04-4CC1-861E-3E3609D2A355}" name="Column4384"/>
    <tableColumn id="4390" xr3:uid="{22ECB31A-631C-47C4-97CA-9016A9E34FDC}" name="Column4385"/>
    <tableColumn id="4391" xr3:uid="{BBF22612-153C-4C25-A12E-4EF657B22FD5}" name="Column4386"/>
    <tableColumn id="4392" xr3:uid="{F4D64014-3257-4193-9C71-A8FFB942A6E3}" name="Column4387"/>
    <tableColumn id="4393" xr3:uid="{30803310-B2F9-4CCF-B1C6-7EDD3DCD8830}" name="Column4388"/>
    <tableColumn id="4394" xr3:uid="{E05E57D9-710B-48BB-8FB7-18C6F26E47CA}" name="Column4389"/>
    <tableColumn id="4395" xr3:uid="{755F8A9D-3BDE-4D46-96A0-A94A253CCC58}" name="Column4390"/>
    <tableColumn id="4396" xr3:uid="{4556D60B-2F00-4C06-93D9-61D8CA2D8D10}" name="Column4391"/>
    <tableColumn id="4397" xr3:uid="{411D14B4-204A-4882-A0A9-B8C48615EA13}" name="Column4392"/>
    <tableColumn id="4398" xr3:uid="{EA6FC776-FA0F-44A4-9408-CE4BF848D383}" name="Column4393"/>
    <tableColumn id="4399" xr3:uid="{41E0719A-B760-42A1-A73B-16AA4E75AFBF}" name="Column4394"/>
    <tableColumn id="4400" xr3:uid="{B2DE4897-BD5A-4FB9-9074-D67C7FF2BD91}" name="Column4395"/>
    <tableColumn id="4401" xr3:uid="{49684F23-6FE5-4A3E-B44B-7A5AB87C7DC3}" name="Column4396"/>
    <tableColumn id="4402" xr3:uid="{0A211537-C325-46B2-9122-E22C3248904B}" name="Column4397"/>
    <tableColumn id="4403" xr3:uid="{27FB7604-4466-4D77-BF6B-393381501963}" name="Column4398"/>
    <tableColumn id="4404" xr3:uid="{C6A70F54-C814-414F-BA83-A24AF224BCF7}" name="Column4399"/>
    <tableColumn id="4405" xr3:uid="{0E5F0930-DD48-43BD-9FAE-7A05B6638261}" name="Column4400"/>
    <tableColumn id="4406" xr3:uid="{39F52D22-F70C-432C-B738-7A52179C7B1D}" name="Column4401"/>
    <tableColumn id="4407" xr3:uid="{1FB7E663-4288-4E9E-BDEC-E6251750A877}" name="Column4402"/>
    <tableColumn id="4408" xr3:uid="{F3BFB80E-FBCB-4949-848C-1A5399623FEF}" name="Column4403"/>
    <tableColumn id="4409" xr3:uid="{0571C1D7-8F9E-463C-A00F-939752768C7F}" name="Column4404"/>
    <tableColumn id="4410" xr3:uid="{CD0C004D-9ED4-49D9-B00E-E293C4B1C09F}" name="Column4405"/>
    <tableColumn id="4411" xr3:uid="{D4F54000-6486-4274-AF87-36C6FD3EA03A}" name="Column4406"/>
    <tableColumn id="4412" xr3:uid="{2AD6FF2C-52DC-49B1-BF74-66A477E6747D}" name="Column4407"/>
    <tableColumn id="4413" xr3:uid="{32A0E8F1-844C-408D-A5AE-FFE221502FB6}" name="Column4408"/>
    <tableColumn id="4414" xr3:uid="{10A498B7-653F-4CF9-880B-E82D541D0866}" name="Column4409"/>
    <tableColumn id="4415" xr3:uid="{0D8BA325-7CF1-4B01-8A9A-912B446AD6F4}" name="Column4410"/>
    <tableColumn id="4416" xr3:uid="{A6441B3E-3A76-4AD3-8BC1-A4CCDDFB5C53}" name="Column4411"/>
    <tableColumn id="4417" xr3:uid="{4953E275-86CD-406E-85CE-47202D006F0B}" name="Column4412"/>
    <tableColumn id="4418" xr3:uid="{BCE5EE47-A836-422D-925A-85A30EC3EFA5}" name="Column4413"/>
    <tableColumn id="4419" xr3:uid="{8D83B448-EAFB-444A-9F83-8C73A526B1B9}" name="Column4414"/>
    <tableColumn id="4420" xr3:uid="{F45B5AE6-4990-4A8C-9312-37EFD7AA4861}" name="Column4415"/>
    <tableColumn id="4421" xr3:uid="{1F9E5376-9B0A-4631-A3E6-3F81892EA182}" name="Column4416"/>
    <tableColumn id="4422" xr3:uid="{17074A0A-C589-4220-AB08-E4490A72708B}" name="Column4417"/>
    <tableColumn id="4423" xr3:uid="{B67D99ED-3C39-4BD0-881F-D6B57080890F}" name="Column4418"/>
    <tableColumn id="4424" xr3:uid="{215FC7EA-CC8B-4014-8BCA-F33ADCF883EC}" name="Column4419"/>
    <tableColumn id="4425" xr3:uid="{E68D0DC3-7CE6-4C89-AB71-D5C52E32D4DA}" name="Column4420"/>
    <tableColumn id="4426" xr3:uid="{69151833-C462-4AE9-9D0D-2AC8B0E8C1D8}" name="Column4421"/>
    <tableColumn id="4427" xr3:uid="{607768A6-7648-41D9-B332-89ACB8B171D7}" name="Column4422"/>
    <tableColumn id="4428" xr3:uid="{F7F8C462-52E3-4116-AE56-70611F182090}" name="Column4423"/>
    <tableColumn id="4429" xr3:uid="{D2388975-A294-468A-AAC8-CA6EF5031AAD}" name="Column4424"/>
    <tableColumn id="4430" xr3:uid="{9ABBEFEB-37BC-406E-B9A5-9646B37B562F}" name="Column4425"/>
    <tableColumn id="4431" xr3:uid="{230625DE-BBBB-4A46-98A7-BB96437F49D2}" name="Column4426"/>
    <tableColumn id="4432" xr3:uid="{DFA0BC8A-43C3-46FA-8346-89CEAFF5B9CC}" name="Column4427"/>
    <tableColumn id="4433" xr3:uid="{30A56606-8958-4AC3-B0D4-B56714178987}" name="Column4428"/>
    <tableColumn id="4434" xr3:uid="{FFC67735-4051-4180-B043-A7099AF1F1C2}" name="Column4429"/>
    <tableColumn id="4435" xr3:uid="{73C2FDA0-E84C-47C4-90F1-DAADA8F8F002}" name="Column4430"/>
    <tableColumn id="4436" xr3:uid="{6EAB1EF6-1071-4C03-89B0-8CB677841D5A}" name="Column4431"/>
    <tableColumn id="4437" xr3:uid="{BECDB6FF-D157-4ABD-B298-AEA3EEDB0499}" name="Column4432"/>
    <tableColumn id="4438" xr3:uid="{EAB26F4E-6923-435C-8EAD-97EF9076E205}" name="Column4433"/>
    <tableColumn id="4439" xr3:uid="{8947FA8F-EE75-416F-9437-A4337BE57489}" name="Column4434"/>
    <tableColumn id="4440" xr3:uid="{B753BECA-97EF-4CC4-9860-322F9EEF05AB}" name="Column4435"/>
    <tableColumn id="4441" xr3:uid="{877C177E-768B-4185-B436-AD651502475B}" name="Column4436"/>
    <tableColumn id="4442" xr3:uid="{BD6A48B3-617F-4BF2-A354-DBA346FFD105}" name="Column4437"/>
    <tableColumn id="4443" xr3:uid="{BFC8093B-D746-4640-B76E-4CED5A882FDC}" name="Column4438"/>
    <tableColumn id="4444" xr3:uid="{6EA3306E-B0D5-458B-94E4-2E16352463ED}" name="Column4439"/>
    <tableColumn id="4445" xr3:uid="{64045A83-9989-4D8F-935B-9D7A2D12C370}" name="Column4440"/>
    <tableColumn id="4446" xr3:uid="{6D588C70-4AF7-445B-92D8-97F0BD8386A8}" name="Column4441"/>
    <tableColumn id="4447" xr3:uid="{3EB80614-AB1B-4405-AC0B-33F3275593A9}" name="Column4442"/>
    <tableColumn id="4448" xr3:uid="{64CC8516-0693-4133-B160-B3F81220E160}" name="Column4443"/>
    <tableColumn id="4449" xr3:uid="{5B05169C-C151-45A0-AA7A-7B51E2585B4E}" name="Column4444"/>
    <tableColumn id="4450" xr3:uid="{B71D9AF4-28A0-4EB9-B720-69F60BB23C4E}" name="Column4445"/>
    <tableColumn id="4451" xr3:uid="{8D39E298-FC4B-41BF-94CD-155751C6EC91}" name="Column4446"/>
    <tableColumn id="4452" xr3:uid="{9180C09C-77CC-4CAB-BFD9-00C7560F014F}" name="Column4447"/>
    <tableColumn id="4453" xr3:uid="{7DF0C404-10F0-478D-B23A-790F9C52D4CC}" name="Column4448"/>
    <tableColumn id="4454" xr3:uid="{7BF76CAE-DCE0-4D63-8B71-E7CBA2975EC3}" name="Column4449"/>
    <tableColumn id="4455" xr3:uid="{4ADA7B5B-3065-48B8-B9A7-400D243BD8CD}" name="Column4450"/>
    <tableColumn id="4456" xr3:uid="{7B4CE08F-86A2-418D-97AF-568381662401}" name="Column4451"/>
    <tableColumn id="4457" xr3:uid="{A4D7F21D-B804-4448-8687-1FBB481BC035}" name="Column4452"/>
    <tableColumn id="4458" xr3:uid="{EF73272E-B662-4A91-93BB-A3D6CFC60BB6}" name="Column4453"/>
    <tableColumn id="4459" xr3:uid="{F9714DB9-9640-437F-BC7A-3CB6B95B25CA}" name="Column4454"/>
    <tableColumn id="4460" xr3:uid="{8792A429-11C9-4936-9A40-B79BD1E1C267}" name="Column4455"/>
    <tableColumn id="4461" xr3:uid="{D425B615-E97C-4952-A289-3729B32FAD79}" name="Column4456"/>
    <tableColumn id="4462" xr3:uid="{5AB2BD45-E190-44D5-8BFC-8F6A2C251CF7}" name="Column4457"/>
    <tableColumn id="4463" xr3:uid="{AC285E1C-7DC1-4A6D-8579-ED667C1FE08E}" name="Column4458"/>
    <tableColumn id="4464" xr3:uid="{94655A9E-8015-42C9-9FEE-2E13F458F9CE}" name="Column4459"/>
    <tableColumn id="4465" xr3:uid="{B19C7163-8E09-4CE7-A6C4-DB85125ED914}" name="Column4460"/>
    <tableColumn id="4466" xr3:uid="{0AB12AAE-C5CE-4EBF-8708-8D11AC67D5C8}" name="Column4461"/>
    <tableColumn id="4467" xr3:uid="{01DC5DD9-490E-46E4-811C-B7D4273BE4C4}" name="Column4462"/>
    <tableColumn id="4468" xr3:uid="{EFE03220-D550-45A2-8514-27F867154B3A}" name="Column4463"/>
    <tableColumn id="4469" xr3:uid="{BEDD5243-D256-45B2-A4FD-F1859BE36E42}" name="Column4464"/>
    <tableColumn id="4470" xr3:uid="{A1AB5922-2531-4A47-8F4A-083EB3EB134D}" name="Column4465"/>
    <tableColumn id="4471" xr3:uid="{F4509126-BF74-4EC1-AA58-D747D9301928}" name="Column4466"/>
    <tableColumn id="4472" xr3:uid="{608BA234-8323-4335-98F0-8A4ADFDDCF9E}" name="Column4467"/>
    <tableColumn id="4473" xr3:uid="{9CDBF1F9-FB80-416D-A575-5962EDC45690}" name="Column4468"/>
    <tableColumn id="4474" xr3:uid="{F7D2C9E6-C99F-4ED0-A156-38478F04B13C}" name="Column4469"/>
    <tableColumn id="4475" xr3:uid="{60A496B5-F87B-4301-B14F-6212556A5DC6}" name="Column4470"/>
    <tableColumn id="4476" xr3:uid="{067943C4-47CE-4D64-856C-8352DA791E18}" name="Column4471"/>
    <tableColumn id="4477" xr3:uid="{A500F083-27D3-4F5F-86B1-442D174B2E71}" name="Column4472"/>
    <tableColumn id="4478" xr3:uid="{42B4A8B3-47BC-4F16-A890-3AD814BD0784}" name="Column4473"/>
    <tableColumn id="4479" xr3:uid="{531FD5D1-8FB5-46A9-93AE-DC4C22882DFD}" name="Column4474"/>
    <tableColumn id="4480" xr3:uid="{9635BFDF-C403-4331-9FA4-FC580C892EC7}" name="Column4475"/>
    <tableColumn id="4481" xr3:uid="{794AA247-6D0C-4EE6-BBE7-7612B8771220}" name="Column4476"/>
    <tableColumn id="4482" xr3:uid="{7A1A3418-981D-4F73-8249-B42D70376476}" name="Column4477"/>
    <tableColumn id="4483" xr3:uid="{41B6A6C2-ECE5-4A37-96A5-D6188D8DECDA}" name="Column4478"/>
    <tableColumn id="4484" xr3:uid="{5438A122-CA5A-4237-AD34-88983158E43D}" name="Column4479"/>
    <tableColumn id="4485" xr3:uid="{5EF373F4-9607-4D24-A151-1C4F4ACD34EE}" name="Column4480"/>
    <tableColumn id="4486" xr3:uid="{707639AE-19D0-4804-BCF6-751A62298C2D}" name="Column4481"/>
    <tableColumn id="4487" xr3:uid="{4861E33B-3AFD-44AA-9D26-C15EAC90D04A}" name="Column4482"/>
    <tableColumn id="4488" xr3:uid="{7316A0E5-5521-401E-B204-509E87342862}" name="Column4483"/>
    <tableColumn id="4489" xr3:uid="{8774504A-0B4B-4506-B04E-8D147CB9FA6B}" name="Column4484"/>
    <tableColumn id="4490" xr3:uid="{E8E969B0-F0A0-4869-BB91-E839921F8824}" name="Column4485"/>
    <tableColumn id="4491" xr3:uid="{D30E71F1-1231-4904-98E9-E427D577D18D}" name="Column4486"/>
    <tableColumn id="4492" xr3:uid="{E8B76BA6-FC96-42CD-BE69-C96BC21832A3}" name="Column4487"/>
    <tableColumn id="4493" xr3:uid="{0AD55594-5AA9-4F01-96A2-7840C2305899}" name="Column4488"/>
    <tableColumn id="4494" xr3:uid="{6E73E52B-0052-4F3E-AEC8-1EFA773E6BD4}" name="Column4489"/>
    <tableColumn id="4495" xr3:uid="{7FC18F21-B81C-44B6-88E8-9AE3B64F4FB1}" name="Column4490"/>
    <tableColumn id="4496" xr3:uid="{7F4DEA5B-E596-408B-924E-C70551A2C4AB}" name="Column4491"/>
    <tableColumn id="4497" xr3:uid="{8379AC4F-C0C7-4060-9AAD-E7DFD93DE87E}" name="Column4492"/>
    <tableColumn id="4498" xr3:uid="{6708C5A8-611A-4D5B-9DFB-6AE69CA46AFD}" name="Column4493"/>
    <tableColumn id="4499" xr3:uid="{8F711046-36AD-4588-AAEE-F9A8BFCED1A2}" name="Column4494"/>
    <tableColumn id="4500" xr3:uid="{2D5FE1C7-C5B4-433D-B04A-A95C6964211B}" name="Column4495"/>
    <tableColumn id="4501" xr3:uid="{0B846EEF-6993-417A-89E1-0CB31A8C6C23}" name="Column4496"/>
    <tableColumn id="4502" xr3:uid="{7E61865F-3F5C-421D-948F-30FFC08073F9}" name="Column4497"/>
    <tableColumn id="4503" xr3:uid="{3B6AA712-1B43-4C68-B350-2BECA69AE5B5}" name="Column4498"/>
    <tableColumn id="4504" xr3:uid="{D6EA5B9C-5FE9-4AD9-ADA4-0D57F2EA67F8}" name="Column4499"/>
    <tableColumn id="4505" xr3:uid="{2D1DE6AA-84C3-417E-92CB-8971007FB906}" name="Column4500"/>
    <tableColumn id="4506" xr3:uid="{8FC96AEA-F8D4-4F98-99F0-2743EB3531CC}" name="Column4501"/>
    <tableColumn id="4507" xr3:uid="{0C6EB79B-73C3-4A3E-827E-812CBECCE13A}" name="Column4502"/>
    <tableColumn id="4508" xr3:uid="{EC95A9EF-ADB7-4721-A8F5-DCC81AB87EAD}" name="Column4503"/>
    <tableColumn id="4509" xr3:uid="{E20327BE-D9AD-42D3-B05E-9B960EEF8FC2}" name="Column4504"/>
    <tableColumn id="4510" xr3:uid="{632318A7-54C5-46E8-A59F-B13144530045}" name="Column4505"/>
    <tableColumn id="4511" xr3:uid="{7AD9ADC2-0A9A-4732-AB10-51E5C8083674}" name="Column4506"/>
    <tableColumn id="4512" xr3:uid="{B796B581-3A60-4D72-87EF-F5FA850DAA3B}" name="Column4507"/>
    <tableColumn id="4513" xr3:uid="{BE2E1FAD-E414-4A13-BE4A-D7F4804BEA19}" name="Column4508"/>
    <tableColumn id="4514" xr3:uid="{A04250E9-B436-41F6-A4EF-8CDF5E0ABED2}" name="Column4509"/>
    <tableColumn id="4515" xr3:uid="{5EFA0D3E-8EDA-40F7-A4DE-30DFCCFF9CC6}" name="Column4510"/>
    <tableColumn id="4516" xr3:uid="{13F88B4E-28E2-444A-A6C7-AC8D31D78C04}" name="Column4511"/>
    <tableColumn id="4517" xr3:uid="{36439407-AA61-46ED-99CB-4FB63499694A}" name="Column4512"/>
    <tableColumn id="4518" xr3:uid="{8EE3C5F0-3C99-4863-B8FB-AFEBD31873DC}" name="Column4513"/>
    <tableColumn id="4519" xr3:uid="{2EA64A1C-85A6-467C-9EC3-1FA080885B5F}" name="Column4514"/>
    <tableColumn id="4520" xr3:uid="{D5AFEA67-CB2F-4686-A53A-5DBA5D5403F9}" name="Column4515"/>
    <tableColumn id="4521" xr3:uid="{135625BD-E160-407F-A667-B6B38A4F8986}" name="Column4516"/>
    <tableColumn id="4522" xr3:uid="{76E0B173-3428-4760-9F7A-0BEE949B9447}" name="Column4517"/>
    <tableColumn id="4523" xr3:uid="{7359400A-3F85-45C6-8CF0-3D24C00DDB2E}" name="Column4518"/>
    <tableColumn id="4524" xr3:uid="{68FCD36B-ADA6-4253-AA18-DC9D08D0DC1B}" name="Column4519"/>
    <tableColumn id="4525" xr3:uid="{45ADA57B-DCD6-4402-A796-DC10FE87C793}" name="Column4520"/>
    <tableColumn id="4526" xr3:uid="{7AAA4FD7-2333-4DA9-B223-1670BA09861B}" name="Column4521"/>
    <tableColumn id="4527" xr3:uid="{B7FB5697-127A-42C6-9107-E77BAE56DBF9}" name="Column4522"/>
    <tableColumn id="4528" xr3:uid="{634ECE8F-FDAE-4A12-9865-AFAF9256CCD1}" name="Column4523"/>
    <tableColumn id="4529" xr3:uid="{3F14365C-ABE5-4B58-B5FF-B440363C13A8}" name="Column4524"/>
    <tableColumn id="4530" xr3:uid="{6BF1073F-D7FC-4E69-B485-BC21AB3372E4}" name="Column4525"/>
    <tableColumn id="4531" xr3:uid="{8E961481-6503-4815-8238-AF6D43D78C11}" name="Column4526"/>
    <tableColumn id="4532" xr3:uid="{7803B163-74FE-4077-80A9-783D0681BD4E}" name="Column4527"/>
    <tableColumn id="4533" xr3:uid="{90C71E78-70A4-4CE4-8D2D-B9EF0BBE953E}" name="Column4528"/>
    <tableColumn id="4534" xr3:uid="{38A253C3-5F5A-4459-9A4F-0C0A56418F1B}" name="Column4529"/>
    <tableColumn id="4535" xr3:uid="{E79D9170-BCD4-4702-9B41-1B8260CFC0AF}" name="Column4530"/>
    <tableColumn id="4536" xr3:uid="{A0B07F2E-6CB1-4B35-90BA-EA8FACE9FA3E}" name="Column4531"/>
    <tableColumn id="4537" xr3:uid="{80F7D60E-28EC-4D73-8992-313E7044D6F8}" name="Column4532"/>
    <tableColumn id="4538" xr3:uid="{FCFB1B7F-3D0E-4F1A-A09F-ECF184F8ED07}" name="Column4533"/>
    <tableColumn id="4539" xr3:uid="{2DFE7FFF-DE53-4B84-B0CF-BCDB36AA3AE6}" name="Column4534"/>
    <tableColumn id="4540" xr3:uid="{82D0B9D7-42D5-4895-ADBE-5D862D45F38E}" name="Column4535"/>
    <tableColumn id="4541" xr3:uid="{643C8EE8-659C-489B-9FD6-140C65FE86F6}" name="Column4536"/>
    <tableColumn id="4542" xr3:uid="{9B41618B-157D-4F37-B054-D83307845B67}" name="Column4537"/>
    <tableColumn id="4543" xr3:uid="{08338BA5-0879-413D-A9D9-D17B64B74DD8}" name="Column4538"/>
    <tableColumn id="4544" xr3:uid="{35DA94C8-5715-48B6-9B35-C8B17AFB6EE4}" name="Column4539"/>
    <tableColumn id="4545" xr3:uid="{1F561709-FC49-4752-BFE1-6210B5C22223}" name="Column4540"/>
    <tableColumn id="4546" xr3:uid="{D43FC945-0BB8-4A96-8F4F-FCD883E05D25}" name="Column4541"/>
    <tableColumn id="4547" xr3:uid="{E7978619-23CD-45B2-AB87-069CA5EC5D53}" name="Column4542"/>
    <tableColumn id="4548" xr3:uid="{0D51ACC9-114D-4C57-8F52-35E88FCB44E4}" name="Column4543"/>
    <tableColumn id="4549" xr3:uid="{1900F1C8-564D-4773-81C1-2F048E61C3C1}" name="Column4544"/>
    <tableColumn id="4550" xr3:uid="{5F651F9A-F398-42DF-8A2C-CF9F93EEE47B}" name="Column4545"/>
    <tableColumn id="4551" xr3:uid="{F29E5A25-8810-4F25-A5F0-919A94F98392}" name="Column4546"/>
    <tableColumn id="4552" xr3:uid="{1DBB3504-3BDD-49F5-9B59-55F3EA73BFFB}" name="Column4547"/>
    <tableColumn id="4553" xr3:uid="{A8C41312-87F6-4800-9A32-6D32A0DAD623}" name="Column4548"/>
    <tableColumn id="4554" xr3:uid="{3DA9FCF7-CBDC-4821-BB2C-EBEBA3F9CDB5}" name="Column4549"/>
    <tableColumn id="4555" xr3:uid="{2DB651D8-A733-4596-AD61-AB13D47459F2}" name="Column4550"/>
    <tableColumn id="4556" xr3:uid="{3203F1EA-40BA-44C2-81DA-F3F2C44E4161}" name="Column4551"/>
    <tableColumn id="4557" xr3:uid="{0DE6F352-9302-48EE-8964-E4B3294D4C8D}" name="Column4552"/>
    <tableColumn id="4558" xr3:uid="{A153588E-9D27-4BC4-A480-FCAA7268896E}" name="Column4553"/>
    <tableColumn id="4559" xr3:uid="{39021605-5F22-42B8-B908-2F2570C00424}" name="Column4554"/>
    <tableColumn id="4560" xr3:uid="{BEB92D6F-6F0E-475E-B640-A26E23479EF7}" name="Column4555"/>
    <tableColumn id="4561" xr3:uid="{ACDA529F-E4EC-4755-95D2-B0A60A05E98E}" name="Column4556"/>
    <tableColumn id="4562" xr3:uid="{468B95C8-E355-4400-A630-547DCAAC7A1C}" name="Column4557"/>
    <tableColumn id="4563" xr3:uid="{A49D93CD-3D05-4D9F-B107-025E205B27F3}" name="Column4558"/>
    <tableColumn id="4564" xr3:uid="{5F88AF14-C5D3-407E-99A9-7B03FDAD275D}" name="Column4559"/>
    <tableColumn id="4565" xr3:uid="{DF658957-629A-4625-BE8F-346A6D397A4A}" name="Column4560"/>
    <tableColumn id="4566" xr3:uid="{ED5DCF8F-A3C4-442D-9DD3-F0791ECE10E5}" name="Column4561"/>
    <tableColumn id="4567" xr3:uid="{7E66C3BC-6156-45EF-8243-A57E90AAC1A8}" name="Column4562"/>
    <tableColumn id="4568" xr3:uid="{17F7FBB0-AAD3-438D-87A2-66A60F1E9778}" name="Column4563"/>
    <tableColumn id="4569" xr3:uid="{7A6C3183-D03A-4832-B662-B5FA8BE738E4}" name="Column4564"/>
    <tableColumn id="4570" xr3:uid="{80FCE00F-5E34-4274-B571-171DAC0DC0FC}" name="Column4565"/>
    <tableColumn id="4571" xr3:uid="{A75ADC43-092E-4C23-A546-047C959059C7}" name="Column4566"/>
    <tableColumn id="4572" xr3:uid="{8A98528E-C125-450B-9101-5EF88D2524E0}" name="Column4567"/>
    <tableColumn id="4573" xr3:uid="{94BD3423-4DF8-4A21-B3FB-0E13810C84E1}" name="Column4568"/>
    <tableColumn id="4574" xr3:uid="{7C160EF8-C9FE-43B9-8863-34FD202EEE20}" name="Column4569"/>
    <tableColumn id="4575" xr3:uid="{A64BE825-9FE4-4EDA-837B-96315B5270D6}" name="Column4570"/>
    <tableColumn id="4576" xr3:uid="{946510B9-7331-41B3-8DEF-EF51E19FC75C}" name="Column4571"/>
    <tableColumn id="4577" xr3:uid="{E32A5F03-39F0-48F8-8890-66CC1269D5C6}" name="Column4572"/>
    <tableColumn id="4578" xr3:uid="{BD635A9A-7756-4084-86E0-A69FB71C15C4}" name="Column4573"/>
    <tableColumn id="4579" xr3:uid="{2476D7FE-3504-453A-BB4E-989902CFA49A}" name="Column4574"/>
    <tableColumn id="4580" xr3:uid="{B9F3687C-7074-4B56-B9BA-405F338A1433}" name="Column4575"/>
    <tableColumn id="4581" xr3:uid="{D2AE3BCD-9BC5-4A87-A696-78292485CDA5}" name="Column4576"/>
    <tableColumn id="4582" xr3:uid="{F6852A31-8E56-4751-8168-EE738C6B79B8}" name="Column4577"/>
    <tableColumn id="4583" xr3:uid="{A5BCAB1D-E924-48DC-8397-436364778A53}" name="Column4578"/>
    <tableColumn id="4584" xr3:uid="{844FA7E6-C6FD-4F54-A9B2-E60B304AD8A0}" name="Column4579"/>
    <tableColumn id="4585" xr3:uid="{F41844DF-223C-4EA3-B354-C83B6F8DCC90}" name="Column4580"/>
    <tableColumn id="4586" xr3:uid="{1D535E58-A4F3-4300-87C5-29CF1DA679CD}" name="Column4581"/>
    <tableColumn id="4587" xr3:uid="{4E9494E9-8462-43E3-B263-012294BB9BF8}" name="Column4582"/>
    <tableColumn id="4588" xr3:uid="{6698352F-A552-447D-8022-D85C57C21701}" name="Column4583"/>
    <tableColumn id="4589" xr3:uid="{8E2A7CCC-17A3-433B-B011-CC1B05B0096D}" name="Column4584"/>
    <tableColumn id="4590" xr3:uid="{945BDB68-9F6C-47C4-8B23-F297C7FB75BA}" name="Column4585"/>
    <tableColumn id="4591" xr3:uid="{EABD7E60-70E3-49A4-AAFB-D3E686BF9AB9}" name="Column4586"/>
    <tableColumn id="4592" xr3:uid="{1E71AAE4-081B-4BCA-B987-DE6DBAAC139D}" name="Column4587"/>
    <tableColumn id="4593" xr3:uid="{1C6D4C10-54CF-4F26-B867-677DBD16FB75}" name="Column4588"/>
    <tableColumn id="4594" xr3:uid="{4D88F3ED-1427-47BE-BF50-4256EB5871B7}" name="Column4589"/>
    <tableColumn id="4595" xr3:uid="{58B2994E-747D-4C76-B256-8718DC42AEBB}" name="Column4590"/>
    <tableColumn id="4596" xr3:uid="{1143A80C-28C8-40AC-8432-95331AC81489}" name="Column4591"/>
    <tableColumn id="4597" xr3:uid="{33B1E245-0E06-40E9-BB8A-84C2E9D5E360}" name="Column4592"/>
    <tableColumn id="4598" xr3:uid="{63BEE1BF-2FE9-4A8F-A07B-B54679C660CF}" name="Column4593"/>
    <tableColumn id="4599" xr3:uid="{00B06CAF-1C9A-42DB-A536-D006F7A9C968}" name="Column4594"/>
    <tableColumn id="4600" xr3:uid="{6BEC85E5-40CE-4591-B0B4-DF3673FD1245}" name="Column4595"/>
    <tableColumn id="4601" xr3:uid="{DB930138-20C7-4076-A663-6078975EAC78}" name="Column4596"/>
    <tableColumn id="4602" xr3:uid="{C6972017-6247-42A4-AE38-F4FDA56199A6}" name="Column4597"/>
    <tableColumn id="4603" xr3:uid="{B5BE0BA6-3479-4999-BD8F-B47F946903BC}" name="Column4598"/>
    <tableColumn id="4604" xr3:uid="{DB0BF2D9-1E71-4046-9E09-79F97937F676}" name="Column4599"/>
    <tableColumn id="4605" xr3:uid="{8A74654C-F142-4418-9968-F4AC26570E2B}" name="Column4600"/>
    <tableColumn id="4606" xr3:uid="{92BAE01D-A708-42C7-AB65-4BD2F2C2EBC5}" name="Column4601"/>
    <tableColumn id="4607" xr3:uid="{6FF74263-0853-478C-8C16-B4DC90868A04}" name="Column4602"/>
    <tableColumn id="4608" xr3:uid="{76A932C1-8BE2-48D0-91FA-17233AEC9876}" name="Column4603"/>
    <tableColumn id="4609" xr3:uid="{C69D5C3C-22E5-4238-A53F-FC8437CF15FB}" name="Column4604"/>
    <tableColumn id="4610" xr3:uid="{F2FE41B1-2486-4790-BB70-EA1B1E91C734}" name="Column4605"/>
    <tableColumn id="4611" xr3:uid="{0BCF7484-CB5C-423F-A921-6C468022BAC9}" name="Column4606"/>
    <tableColumn id="4612" xr3:uid="{00FFA09F-F26F-4306-922E-2F536D314A09}" name="Column4607"/>
    <tableColumn id="4613" xr3:uid="{FD256C0D-924C-4DCD-B687-D0E93B60A8F4}" name="Column4608"/>
    <tableColumn id="4614" xr3:uid="{B86E575B-175B-474E-8C09-13535E28100A}" name="Column4609"/>
    <tableColumn id="4615" xr3:uid="{075E1046-B7E9-46F1-8676-0B995F58AD6A}" name="Column4610"/>
    <tableColumn id="4616" xr3:uid="{85B416F3-D984-4EB0-83C1-2C52D69788DC}" name="Column4611"/>
    <tableColumn id="4617" xr3:uid="{471E531C-70AF-480C-BC90-5304C8032ED3}" name="Column4612"/>
    <tableColumn id="4618" xr3:uid="{DCEF8AAB-EC5F-4639-889E-6323A07FD1BB}" name="Column4613"/>
    <tableColumn id="4619" xr3:uid="{896AA4F9-2861-4169-963F-674BC89DF4AF}" name="Column4614"/>
    <tableColumn id="4620" xr3:uid="{C9E5A56D-213E-4327-821A-CF7C84B5DB05}" name="Column4615"/>
    <tableColumn id="4621" xr3:uid="{DE37374E-EF47-4637-8536-E71847A36B17}" name="Column4616"/>
    <tableColumn id="4622" xr3:uid="{C41CA0CD-1742-4160-B6BD-40C0C34C4F0D}" name="Column4617"/>
    <tableColumn id="4623" xr3:uid="{66240BF9-CA69-490F-98F5-3EB62C5ABA13}" name="Column4618"/>
    <tableColumn id="4624" xr3:uid="{CC906C0E-4615-4BD6-849B-CD02374A5557}" name="Column4619"/>
    <tableColumn id="4625" xr3:uid="{617BC712-56BD-433B-ADB8-30BD18038D35}" name="Column4620"/>
    <tableColumn id="4626" xr3:uid="{1DB4367F-C2AB-46F1-9502-CC10C393B4FC}" name="Column4621"/>
    <tableColumn id="4627" xr3:uid="{C4F2B0E8-2392-44E1-9078-881D645564F0}" name="Column4622"/>
    <tableColumn id="4628" xr3:uid="{48CDAB8A-81C6-4827-A3AB-FF92D3BF1B0E}" name="Column4623"/>
    <tableColumn id="4629" xr3:uid="{394B0A59-603C-4571-B81A-6AC505B2744F}" name="Column4624"/>
    <tableColumn id="4630" xr3:uid="{955CF981-D243-4345-B49C-BFFD92EC337E}" name="Column4625"/>
    <tableColumn id="4631" xr3:uid="{C591C161-D021-4A2A-886C-7DBD5FCD76FE}" name="Column4626"/>
    <tableColumn id="4632" xr3:uid="{08227510-5E74-4761-A384-51C260029BE8}" name="Column4627"/>
    <tableColumn id="4633" xr3:uid="{DD0FCA2E-15EC-4098-B98F-CE12C7F92B3A}" name="Column4628"/>
    <tableColumn id="4634" xr3:uid="{6E348A5E-3C1B-4AF8-8BBD-A61882730A57}" name="Column4629"/>
    <tableColumn id="4635" xr3:uid="{4676D520-1113-4552-BCE5-4B8E5F48B5E5}" name="Column4630"/>
    <tableColumn id="4636" xr3:uid="{17DFD086-032F-4625-BD08-594F12DAAA7F}" name="Column4631"/>
    <tableColumn id="4637" xr3:uid="{3F4664C6-1C18-49D8-8B40-D4C5D8469E56}" name="Column4632"/>
    <tableColumn id="4638" xr3:uid="{15CA7DE7-A776-4666-BFCC-7023672EE6D1}" name="Column4633"/>
    <tableColumn id="4639" xr3:uid="{09275B37-0F67-4A4E-B4DD-9FC586D078B5}" name="Column4634"/>
    <tableColumn id="4640" xr3:uid="{D2613E0F-F723-4A74-91F1-3A9832B448C8}" name="Column4635"/>
    <tableColumn id="4641" xr3:uid="{51EAB9E8-E0AA-495A-A637-A87E377E57F6}" name="Column4636"/>
    <tableColumn id="4642" xr3:uid="{58D36B87-40E8-4165-9989-F2AD4D304CF8}" name="Column4637"/>
    <tableColumn id="4643" xr3:uid="{D5822B99-DA3D-4BE8-839A-4BF70BD97CD1}" name="Column4638"/>
    <tableColumn id="4644" xr3:uid="{DA0E43BB-928B-4CC5-92BF-A92DAE7F749E}" name="Column4639"/>
    <tableColumn id="4645" xr3:uid="{5D722C44-0E31-4EE5-B788-3540C63382B0}" name="Column4640"/>
    <tableColumn id="4646" xr3:uid="{06BD7B78-0C44-4D72-919D-7F67A5E6CBD4}" name="Column4641"/>
    <tableColumn id="4647" xr3:uid="{504D1426-9838-4B37-85F4-90DE5FA6F1EF}" name="Column4642"/>
    <tableColumn id="4648" xr3:uid="{D7EBF7D8-8120-4FA2-BFE1-763D0440546B}" name="Column4643"/>
    <tableColumn id="4649" xr3:uid="{9990605D-6582-42F3-8D3C-E638B857F0A0}" name="Column4644"/>
    <tableColumn id="4650" xr3:uid="{2E89169C-D028-4BD1-883E-B068085D7BE5}" name="Column4645"/>
    <tableColumn id="4651" xr3:uid="{6A421393-D723-4E6B-A805-9768575404B4}" name="Column4646"/>
    <tableColumn id="4652" xr3:uid="{ACD08C0B-48BD-4DDD-8E5D-379686BAEE2E}" name="Column4647"/>
    <tableColumn id="4653" xr3:uid="{2E9A0D23-6E1A-4DEA-BEE4-1E0EABFAD4F3}" name="Column4648"/>
    <tableColumn id="4654" xr3:uid="{11215F80-C9B5-45B5-AA9B-E8870AC0BFB9}" name="Column4649"/>
    <tableColumn id="4655" xr3:uid="{ACD17878-867F-4473-A8F5-A12C1A0DED92}" name="Column4650"/>
    <tableColumn id="4656" xr3:uid="{43244CC6-1A1F-4145-A099-53739A89A59A}" name="Column4651"/>
    <tableColumn id="4657" xr3:uid="{5FB4E81D-01DD-4EF6-84A7-0801733EBBDA}" name="Column4652"/>
    <tableColumn id="4658" xr3:uid="{BDD6A63B-9AB7-4E96-911C-27D19E272600}" name="Column4653"/>
    <tableColumn id="4659" xr3:uid="{FDEB5522-2FEB-4300-A0BA-16BAC5378752}" name="Column4654"/>
    <tableColumn id="4660" xr3:uid="{06194565-B662-4A9B-8DFA-0EB98A247209}" name="Column4655"/>
    <tableColumn id="4661" xr3:uid="{73EF6EE8-266E-46BD-8BE9-3E85745A6BF4}" name="Column4656"/>
    <tableColumn id="4662" xr3:uid="{08448F77-80A7-4189-9C16-29B10CF15D68}" name="Column4657"/>
    <tableColumn id="4663" xr3:uid="{5D0FB99F-7099-4D0E-B76B-5FBC0FB7E7CB}" name="Column4658"/>
    <tableColumn id="4664" xr3:uid="{FCFA800B-CC41-4471-9723-0351FB7932EB}" name="Column4659"/>
    <tableColumn id="4665" xr3:uid="{150FE567-714D-47D6-A908-9D4CFDFA69C6}" name="Column4660"/>
    <tableColumn id="4666" xr3:uid="{AF0B1C26-8D48-4B6C-9571-BC3D9EC7994F}" name="Column4661"/>
    <tableColumn id="4667" xr3:uid="{9159CAEE-767E-43F9-B0E1-5470EEBF4704}" name="Column4662"/>
    <tableColumn id="4668" xr3:uid="{FE9F0CB4-0FE7-46F2-800D-D0D58CAB5EE8}" name="Column4663"/>
    <tableColumn id="4669" xr3:uid="{490DE10A-23CE-4AA3-ADFA-01D54488B2E9}" name="Column4664"/>
    <tableColumn id="4670" xr3:uid="{53F06A92-B605-489A-8ECA-5F2A4B6B7DF0}" name="Column4665"/>
    <tableColumn id="4671" xr3:uid="{8035A841-8309-4229-87B4-B1CC41C88CAF}" name="Column4666"/>
    <tableColumn id="4672" xr3:uid="{0D7886DF-7593-40D7-9558-CB304D7F9D51}" name="Column4667"/>
    <tableColumn id="4673" xr3:uid="{75A22268-3356-42CC-B473-DBD2C0F29C3E}" name="Column4668"/>
    <tableColumn id="4674" xr3:uid="{BCD25991-3DAC-46FF-95E3-49B47FEC234F}" name="Column4669"/>
    <tableColumn id="4675" xr3:uid="{544F2522-82D3-4E7C-8E51-0164C6066EC1}" name="Column4670"/>
    <tableColumn id="4676" xr3:uid="{0F237A07-3610-4CD9-B9DF-DAF3448B0FA5}" name="Column4671"/>
    <tableColumn id="4677" xr3:uid="{143DFBF1-3089-4C3B-AA21-0B41D3A214CF}" name="Column4672"/>
    <tableColumn id="4678" xr3:uid="{30DA0F92-331A-4381-B56A-5697C15B512D}" name="Column4673"/>
    <tableColumn id="4679" xr3:uid="{E2F5905A-95F3-421D-AF10-ACFE423CFF0B}" name="Column4674"/>
    <tableColumn id="4680" xr3:uid="{14459E5E-6CA3-4D31-8B7B-8B4A9D99ADD0}" name="Column4675"/>
    <tableColumn id="4681" xr3:uid="{730DFE7A-FD19-41A2-A488-ACF9F596BB66}" name="Column4676"/>
    <tableColumn id="4682" xr3:uid="{01A6A6E1-3940-4196-8EAA-72F151690002}" name="Column4677"/>
    <tableColumn id="4683" xr3:uid="{EE5D6C07-588A-4610-AD58-9370EEB6B503}" name="Column4678"/>
    <tableColumn id="4684" xr3:uid="{2FE8217B-5228-4669-862F-72A7D8081D91}" name="Column4679"/>
    <tableColumn id="4685" xr3:uid="{375B55DB-95F7-4DFB-B2A0-1F4247B4E565}" name="Column4680"/>
    <tableColumn id="4686" xr3:uid="{332C49F2-C6DF-4FE4-AA5A-961888FC2657}" name="Column4681"/>
    <tableColumn id="4687" xr3:uid="{ECD21B6C-9706-4268-98A1-385214FBDA6E}" name="Column4682"/>
    <tableColumn id="4688" xr3:uid="{E2D6FDC7-1A61-4BCD-986A-C5459B337FAD}" name="Column4683"/>
    <tableColumn id="4689" xr3:uid="{D6E4224E-67D5-4714-BBFD-4F8E7E0DE8D8}" name="Column4684"/>
    <tableColumn id="4690" xr3:uid="{095FAD31-4162-4C49-922A-E6FF7E1FD501}" name="Column4685"/>
    <tableColumn id="4691" xr3:uid="{FFAB963E-B47A-4A48-83E0-908FB77E9374}" name="Column4686"/>
    <tableColumn id="4692" xr3:uid="{11900940-EBB7-4169-813B-052C72D78CBA}" name="Column4687"/>
    <tableColumn id="4693" xr3:uid="{F840ED6A-C439-4911-BB2B-83CADE6D3B9B}" name="Column4688"/>
    <tableColumn id="4694" xr3:uid="{2AD566A7-4698-460B-9232-9A0CDBFAE2E8}" name="Column4689"/>
    <tableColumn id="4695" xr3:uid="{BF21F6C1-BB06-4DEE-AA79-CBAD8D5A035C}" name="Column4690"/>
    <tableColumn id="4696" xr3:uid="{C68973D5-A7B8-49F1-BF06-65A3712FD035}" name="Column4691"/>
    <tableColumn id="4697" xr3:uid="{885705DE-5331-4109-B303-323BF42A3D4D}" name="Column4692"/>
    <tableColumn id="4698" xr3:uid="{03524F0D-53CF-4B3F-B977-298331730074}" name="Column4693"/>
    <tableColumn id="4699" xr3:uid="{973BFECC-1F02-461D-9BF9-34D5A0200553}" name="Column4694"/>
    <tableColumn id="4700" xr3:uid="{89B87AA1-FEAB-44E4-8A8A-EB7E49264108}" name="Column4695"/>
    <tableColumn id="4701" xr3:uid="{5FC95434-EE6F-4607-8666-58FFF8CBF81F}" name="Column4696"/>
    <tableColumn id="4702" xr3:uid="{35A82E3A-733C-4EEB-9DF2-69691E370E04}" name="Column4697"/>
    <tableColumn id="4703" xr3:uid="{72142CB7-35E9-4DB2-9603-318DFC8A4668}" name="Column4698"/>
    <tableColumn id="4704" xr3:uid="{357D068D-C8E7-470A-A0B8-1DCF04FDF13E}" name="Column4699"/>
    <tableColumn id="4705" xr3:uid="{B3166975-4E67-41FB-BA2A-0604BE80B799}" name="Column4700"/>
    <tableColumn id="4706" xr3:uid="{C9E5E3C4-1DF9-4746-8E9E-6215184BE1C8}" name="Column4701"/>
    <tableColumn id="4707" xr3:uid="{E559B7BA-3912-40D1-8CA7-453FE39B02C9}" name="Column4702"/>
    <tableColumn id="4708" xr3:uid="{A23544EB-4A0B-4F86-BA07-D3AA53142026}" name="Column4703"/>
    <tableColumn id="4709" xr3:uid="{A5CD4AF2-03E1-454F-9647-9B8850672EEF}" name="Column4704"/>
    <tableColumn id="4710" xr3:uid="{29B8CF59-DB37-4F85-8AB1-56566D05FC28}" name="Column4705"/>
    <tableColumn id="4711" xr3:uid="{9204636E-E931-431F-AE02-5F55425BF6BD}" name="Column4706"/>
    <tableColumn id="4712" xr3:uid="{60366F88-40A8-4D2E-B0D2-C48D90F41ECE}" name="Column4707"/>
    <tableColumn id="4713" xr3:uid="{8016431B-326F-4980-B94F-366FAADB2EFD}" name="Column4708"/>
    <tableColumn id="4714" xr3:uid="{89A5FB79-EFAE-40DA-AA18-B8308CE94600}" name="Column4709"/>
    <tableColumn id="4715" xr3:uid="{F53DD342-19BA-4787-94D6-D63C5FCBC562}" name="Column4710"/>
    <tableColumn id="4716" xr3:uid="{5C01E9C0-A5CA-4965-BEAF-3B6C191B73A6}" name="Column4711"/>
    <tableColumn id="4717" xr3:uid="{C869013C-45A5-4CB7-98CB-69159F60AF3B}" name="Column4712"/>
    <tableColumn id="4718" xr3:uid="{72E0F0EB-A63F-40C5-A9BE-E67E5FB56934}" name="Column4713"/>
    <tableColumn id="4719" xr3:uid="{1B4BB807-48C5-417F-8EC7-27F1049C9E3A}" name="Column4714"/>
    <tableColumn id="4720" xr3:uid="{654A1D23-550D-4762-BA12-0702E1552C10}" name="Column4715"/>
    <tableColumn id="4721" xr3:uid="{2909FA65-C0BC-4626-81DD-F17CA5387DE9}" name="Column4716"/>
    <tableColumn id="4722" xr3:uid="{A65BA1AE-B72A-46A7-931F-69DD1116D4E0}" name="Column4717"/>
    <tableColumn id="4723" xr3:uid="{776289B7-FDBE-40D6-AE8A-985AAE73CDF3}" name="Column4718"/>
    <tableColumn id="4724" xr3:uid="{29158217-78D3-454A-9DAB-3DABDF80A6AD}" name="Column4719"/>
    <tableColumn id="4725" xr3:uid="{C24E93BF-F3FE-4EFC-B93E-25F2D2F8FA7F}" name="Column4720"/>
    <tableColumn id="4726" xr3:uid="{617D2D00-526E-4FB0-B6D8-6CCA2702B973}" name="Column4721"/>
    <tableColumn id="4727" xr3:uid="{1928951F-012F-431C-B8F1-FE46EC0DBECD}" name="Column4722"/>
    <tableColumn id="4728" xr3:uid="{CA4C134C-F873-41E4-9035-9BA172DB4808}" name="Column4723"/>
    <tableColumn id="4729" xr3:uid="{0CBC945D-AD29-4A7C-910A-2A8D3AEAA1BA}" name="Column4724"/>
    <tableColumn id="4730" xr3:uid="{2BA4AEE0-6F84-4296-A948-2DC4673CCD49}" name="Column4725"/>
    <tableColumn id="4731" xr3:uid="{0712560E-4E0E-4597-83DA-7131D12CFF2B}" name="Column4726"/>
    <tableColumn id="4732" xr3:uid="{478E3FEC-36AB-4FCD-AC23-D28B4F75B298}" name="Column4727"/>
    <tableColumn id="4733" xr3:uid="{C989E961-25C9-42D7-851A-E101C8EE01D3}" name="Column4728"/>
    <tableColumn id="4734" xr3:uid="{AC0DB477-DAC8-4591-9D71-238DDBBC4EA4}" name="Column4729"/>
    <tableColumn id="4735" xr3:uid="{8DF2145D-FDE7-4FEA-B098-C651CE44BCD7}" name="Column4730"/>
    <tableColumn id="4736" xr3:uid="{2EF3F4E8-200D-45F8-8C7E-322AE2627957}" name="Column4731"/>
    <tableColumn id="4737" xr3:uid="{9A59DADC-25B1-4AD8-AB30-4C57B0421521}" name="Column4732"/>
    <tableColumn id="4738" xr3:uid="{5E586608-E14B-45B9-812D-B5B99F106952}" name="Column4733"/>
    <tableColumn id="4739" xr3:uid="{4202A8F9-4F7F-4EE1-9166-2A00004CD8F0}" name="Column4734"/>
    <tableColumn id="4740" xr3:uid="{6EADB5C6-0A22-4D29-ACA1-A04913E0EE61}" name="Column4735"/>
    <tableColumn id="4741" xr3:uid="{FE5CC43D-002F-4CEE-AC22-AA8E18EC22A2}" name="Column4736"/>
    <tableColumn id="4742" xr3:uid="{9F01AE99-947C-4287-8E0B-20B59EFA2305}" name="Column4737"/>
    <tableColumn id="4743" xr3:uid="{A25C94C4-3F9C-4529-BE29-32C7EF4E8B1C}" name="Column4738"/>
    <tableColumn id="4744" xr3:uid="{420BFFCD-1CD5-4F60-8C4B-0BCAB052143D}" name="Column4739"/>
    <tableColumn id="4745" xr3:uid="{64001818-5C20-4433-96E5-7D37A1A6F504}" name="Column4740"/>
    <tableColumn id="4746" xr3:uid="{9ED1A491-BFB5-4B6F-BD4F-5739115714E0}" name="Column4741"/>
    <tableColumn id="4747" xr3:uid="{DC571ED2-7AC8-487D-8CCF-E8AF455BE9E2}" name="Column4742"/>
    <tableColumn id="4748" xr3:uid="{5BFE3243-4D42-4922-8D00-03327EE6E76F}" name="Column4743"/>
    <tableColumn id="4749" xr3:uid="{0D48B5B0-0448-4094-AEDB-BB22F6A9B450}" name="Column4744"/>
    <tableColumn id="4750" xr3:uid="{4BBFB423-A784-4BB0-9CE9-EC7B726686B6}" name="Column4745"/>
    <tableColumn id="4751" xr3:uid="{80FA9C93-63E6-4D7F-BB50-FD0050CF02ED}" name="Column4746"/>
    <tableColumn id="4752" xr3:uid="{E886CABB-3954-42F6-9606-865ED5B0ED47}" name="Column4747"/>
    <tableColumn id="4753" xr3:uid="{7370ED5C-2E1C-4621-8FF9-A137620434DA}" name="Column4748"/>
    <tableColumn id="4754" xr3:uid="{CA8E7372-FC82-4C87-8FEB-1EEB425305BC}" name="Column4749"/>
    <tableColumn id="4755" xr3:uid="{B7BF3495-6EB4-47A8-AF0E-666DAA1C8695}" name="Column4750"/>
    <tableColumn id="4756" xr3:uid="{D842D5CC-995E-4754-9437-F0953B359000}" name="Column4751"/>
    <tableColumn id="4757" xr3:uid="{F21E6439-9B4B-473D-B37F-F4C755520A17}" name="Column4752"/>
    <tableColumn id="4758" xr3:uid="{70CC10CA-6B37-42EB-A6E5-962FDE6749B8}" name="Column4753"/>
    <tableColumn id="4759" xr3:uid="{A01B8EF0-9E56-4ACC-9060-57D7B50F92B1}" name="Column4754"/>
    <tableColumn id="4760" xr3:uid="{1497A8CA-1F69-4E96-AECE-C8A630BFDECF}" name="Column4755"/>
    <tableColumn id="4761" xr3:uid="{DB6D5654-7B25-4375-8E57-A460DAB369D8}" name="Column4756"/>
    <tableColumn id="4762" xr3:uid="{7DE34FFF-7423-48BB-880D-B88FE9CA35EE}" name="Column4757"/>
    <tableColumn id="4763" xr3:uid="{D6811945-098C-4300-9CFD-39D4C901858D}" name="Column4758"/>
    <tableColumn id="4764" xr3:uid="{C87F71B6-AC99-4F3F-94C8-105CA5718B75}" name="Column4759"/>
    <tableColumn id="4765" xr3:uid="{EE07C8D8-BB63-45A2-90D1-B866FDE1E2F6}" name="Column4760"/>
    <tableColumn id="4766" xr3:uid="{8EC830BC-485C-4DF6-8555-A0377A2C7085}" name="Column4761"/>
    <tableColumn id="4767" xr3:uid="{CAED332B-3B6A-4F97-8120-4BDBC5A90A85}" name="Column4762"/>
    <tableColumn id="4768" xr3:uid="{D883107B-6832-4986-9A71-1651C9670514}" name="Column4763"/>
    <tableColumn id="4769" xr3:uid="{416AECF5-A1A3-496A-BEDC-E68266A65D94}" name="Column4764"/>
    <tableColumn id="4770" xr3:uid="{E9A3C9FA-67DE-42D1-9B7B-E1C89BF92799}" name="Column4765"/>
    <tableColumn id="4771" xr3:uid="{1BC78FA3-9217-4F69-8FF9-D340ACD87F89}" name="Column4766"/>
    <tableColumn id="4772" xr3:uid="{4DBDD709-F005-452D-8EEF-5A314DFDA7F4}" name="Column4767"/>
    <tableColumn id="4773" xr3:uid="{647BC3C2-A8D3-4CA4-9DA0-D047424AEC7C}" name="Column4768"/>
    <tableColumn id="4774" xr3:uid="{711B9B6E-6A0C-4F95-90EE-E97D7C8751E7}" name="Column4769"/>
    <tableColumn id="4775" xr3:uid="{472B6BDE-BCA1-4A49-B368-6CCDA17CC006}" name="Column4770"/>
    <tableColumn id="4776" xr3:uid="{2DC35CEF-9D98-49A6-9D20-7FC572BC4551}" name="Column4771"/>
    <tableColumn id="4777" xr3:uid="{0FECF0DD-882C-4366-97A4-7AB7193693A2}" name="Column4772"/>
    <tableColumn id="4778" xr3:uid="{951CD807-E50B-4FFD-A467-C362E8E2AB65}" name="Column4773"/>
    <tableColumn id="4779" xr3:uid="{F5ECAA33-FDA3-4896-A856-8C4A91801C4F}" name="Column4774"/>
    <tableColumn id="4780" xr3:uid="{7F7CBD9F-3629-4C4C-8C09-F47BC9EEC9AC}" name="Column4775"/>
    <tableColumn id="4781" xr3:uid="{A471E9E2-A6D0-498D-96C4-B21EF521A497}" name="Column4776"/>
    <tableColumn id="4782" xr3:uid="{D109F46C-AF6A-4896-A885-59996ECD9184}" name="Column4777"/>
    <tableColumn id="4783" xr3:uid="{02BC4E49-DF56-40C5-A488-22AA0D9F48DD}" name="Column4778"/>
    <tableColumn id="4784" xr3:uid="{81C2E923-13CF-4880-A35A-54E55242EA4F}" name="Column4779"/>
    <tableColumn id="4785" xr3:uid="{BB68DA04-5CE5-4D90-94A8-3809BF273BB7}" name="Column4780"/>
    <tableColumn id="4786" xr3:uid="{FA98C3C0-874F-4E28-9091-9F3DB4A126EB}" name="Column4781"/>
    <tableColumn id="4787" xr3:uid="{35A51D3E-39C6-4578-9E64-8B4C2DE1B3E5}" name="Column4782"/>
    <tableColumn id="4788" xr3:uid="{FA681D3C-DB70-45A0-9456-9983C29B47EF}" name="Column4783"/>
    <tableColumn id="4789" xr3:uid="{6036A72B-E64A-4668-A48F-FE4B2D6BC8A6}" name="Column4784"/>
    <tableColumn id="4790" xr3:uid="{B765A40A-9149-457B-B57D-0E038CCDB138}" name="Column4785"/>
    <tableColumn id="4791" xr3:uid="{6AE0B645-62A6-4F25-959C-864692027DBF}" name="Column4786"/>
    <tableColumn id="4792" xr3:uid="{6483CF2F-44E0-45FB-B7DE-09D1796AA755}" name="Column4787"/>
    <tableColumn id="4793" xr3:uid="{A242216E-EB5C-40AC-95C2-E5A6C2B824EB}" name="Column4788"/>
    <tableColumn id="4794" xr3:uid="{8F71F543-B395-4C5F-81D2-F5CA81B11FB3}" name="Column4789"/>
    <tableColumn id="4795" xr3:uid="{BF7BFD23-C759-493C-8189-9E8143671342}" name="Column4790"/>
    <tableColumn id="4796" xr3:uid="{11360AF3-D304-4EC7-BEC2-9DFC264066F8}" name="Column4791"/>
    <tableColumn id="4797" xr3:uid="{5EB10233-5750-490C-8CF2-53E2DBAAE3A8}" name="Column4792"/>
    <tableColumn id="4798" xr3:uid="{58865BFD-AADE-4A51-9C33-DC5DA5397FD7}" name="Column4793"/>
    <tableColumn id="4799" xr3:uid="{95C768D9-33B2-4182-91D2-9C756CA82DD9}" name="Column4794"/>
    <tableColumn id="4800" xr3:uid="{550E3864-03CA-4276-B349-91A89C3C993A}" name="Column4795"/>
    <tableColumn id="4801" xr3:uid="{0D25CD73-B991-42A5-8C93-163F13D2A93C}" name="Column4796"/>
    <tableColumn id="4802" xr3:uid="{6DAD3568-F4E9-45AD-8787-D4C2787DA0EF}" name="Column4797"/>
    <tableColumn id="4803" xr3:uid="{E0CFEB1E-4FB7-4531-A719-FEAF6D99DD97}" name="Column4798"/>
    <tableColumn id="4804" xr3:uid="{200CA29A-D4DB-427C-91E5-71D5AD53789E}" name="Column4799"/>
    <tableColumn id="4805" xr3:uid="{76274258-A6F6-4663-A0C7-C64591E6DBA1}" name="Column4800"/>
    <tableColumn id="4806" xr3:uid="{3B5CB724-B712-4A79-BD2E-CB3D47FAFDE4}" name="Column4801"/>
    <tableColumn id="4807" xr3:uid="{FBB7D5CC-2F04-4385-A6EB-C950BEBBF8B4}" name="Column4802"/>
    <tableColumn id="4808" xr3:uid="{DE0FA1CD-BB05-46A0-9C1C-7AB556FC923E}" name="Column4803"/>
    <tableColumn id="4809" xr3:uid="{B124C19C-C478-47E6-860B-D80F083A2828}" name="Column4804"/>
    <tableColumn id="4810" xr3:uid="{ED4237F7-D9EF-4F31-854C-E85E6614B886}" name="Column4805"/>
    <tableColumn id="4811" xr3:uid="{5B7E9E2D-BB49-4B30-A23D-DBBC20DB22DD}" name="Column4806"/>
    <tableColumn id="4812" xr3:uid="{BAC7789F-465E-438A-A557-8C766FB8484F}" name="Column4807"/>
    <tableColumn id="4813" xr3:uid="{0CD62849-23C8-4DC6-BBEE-7D550397DA16}" name="Column4808"/>
    <tableColumn id="4814" xr3:uid="{6B2A9046-6FE7-4A66-A8D9-8BA249F20898}" name="Column4809"/>
    <tableColumn id="4815" xr3:uid="{DB870867-164B-4D29-BB30-10E39668EEE4}" name="Column4810"/>
    <tableColumn id="4816" xr3:uid="{D3210999-85E2-4D45-93EB-707ADA552FEC}" name="Column4811"/>
    <tableColumn id="4817" xr3:uid="{0E8E80EB-3278-4D23-9AA5-DA8212055886}" name="Column4812"/>
    <tableColumn id="4818" xr3:uid="{4E1EA44E-6C18-486E-A8FB-6658F9CD23A3}" name="Column4813"/>
    <tableColumn id="4819" xr3:uid="{BF116FB7-44DF-4ABD-A0B4-F6E630C7AFE5}" name="Column4814"/>
    <tableColumn id="4820" xr3:uid="{CDCA2E38-C6F2-46A0-8411-2B0B36868F3C}" name="Column4815"/>
    <tableColumn id="4821" xr3:uid="{82A38EFD-814E-495E-817F-36329C174065}" name="Column4816"/>
    <tableColumn id="4822" xr3:uid="{28FBECE9-E77B-489F-97B7-8ACB2FCE8CC8}" name="Column4817"/>
    <tableColumn id="4823" xr3:uid="{1223A24B-02E4-44AA-9F09-5BDF91E5CCB8}" name="Column4818"/>
    <tableColumn id="4824" xr3:uid="{E780EBE9-4756-453A-BD11-E1F35842A548}" name="Column4819"/>
    <tableColumn id="4825" xr3:uid="{45AA27C3-81CA-4DF1-9CCD-F69B44520832}" name="Column4820"/>
    <tableColumn id="4826" xr3:uid="{23920CA8-CFD9-4A70-B82F-84504833278E}" name="Column4821"/>
    <tableColumn id="4827" xr3:uid="{958B60F4-71CA-4215-92FE-374991011C37}" name="Column4822"/>
    <tableColumn id="4828" xr3:uid="{37B59EEC-5685-468D-8818-79C75CC68E90}" name="Column4823"/>
    <tableColumn id="4829" xr3:uid="{90CCE721-D910-47D4-BD04-C7C4C4AD5A52}" name="Column4824"/>
    <tableColumn id="4830" xr3:uid="{8B90FADA-8165-41E3-9971-84CE8EC25AC4}" name="Column4825"/>
    <tableColumn id="4831" xr3:uid="{D3EDAB91-746C-4C1C-8C48-B9BCBBA57E68}" name="Column4826"/>
    <tableColumn id="4832" xr3:uid="{A06D2A73-7AAB-44EA-95F2-8F2D6874B611}" name="Column4827"/>
    <tableColumn id="4833" xr3:uid="{40BC8426-931E-495F-8B40-40115A10AE37}" name="Column4828"/>
    <tableColumn id="4834" xr3:uid="{EB65CED1-2EC4-4277-B00D-91B32D866643}" name="Column4829"/>
    <tableColumn id="4835" xr3:uid="{648575FF-0643-444F-A7F3-112A127308D2}" name="Column4830"/>
    <tableColumn id="4836" xr3:uid="{EF699A08-335A-450B-9418-24679F68B083}" name="Column4831"/>
    <tableColumn id="4837" xr3:uid="{B852160E-6957-4B61-A7EC-EDD51F9B601C}" name="Column4832"/>
    <tableColumn id="4838" xr3:uid="{4E494847-AC2C-4AAD-B0A5-85425EA91642}" name="Column4833"/>
    <tableColumn id="4839" xr3:uid="{FEAA5751-A2B7-4144-9E34-8AF05AEF1C74}" name="Column4834"/>
    <tableColumn id="4840" xr3:uid="{7954EB9E-86EB-4EF1-87A1-32502F51F98D}" name="Column4835"/>
    <tableColumn id="4841" xr3:uid="{5AD45A3F-EA7A-4EE8-A859-00A443F1B007}" name="Column4836"/>
    <tableColumn id="4842" xr3:uid="{B61E5783-B7F3-48DE-BF30-025CF6B75493}" name="Column4837"/>
    <tableColumn id="4843" xr3:uid="{C4FFE1C3-4729-46AB-BFEC-C0AAD2B1EC1E}" name="Column4838"/>
    <tableColumn id="4844" xr3:uid="{6F147BAC-9105-45FA-84E6-ABAEE776BCC6}" name="Column4839"/>
    <tableColumn id="4845" xr3:uid="{EEE0232E-ACEF-446C-99AE-07E445ABF550}" name="Column4840"/>
    <tableColumn id="4846" xr3:uid="{4C1D671E-050E-4B71-A57C-D8787CD9FC8E}" name="Column4841"/>
    <tableColumn id="4847" xr3:uid="{0547C128-BF9F-4BB6-8509-4D57534B711D}" name="Column4842"/>
    <tableColumn id="4848" xr3:uid="{396DB75A-8E58-4EEC-B36C-02AC96E53085}" name="Column4843"/>
    <tableColumn id="4849" xr3:uid="{9E3C9EA6-6A3B-46B9-8263-34FBE3B067AB}" name="Column4844"/>
    <tableColumn id="4850" xr3:uid="{7939AB73-B4CA-48EB-B70A-70ACE6458626}" name="Column4845"/>
    <tableColumn id="4851" xr3:uid="{85808983-5218-4798-9952-8C97E3AE1C94}" name="Column4846"/>
    <tableColumn id="4852" xr3:uid="{9E61247B-7C83-4EE7-9E74-A32806D9FECD}" name="Column4847"/>
    <tableColumn id="4853" xr3:uid="{BB55DB07-A82F-4855-BABD-8749E1EE2B08}" name="Column4848"/>
    <tableColumn id="4854" xr3:uid="{E2586CE5-7258-4C31-B316-69B4B6075808}" name="Column4849"/>
    <tableColumn id="4855" xr3:uid="{69736CCC-AF7A-459D-84C7-F9454446FE01}" name="Column4850"/>
    <tableColumn id="4856" xr3:uid="{5B8DD6A5-31C3-46EC-B1F9-29480486A4D1}" name="Column4851"/>
    <tableColumn id="4857" xr3:uid="{523CB733-A7F5-4F77-86E0-24AD80DDEFD8}" name="Column4852"/>
    <tableColumn id="4858" xr3:uid="{E2EFB581-9209-4DCF-883D-5EF718C72ECC}" name="Column4853"/>
    <tableColumn id="4859" xr3:uid="{05A4FE25-CA58-4593-B80B-7002DEA86E44}" name="Column4854"/>
    <tableColumn id="4860" xr3:uid="{2C1F5EEF-4C6E-4494-9922-7F3DD7CC865E}" name="Column4855"/>
    <tableColumn id="4861" xr3:uid="{B5F1BA43-425D-41E7-99B5-A5EE308D2EC6}" name="Column4856"/>
    <tableColumn id="4862" xr3:uid="{6B3A593A-FC68-4BEA-A3BD-8CCD5255557B}" name="Column4857"/>
    <tableColumn id="4863" xr3:uid="{0BC98A4B-E7FD-4549-B5F9-51DB63FC24D0}" name="Column4858"/>
    <tableColumn id="4864" xr3:uid="{AF1AF977-DAD9-4D99-A1B5-E5A915319383}" name="Column4859"/>
    <tableColumn id="4865" xr3:uid="{CE33F975-9F9A-4B97-9FE8-8F1F4D5E34D8}" name="Column4860"/>
    <tableColumn id="4866" xr3:uid="{AFCFAB93-4F36-4E3F-9562-F5D918B69AF8}" name="Column4861"/>
    <tableColumn id="4867" xr3:uid="{230B755A-DF5F-4719-9FCC-4F621DC60CAA}" name="Column4862"/>
    <tableColumn id="4868" xr3:uid="{D4A35E68-3AB5-490C-A2F4-AB36E3E00080}" name="Column4863"/>
    <tableColumn id="4869" xr3:uid="{2D9038A0-78BA-421B-895D-8B6843BD8958}" name="Column4864"/>
    <tableColumn id="4870" xr3:uid="{9A539303-D9AA-4F31-9B25-E45AD4B5AF46}" name="Column4865"/>
    <tableColumn id="4871" xr3:uid="{E697FEFF-6E38-44FD-8ED9-9814BF147EC4}" name="Column4866"/>
    <tableColumn id="4872" xr3:uid="{11651B73-1594-444F-B129-CFF271EC31C9}" name="Column4867"/>
    <tableColumn id="4873" xr3:uid="{DCC72E08-A2EB-499C-8B70-3E3C5F39C960}" name="Column4868"/>
    <tableColumn id="4874" xr3:uid="{FF409B50-5DBC-459C-A224-FC228E475C72}" name="Column4869"/>
    <tableColumn id="4875" xr3:uid="{5252645F-C3EF-4DC9-96CF-6709E8F724F0}" name="Column4870"/>
    <tableColumn id="4876" xr3:uid="{0BD859F0-EDD4-4DB3-AD8A-39F9BB748C28}" name="Column4871"/>
    <tableColumn id="4877" xr3:uid="{6F404086-3CDC-40CD-AD34-9338DA93D736}" name="Column4872"/>
    <tableColumn id="4878" xr3:uid="{8BC81471-1AB9-4CE1-939F-822465258E1A}" name="Column4873"/>
    <tableColumn id="4879" xr3:uid="{D257824C-28C5-45A4-A9FE-9D478E19E983}" name="Column4874"/>
    <tableColumn id="4880" xr3:uid="{93BCA1A8-89B0-489E-A83B-4DA2EED9A85C}" name="Column4875"/>
    <tableColumn id="4881" xr3:uid="{9C108790-3B8F-4FEA-86C3-2CFDF78415C1}" name="Column4876"/>
    <tableColumn id="4882" xr3:uid="{C6EE4D78-410E-4DB8-AADF-11C550C0F2C4}" name="Column4877"/>
    <tableColumn id="4883" xr3:uid="{7C673613-CB82-4309-959B-BBAE5FD231A7}" name="Column4878"/>
    <tableColumn id="4884" xr3:uid="{F4CF22C9-15D4-477C-8DC3-976930551623}" name="Column4879"/>
    <tableColumn id="4885" xr3:uid="{47DB4DE4-A982-4E80-92B9-6F024B40C41D}" name="Column4880"/>
    <tableColumn id="4886" xr3:uid="{4E47B7AE-2015-4FA7-8E42-4CC38A4F7B7E}" name="Column4881"/>
    <tableColumn id="4887" xr3:uid="{27DA2CBE-44A3-4DEA-B830-688245B29549}" name="Column4882"/>
    <tableColumn id="4888" xr3:uid="{8676F58A-CB98-44FB-B493-E943810991F8}" name="Column4883"/>
    <tableColumn id="4889" xr3:uid="{832076A3-C458-430C-9CC6-E2DE0383C587}" name="Column4884"/>
    <tableColumn id="4890" xr3:uid="{27CB114D-227D-4796-8571-B952FA08BA1E}" name="Column4885"/>
    <tableColumn id="4891" xr3:uid="{6DE16417-C223-47FC-8E63-D8184E2DDE95}" name="Column4886"/>
    <tableColumn id="4892" xr3:uid="{24285417-E392-4ED6-B0AF-05075FCDB82A}" name="Column4887"/>
    <tableColumn id="4893" xr3:uid="{D992342A-40ED-4E47-9E1C-22F9BAD2C7AB}" name="Column4888"/>
    <tableColumn id="4894" xr3:uid="{65717202-3F80-4A0B-AE31-F8DCBECB2D33}" name="Column4889"/>
    <tableColumn id="4895" xr3:uid="{065CB7D6-3DE4-43AF-A608-748A1F7D2461}" name="Column4890"/>
    <tableColumn id="4896" xr3:uid="{5472CF20-D007-4401-9E94-5CC87D9EB5F4}" name="Column4891"/>
    <tableColumn id="4897" xr3:uid="{7803441B-B2A8-4E62-8CF3-305834039BF2}" name="Column4892"/>
    <tableColumn id="4898" xr3:uid="{7AC079B5-7904-4149-96C9-41E8580C4634}" name="Column4893"/>
    <tableColumn id="4899" xr3:uid="{956EB17E-74EA-43E5-8A12-46871DF2F21D}" name="Column4894"/>
    <tableColumn id="4900" xr3:uid="{39582E7C-C804-4143-816C-1DC9EBBF1D8F}" name="Column4895"/>
    <tableColumn id="4901" xr3:uid="{B1E3EEF2-45F6-46E1-8015-9B05B7C70F65}" name="Column4896"/>
    <tableColumn id="4902" xr3:uid="{C6E009B9-F3D9-4D80-8C1E-C3ADAFE3B0D6}" name="Column4897"/>
    <tableColumn id="4903" xr3:uid="{36A7C853-55C9-402B-8CC1-1D96008C4D37}" name="Column4898"/>
    <tableColumn id="4904" xr3:uid="{35FFCC39-C2EF-42CA-9F9E-CD2A5BEA4762}" name="Column4899"/>
    <tableColumn id="4905" xr3:uid="{6E92A8F1-1A01-4167-A71B-0FE424198381}" name="Column4900"/>
    <tableColumn id="4906" xr3:uid="{0787E88F-6C27-4F6F-AE93-9ADFD45180B8}" name="Column4901"/>
    <tableColumn id="4907" xr3:uid="{6668E76A-46B2-4356-933E-10AFE9301ED9}" name="Column4902"/>
    <tableColumn id="4908" xr3:uid="{18D69AAA-F3EF-4D61-9DE8-DC0F6D25F262}" name="Column4903"/>
    <tableColumn id="4909" xr3:uid="{6518282D-1C50-4F80-9D69-6C0E21DB74FD}" name="Column4904"/>
    <tableColumn id="4910" xr3:uid="{7A284750-4190-4CAD-B70A-E864A3221C5E}" name="Column4905"/>
    <tableColumn id="4911" xr3:uid="{9ED05F09-1F3B-4621-9181-CDB1BE9A322C}" name="Column4906"/>
    <tableColumn id="4912" xr3:uid="{CABE00C4-11D4-4A04-B9AC-05D35FF015CD}" name="Column4907"/>
    <tableColumn id="4913" xr3:uid="{0B536871-D3DC-48F9-A5C1-7BFEC5F43C62}" name="Column4908"/>
    <tableColumn id="4914" xr3:uid="{DE0637BE-F6EF-45B1-A63B-92ECF5D09811}" name="Column4909"/>
    <tableColumn id="4915" xr3:uid="{A6D24338-F993-4D48-937D-E6ED655C40EE}" name="Column4910"/>
    <tableColumn id="4916" xr3:uid="{8A969C10-DA84-4B62-99C1-2E751D00C906}" name="Column4911"/>
    <tableColumn id="4917" xr3:uid="{4691A927-CA32-4427-9974-6A46AB6C9B83}" name="Column4912"/>
    <tableColumn id="4918" xr3:uid="{476D4B26-003B-4588-9ABF-8496A026B6C2}" name="Column4913"/>
    <tableColumn id="4919" xr3:uid="{00A0986D-AFA2-4B71-913D-84CBDECA5FD8}" name="Column4914"/>
    <tableColumn id="4920" xr3:uid="{9EC56D01-1382-46F0-9775-993482F109BE}" name="Column4915"/>
    <tableColumn id="4921" xr3:uid="{03E254B6-9982-4B11-B879-5A9E185D0953}" name="Column4916"/>
    <tableColumn id="4922" xr3:uid="{AF258552-54C3-469F-AB8A-1F094E4209B2}" name="Column4917"/>
    <tableColumn id="4923" xr3:uid="{BFD4CC64-FF6E-4D07-8DB1-D756359850E4}" name="Column4918"/>
    <tableColumn id="4924" xr3:uid="{AE256F29-5F4E-4CB8-8F5B-1D81E81A9BB3}" name="Column4919"/>
    <tableColumn id="4925" xr3:uid="{84B795D9-9F53-4D07-854F-72BEF6944F45}" name="Column4920"/>
    <tableColumn id="4926" xr3:uid="{6C437179-5EDC-4D07-971D-0FF54A181A01}" name="Column4921"/>
    <tableColumn id="4927" xr3:uid="{08174B9E-B372-4857-9D5B-3F64554FB274}" name="Column4922"/>
    <tableColumn id="4928" xr3:uid="{DD944D0D-B726-467B-B4D6-728FAB70F6B3}" name="Column4923"/>
    <tableColumn id="4929" xr3:uid="{9DD10966-6008-4FB1-95A0-0E0617F833E6}" name="Column4924"/>
    <tableColumn id="4930" xr3:uid="{7CC32BF2-9AD4-4656-9323-3B3C2B2D89C0}" name="Column4925"/>
    <tableColumn id="4931" xr3:uid="{CB60CA05-CDC3-4690-A8EF-CF18909BE462}" name="Column4926"/>
    <tableColumn id="4932" xr3:uid="{181CCC53-7BE7-4799-8359-ED61EA3F1A7E}" name="Column4927"/>
    <tableColumn id="4933" xr3:uid="{7C15B343-033C-4E10-A95B-484F2E7C3B62}" name="Column4928"/>
    <tableColumn id="4934" xr3:uid="{74A4A279-A1BE-44F2-98AC-4B9C81EB06A4}" name="Column4929"/>
    <tableColumn id="4935" xr3:uid="{4E98D78C-1CA1-4239-B504-2D56F3E14C01}" name="Column4930"/>
    <tableColumn id="4936" xr3:uid="{D1971EF3-A8DC-46CC-A8D3-C2943C7AEC16}" name="Column4931"/>
    <tableColumn id="4937" xr3:uid="{95005EE1-3601-457C-BDE8-7003025CB177}" name="Column4932"/>
    <tableColumn id="4938" xr3:uid="{8F6DCEC5-8A75-4B76-B727-EF48ECE65765}" name="Column4933"/>
    <tableColumn id="4939" xr3:uid="{E3EE974B-4788-4238-8C8A-9FB9569CBC61}" name="Column4934"/>
    <tableColumn id="4940" xr3:uid="{35E2D6F8-110E-4AE3-A6AA-61EEF824EBB9}" name="Column4935"/>
    <tableColumn id="4941" xr3:uid="{7028CA8D-2414-48BB-B562-D40F03457EF7}" name="Column4936"/>
    <tableColumn id="4942" xr3:uid="{F8345BD3-0AD5-4E66-B324-7F8AE4DE8D88}" name="Column4937"/>
    <tableColumn id="4943" xr3:uid="{B409E3F1-ECA4-4931-897A-C4B91F5BC765}" name="Column4938"/>
    <tableColumn id="4944" xr3:uid="{2D3524F9-DC3F-4F0E-B729-4F7E8198E909}" name="Column4939"/>
    <tableColumn id="4945" xr3:uid="{07933756-C8A7-479C-86E1-1C395C5936CF}" name="Column4940"/>
    <tableColumn id="4946" xr3:uid="{50B21909-6946-41D2-9447-87B92297BC53}" name="Column4941"/>
    <tableColumn id="4947" xr3:uid="{6CA8811B-7CEF-4E45-A485-5791F4CCCFC5}" name="Column4942"/>
    <tableColumn id="4948" xr3:uid="{47B8B7DD-0753-48A5-96D1-91240ABD91C0}" name="Column4943"/>
    <tableColumn id="4949" xr3:uid="{7C00249F-2E62-4241-8E13-B07885993896}" name="Column4944"/>
    <tableColumn id="4950" xr3:uid="{D9CED69F-D506-4693-A703-76D4130E3A04}" name="Column4945"/>
    <tableColumn id="4951" xr3:uid="{C53588C6-A921-42F4-AB8C-E17A4CAA0024}" name="Column4946"/>
    <tableColumn id="4952" xr3:uid="{4838F2DB-9E7E-40FD-A163-C7EAE06A093A}" name="Column4947"/>
    <tableColumn id="4953" xr3:uid="{009FF19A-3EC8-4B2C-80A5-D6998A0C438B}" name="Column4948"/>
    <tableColumn id="4954" xr3:uid="{9CE12E50-B5A3-4063-BFC8-314CA159F55C}" name="Column4949"/>
    <tableColumn id="4955" xr3:uid="{957C4EA3-1045-40D9-945B-B5620D785ADB}" name="Column4950"/>
    <tableColumn id="4956" xr3:uid="{03001C1C-5765-4173-ADE0-2E78812D5459}" name="Column4951"/>
    <tableColumn id="4957" xr3:uid="{5B707341-2E1A-4466-99B7-A3ADAB34290F}" name="Column4952"/>
    <tableColumn id="4958" xr3:uid="{2E2E7C46-7875-483A-9B42-80AB8A98FB1E}" name="Column4953"/>
    <tableColumn id="4959" xr3:uid="{C1D55899-DCA5-43B2-A599-A4F150A2E8AD}" name="Column4954"/>
    <tableColumn id="4960" xr3:uid="{1805A8F9-1BFA-4F86-B6B5-E71E53F77ABD}" name="Column4955"/>
    <tableColumn id="4961" xr3:uid="{DED4D37A-C816-449C-8772-9E594A3CA52B}" name="Column4956"/>
    <tableColumn id="4962" xr3:uid="{D0E19DF4-E7BF-4767-9C8A-3065BDC84972}" name="Column4957"/>
    <tableColumn id="4963" xr3:uid="{00F5DD96-7740-4AEF-9817-B2DB7A7EF740}" name="Column4958"/>
    <tableColumn id="4964" xr3:uid="{CA695895-8004-4893-8EC1-C870517E7032}" name="Column4959"/>
    <tableColumn id="4965" xr3:uid="{3A04FC1E-622F-4A91-8857-C92F6317C9BB}" name="Column4960"/>
    <tableColumn id="4966" xr3:uid="{FFC2297C-0656-4742-8BDA-AAF596DDD6C1}" name="Column4961"/>
    <tableColumn id="4967" xr3:uid="{0E62FD12-D7E2-414F-A6AA-3F8AA853C498}" name="Column4962"/>
    <tableColumn id="4968" xr3:uid="{F7C49B31-9156-4C00-A336-986D772360DF}" name="Column4963"/>
    <tableColumn id="4969" xr3:uid="{1FC68E65-5C45-4C95-91C3-C0027B923C7B}" name="Column4964"/>
    <tableColumn id="4970" xr3:uid="{22C15703-0CC2-4377-9EFA-B8CCDBFDCAA5}" name="Column4965"/>
    <tableColumn id="4971" xr3:uid="{CB835DA5-CDB7-404F-95DD-0A2C8EBA0028}" name="Column4966"/>
    <tableColumn id="4972" xr3:uid="{0AA52E78-D382-4EA4-9B8A-AA9376B8C9B3}" name="Column4967"/>
    <tableColumn id="4973" xr3:uid="{5364D915-6AA6-4AC4-9C11-33C1F56EF7D0}" name="Column4968"/>
    <tableColumn id="4974" xr3:uid="{3BD2F4B3-66C7-4961-B394-D9EE82AF38FB}" name="Column4969"/>
    <tableColumn id="4975" xr3:uid="{1C1C3675-5AFA-4EC3-9556-2E154230DC9D}" name="Column4970"/>
    <tableColumn id="4976" xr3:uid="{888CA9B1-F9DF-43FE-A56C-2D4FD2A8EB1B}" name="Column4971"/>
    <tableColumn id="4977" xr3:uid="{7EE76C06-0E66-4DA4-8D98-7503DC1C5A0F}" name="Column4972"/>
    <tableColumn id="4978" xr3:uid="{DC3ABC06-178E-4041-9A68-7B36A5B0750E}" name="Column4973"/>
    <tableColumn id="4979" xr3:uid="{1124403B-AF84-46C4-840D-72107BD212DB}" name="Column4974"/>
    <tableColumn id="4980" xr3:uid="{C453343D-55D2-4B6A-AFBC-8443253CED12}" name="Column4975"/>
    <tableColumn id="4981" xr3:uid="{10F6AE3A-E405-4E53-AD9E-CB21497A71DC}" name="Column4976"/>
    <tableColumn id="4982" xr3:uid="{97DEC950-6D79-462B-A093-8019FE1141D6}" name="Column4977"/>
    <tableColumn id="4983" xr3:uid="{A0983980-F56A-48F5-B1E7-87ED9F111619}" name="Column4978"/>
    <tableColumn id="4984" xr3:uid="{AEEE8D43-E784-4546-A11A-64115265AFE3}" name="Column4979"/>
    <tableColumn id="4985" xr3:uid="{0F1CEA63-8096-4F37-960C-CE85CB2124D0}" name="Column4980"/>
    <tableColumn id="4986" xr3:uid="{6C02A30F-0C3A-4A62-9D44-EF7421BAC0B6}" name="Column4981"/>
    <tableColumn id="4987" xr3:uid="{7ACC112A-DC94-4B78-B8DA-56F38035BEF7}" name="Column4982"/>
    <tableColumn id="4988" xr3:uid="{24F9C746-5FE6-4B80-A560-0F03908A387D}" name="Column4983"/>
    <tableColumn id="4989" xr3:uid="{1093A46F-F97F-493E-A880-7BEDEF85258C}" name="Column4984"/>
    <tableColumn id="4990" xr3:uid="{1334D481-C34E-44CA-8DA3-7FCFD659024C}" name="Column4985"/>
    <tableColumn id="4991" xr3:uid="{CE253BAA-4DE1-44DB-8E74-DEB04B82A9B5}" name="Column4986"/>
    <tableColumn id="4992" xr3:uid="{3A2D20FC-6EC9-4D19-BBDA-3D7A490F13D5}" name="Column4987"/>
    <tableColumn id="4993" xr3:uid="{DF67667D-D7B1-43A9-BC44-08E3D6057D97}" name="Column4988"/>
    <tableColumn id="4994" xr3:uid="{D7C39FFC-0EFE-4B5F-899E-734EE1E70C05}" name="Column4989"/>
    <tableColumn id="4995" xr3:uid="{3E872FA2-4C28-466E-972F-AE05BB6FF179}" name="Column4990"/>
    <tableColumn id="4996" xr3:uid="{C468E31F-6D9F-4707-832B-62BC1629A752}" name="Column4991"/>
    <tableColumn id="4997" xr3:uid="{7213BA6A-15D4-4025-8DE0-B6A33775CED5}" name="Column4992"/>
    <tableColumn id="4998" xr3:uid="{AA547DF1-6830-4538-8553-15A7B4264296}" name="Column4993"/>
    <tableColumn id="4999" xr3:uid="{7C20F227-0C49-43F7-AEED-37CD7108A1A5}" name="Column4994"/>
    <tableColumn id="5000" xr3:uid="{D2B29766-0670-44DB-A68D-EBEE6E727885}" name="Column4995"/>
    <tableColumn id="5001" xr3:uid="{69DCBD34-07C5-4D8E-B38E-E3963EAE2095}" name="Column4996"/>
    <tableColumn id="5002" xr3:uid="{D078A99D-D95F-4A39-AEA3-DD6A6DE7A693}" name="Column4997"/>
    <tableColumn id="5003" xr3:uid="{F82BF227-210F-4836-9CAE-A320294F1C2D}" name="Column4998"/>
    <tableColumn id="5004" xr3:uid="{DA62B8D4-571C-4136-8C9C-46F8B47EAF57}" name="Column4999"/>
    <tableColumn id="5005" xr3:uid="{9EAA0B5B-2A27-4870-B629-79CDA8E3CE24}" name="Column5000"/>
    <tableColumn id="5006" xr3:uid="{232F723A-A99C-4D56-880F-E6BB282D4C07}" name="Column5001"/>
    <tableColumn id="5007" xr3:uid="{B12091C0-A036-4452-B993-83A78D0DA591}" name="Column5002"/>
    <tableColumn id="5008" xr3:uid="{CB652EDA-BF58-4007-BBE6-D51C86AB0F2C}" name="Column5003"/>
    <tableColumn id="5009" xr3:uid="{C158C826-7EAC-4345-9157-1844DD32DE85}" name="Column5004"/>
    <tableColumn id="5010" xr3:uid="{832B8A9F-D679-4407-A426-D447E9C29646}" name="Column5005"/>
    <tableColumn id="5011" xr3:uid="{05D1A4C0-37D0-4F0F-ABC4-3094CAD380F0}" name="Column5006"/>
    <tableColumn id="5012" xr3:uid="{8E2C645B-9A5E-48C2-9F5E-DAB91F71E789}" name="Column5007"/>
    <tableColumn id="5013" xr3:uid="{85DB0130-3938-4CCE-86DD-0844B80E05DE}" name="Column5008"/>
    <tableColumn id="5014" xr3:uid="{DFFB5FD9-6F32-44AD-89CE-6696CE9526C0}" name="Column5009"/>
    <tableColumn id="5015" xr3:uid="{67FF4211-31A3-4A4A-A5F1-B38C18523B3B}" name="Column5010"/>
    <tableColumn id="5016" xr3:uid="{23164208-786B-4331-B79C-E1C26299C233}" name="Column5011"/>
    <tableColumn id="5017" xr3:uid="{D4323014-6A53-4BF9-BA65-B9FA9876BD37}" name="Column5012"/>
    <tableColumn id="5018" xr3:uid="{3C869A84-FF09-465B-BC2D-A356F6B0C73D}" name="Column5013"/>
    <tableColumn id="5019" xr3:uid="{8A8CF562-916B-4E69-BABF-C59737A1F7C0}" name="Column5014"/>
    <tableColumn id="5020" xr3:uid="{6412FAC5-DEC5-45A5-B561-9734B8145927}" name="Column5015"/>
    <tableColumn id="5021" xr3:uid="{6AF681E3-B1CB-44FC-88EF-4DD7544EEAA0}" name="Column5016"/>
    <tableColumn id="5022" xr3:uid="{BDE4AAA1-8E13-4FD0-8CCA-1E88E1504BAB}" name="Column5017"/>
    <tableColumn id="5023" xr3:uid="{7DDEFF47-4D7F-4862-AA76-549C12E7C81E}" name="Column5018"/>
    <tableColumn id="5024" xr3:uid="{668D6172-72F6-4184-A814-57BCE207D801}" name="Column5019"/>
    <tableColumn id="5025" xr3:uid="{79E28D50-1F1F-407D-A144-2940F8F20575}" name="Column5020"/>
    <tableColumn id="5026" xr3:uid="{4CB1A587-2CC6-4B4C-B9F7-36E8B5136FFC}" name="Column5021"/>
    <tableColumn id="5027" xr3:uid="{70E3E3B6-4DBD-4FF4-98AD-0B959A5F9B69}" name="Column5022"/>
    <tableColumn id="5028" xr3:uid="{A92CED59-98D7-4C71-87E7-079CC3A94DFA}" name="Column5023"/>
    <tableColumn id="5029" xr3:uid="{53A09051-D8F6-411E-8698-C8AAB4189AC5}" name="Column5024"/>
    <tableColumn id="5030" xr3:uid="{238038B5-9A7B-40FC-AE4D-487FEDEFF897}" name="Column5025"/>
    <tableColumn id="5031" xr3:uid="{29140A45-7C12-455A-8492-1D7B8FB3CE79}" name="Column5026"/>
    <tableColumn id="5032" xr3:uid="{2B31A8D4-FAB2-4B3A-8B7B-C9ECB4D72A10}" name="Column5027"/>
    <tableColumn id="5033" xr3:uid="{065DB23F-23C3-4383-B990-057A902CB548}" name="Column5028"/>
    <tableColumn id="5034" xr3:uid="{E60C7373-3A6C-461F-9D0C-153E0C93108C}" name="Column5029"/>
    <tableColumn id="5035" xr3:uid="{0F29892C-2287-43AE-B1C4-F9C2BC9C054C}" name="Column5030"/>
    <tableColumn id="5036" xr3:uid="{B395810C-72BD-412B-9A88-C818227DDE8C}" name="Column5031"/>
    <tableColumn id="5037" xr3:uid="{B1300636-D897-46BD-B696-DF6C5526B43E}" name="Column5032"/>
    <tableColumn id="5038" xr3:uid="{539FB626-46E8-4530-BF68-7F10D50FB90B}" name="Column5033"/>
    <tableColumn id="5039" xr3:uid="{073E3161-1517-473A-822B-6DAE50073E43}" name="Column5034"/>
    <tableColumn id="5040" xr3:uid="{A0608FA8-FA88-42EE-9B57-8E086FEE67EB}" name="Column5035"/>
    <tableColumn id="5041" xr3:uid="{37B00A38-118C-493F-A842-678725FD621D}" name="Column5036"/>
    <tableColumn id="5042" xr3:uid="{6B44C5B8-3AD1-4AE1-8292-13D889DA83EC}" name="Column5037"/>
    <tableColumn id="5043" xr3:uid="{5095351D-6A92-4991-9D17-502D0D2C9C92}" name="Column5038"/>
    <tableColumn id="5044" xr3:uid="{F8C61EE5-BB65-4805-841E-717D1021F95A}" name="Column5039"/>
    <tableColumn id="5045" xr3:uid="{4287D611-830D-4D06-A599-FC612EF3BA46}" name="Column5040"/>
    <tableColumn id="5046" xr3:uid="{F1244D1C-92D4-47C4-B2D2-47D57E7D9C69}" name="Column5041"/>
    <tableColumn id="5047" xr3:uid="{FCD835E4-3F7F-4175-BA83-BF5D052868C3}" name="Column5042"/>
    <tableColumn id="5048" xr3:uid="{A988FAA4-9103-4F4D-A543-819039798584}" name="Column5043"/>
    <tableColumn id="5049" xr3:uid="{D87DDF15-42B3-4C56-9033-1EFC2B4E2A7C}" name="Column5044"/>
    <tableColumn id="5050" xr3:uid="{E3E092E5-9C2D-4942-9E99-8F88F5E33737}" name="Column5045"/>
    <tableColumn id="5051" xr3:uid="{919E2BB9-016A-4E3A-89D5-B5A09C9D67C0}" name="Column5046"/>
    <tableColumn id="5052" xr3:uid="{B343271A-D389-43CA-98A2-6A1331E45270}" name="Column5047"/>
    <tableColumn id="5053" xr3:uid="{DFD11EDF-D23C-4540-8000-9FBA37E73AC3}" name="Column5048"/>
    <tableColumn id="5054" xr3:uid="{B3EEEEC3-1565-4A3A-89D4-DA7C13A6AA69}" name="Column5049"/>
    <tableColumn id="5055" xr3:uid="{053929EA-E4F5-4EFC-A9A9-05BA57920F37}" name="Column5050"/>
    <tableColumn id="5056" xr3:uid="{AAAF50E2-AAAB-45FC-A1CF-1A4D3F66822E}" name="Column5051"/>
    <tableColumn id="5057" xr3:uid="{27298B30-7B16-4866-A9A5-4B29B475B346}" name="Column5052"/>
    <tableColumn id="5058" xr3:uid="{E011E7D1-9BA6-467A-A9FD-DAFBCFCB6B91}" name="Column5053"/>
    <tableColumn id="5059" xr3:uid="{9405597D-2CBB-4A6D-A804-87E227160A77}" name="Column5054"/>
    <tableColumn id="5060" xr3:uid="{222DEF03-9835-4519-9C1B-02FF942999C1}" name="Column5055"/>
    <tableColumn id="5061" xr3:uid="{115D0A7C-5C17-44DC-8F93-D6818F96AD84}" name="Column5056"/>
    <tableColumn id="5062" xr3:uid="{95EA2891-C3BE-470E-83A8-B558C0F4C8DE}" name="Column5057"/>
    <tableColumn id="5063" xr3:uid="{D15C2470-0C6E-4D7E-A916-50B20B118F2A}" name="Column5058"/>
    <tableColumn id="5064" xr3:uid="{DF5EF99B-A86F-4563-9E9A-4F33532E7CB4}" name="Column5059"/>
    <tableColumn id="5065" xr3:uid="{FC68C353-A6FF-477E-B63E-4ACE216EC4A8}" name="Column5060"/>
    <tableColumn id="5066" xr3:uid="{37C22AC3-7171-4F20-9B98-00648F27FE46}" name="Column5061"/>
    <tableColumn id="5067" xr3:uid="{C0C1F2EB-1508-4D38-A474-4BD713BF4FDF}" name="Column5062"/>
    <tableColumn id="5068" xr3:uid="{93D528D8-D1B0-45D5-8D4A-97258C8B8D31}" name="Column5063"/>
    <tableColumn id="5069" xr3:uid="{51ABFC9F-B5AC-4813-9D9A-8F6761D8AD56}" name="Column5064"/>
    <tableColumn id="5070" xr3:uid="{CAD5F82A-925C-46CE-9F72-AD361AB8530B}" name="Column5065"/>
    <tableColumn id="5071" xr3:uid="{A64A6954-A730-4E9E-8161-5A5AC7117780}" name="Column5066"/>
    <tableColumn id="5072" xr3:uid="{D65F1F2A-297F-4C33-8546-63B6DB5BFB90}" name="Column5067"/>
    <tableColumn id="5073" xr3:uid="{9211E1FA-99AE-4481-B926-A979E642E7F9}" name="Column5068"/>
    <tableColumn id="5074" xr3:uid="{D5C8A35B-EB3C-48BE-98AA-37F4A224C1FD}" name="Column5069"/>
    <tableColumn id="5075" xr3:uid="{AE35B868-06A8-448C-B12E-D8649CFEF813}" name="Column5070"/>
    <tableColumn id="5076" xr3:uid="{DF665C45-A7C1-434E-9463-5624B977CC48}" name="Column5071"/>
    <tableColumn id="5077" xr3:uid="{B3B7FED0-81EA-4D38-BC4B-68DFF4CB6519}" name="Column5072"/>
    <tableColumn id="5078" xr3:uid="{9A65B0B8-5D87-4FFF-8207-7F12CA2437F6}" name="Column5073"/>
    <tableColumn id="5079" xr3:uid="{0B018DD3-1A5E-424A-B9B8-FA8687BE2CCF}" name="Column5074"/>
    <tableColumn id="5080" xr3:uid="{BF1C769C-767D-4A14-ADE6-37DBA1C40F35}" name="Column5075"/>
    <tableColumn id="5081" xr3:uid="{7030BA5F-16B9-4351-B854-9A1608EEA8C5}" name="Column5076"/>
    <tableColumn id="5082" xr3:uid="{2B8F30C6-E484-4A85-B49E-9D87C707DCF7}" name="Column5077"/>
    <tableColumn id="5083" xr3:uid="{651FC190-3134-426F-904C-B48BB3EC6348}" name="Column5078"/>
    <tableColumn id="5084" xr3:uid="{C364E168-9F8A-4D32-8020-A5B3B5767A8E}" name="Column5079"/>
    <tableColumn id="5085" xr3:uid="{647ED4F0-F468-4383-8D3B-35DF98EC7EC1}" name="Column5080"/>
    <tableColumn id="5086" xr3:uid="{AEB97962-D370-4B90-8F0D-1B2347A42D60}" name="Column5081"/>
    <tableColumn id="5087" xr3:uid="{0938E94C-D562-4D66-A101-585B5A3AED6A}" name="Column5082"/>
    <tableColumn id="5088" xr3:uid="{B280D47C-CCFC-4033-B36F-50D4733F0FBE}" name="Column5083"/>
    <tableColumn id="5089" xr3:uid="{1EAA6B19-2419-4F03-B8CE-BAEC2B80A478}" name="Column5084"/>
    <tableColumn id="5090" xr3:uid="{96A8222A-2CA6-4BA3-B6F9-1CBCBC58FB3B}" name="Column5085"/>
    <tableColumn id="5091" xr3:uid="{51703671-46ED-40DD-A941-6B7AB7912C35}" name="Column5086"/>
    <tableColumn id="5092" xr3:uid="{758A2A8F-390E-42D0-82CC-3CD082AD11B6}" name="Column5087"/>
    <tableColumn id="5093" xr3:uid="{4C0EA089-17C4-49D5-B806-70986DF4F929}" name="Column5088"/>
    <tableColumn id="5094" xr3:uid="{6CD45CC0-3AF0-4FF9-A6EE-491A8784EAFC}" name="Column5089"/>
    <tableColumn id="5095" xr3:uid="{4A6ACF5C-85FC-4875-A326-C569B16F9DBA}" name="Column5090"/>
    <tableColumn id="5096" xr3:uid="{61D989D9-2DF5-4554-8988-E1ADB1406570}" name="Column5091"/>
    <tableColumn id="5097" xr3:uid="{A8BBD424-442B-4C82-AC06-DE5B80AD7D30}" name="Column5092"/>
    <tableColumn id="5098" xr3:uid="{FE37EC6F-9276-4D98-918A-0AA9E043C767}" name="Column5093"/>
    <tableColumn id="5099" xr3:uid="{B8D4E488-CA49-4E2D-840A-59496CEC0B33}" name="Column5094"/>
    <tableColumn id="5100" xr3:uid="{4DA53161-820A-4CBB-B74B-ED7C07E67449}" name="Column5095"/>
    <tableColumn id="5101" xr3:uid="{9BE3D87A-4779-4968-9A14-D5BD9DDA76F0}" name="Column5096"/>
    <tableColumn id="5102" xr3:uid="{1B165505-CE4D-4DD3-8BEC-D96077ACCB88}" name="Column5097"/>
    <tableColumn id="5103" xr3:uid="{3E884131-EECE-4DCC-B9D3-5918C0DC22D9}" name="Column5098"/>
    <tableColumn id="5104" xr3:uid="{F13CB24B-4284-4778-B413-1127025E1AA6}" name="Column5099"/>
    <tableColumn id="5105" xr3:uid="{53811001-E391-4C00-B107-312A12FDFAF9}" name="Column5100"/>
    <tableColumn id="5106" xr3:uid="{AD45F766-D3F1-4B75-A160-325253FC660E}" name="Column5101"/>
    <tableColumn id="5107" xr3:uid="{06107CFD-EDAD-4200-B291-654FD4A2F8E5}" name="Column5102"/>
    <tableColumn id="5108" xr3:uid="{83C0DC2F-490E-4F7E-BEDB-A6764C21C28B}" name="Column5103"/>
    <tableColumn id="5109" xr3:uid="{30B7B2EE-D6FD-45B0-A4A3-DCDDEEBD2128}" name="Column5104"/>
    <tableColumn id="5110" xr3:uid="{1B3A13E4-2EDE-441C-B7B1-7DEC842354C7}" name="Column5105"/>
    <tableColumn id="5111" xr3:uid="{B3832F6C-B970-418C-AE5C-DCC96766F78F}" name="Column5106"/>
    <tableColumn id="5112" xr3:uid="{8782F373-8790-486E-BE2A-99593D6F8163}" name="Column5107"/>
    <tableColumn id="5113" xr3:uid="{34A7D082-AE09-4A29-89C8-5E69BA8538B3}" name="Column5108"/>
    <tableColumn id="5114" xr3:uid="{383FEA70-341A-4C0F-9292-3BF39C01E521}" name="Column5109"/>
    <tableColumn id="5115" xr3:uid="{CD1B1215-8B37-48E1-8AD4-8732B6EA9340}" name="Column5110"/>
    <tableColumn id="5116" xr3:uid="{F64FEF46-DC37-43CA-9F97-9FDB84AB9E91}" name="Column5111"/>
    <tableColumn id="5117" xr3:uid="{2920CA5E-197F-40B6-B224-DF1BC5C394F1}" name="Column5112"/>
    <tableColumn id="5118" xr3:uid="{4D19EFE6-DA94-4EF6-BC2D-5095A61EAC32}" name="Column5113"/>
    <tableColumn id="5119" xr3:uid="{812E85F0-0500-41B4-B608-06488A740D4E}" name="Column5114"/>
    <tableColumn id="5120" xr3:uid="{8B0A0381-DA02-4DB3-9AC5-CD70765A0485}" name="Column5115"/>
    <tableColumn id="5121" xr3:uid="{90105950-ACEF-46A1-8A9D-2BC85D7E40C5}" name="Column5116"/>
    <tableColumn id="5122" xr3:uid="{87D3934F-B95C-4A1D-B3BE-D81D0DDF05B8}" name="Column5117"/>
    <tableColumn id="5123" xr3:uid="{1088764B-FE54-4C16-B4DB-ED503A0EF7D8}" name="Column5118"/>
    <tableColumn id="5124" xr3:uid="{E4B2B235-C7B7-40CC-A871-937F3641EADF}" name="Column5119"/>
    <tableColumn id="5125" xr3:uid="{3E7610C6-664C-408E-85CD-D8EB2A84391B}" name="Column5120"/>
    <tableColumn id="5126" xr3:uid="{E99F8BCF-CA6B-447D-BCCE-A4CBB91F1E0C}" name="Column5121"/>
    <tableColumn id="5127" xr3:uid="{8A556B7C-5BF6-45CF-9E1D-27BC89D9DBC5}" name="Column5122"/>
    <tableColumn id="5128" xr3:uid="{4F88E0D2-55A8-402E-99FE-60F47E828582}" name="Column5123"/>
    <tableColumn id="5129" xr3:uid="{B96F18A8-AECE-4196-8339-643A709588CD}" name="Column5124"/>
    <tableColumn id="5130" xr3:uid="{E54C219D-5566-4F36-AA73-2CDC6F496BEA}" name="Column5125"/>
    <tableColumn id="5131" xr3:uid="{C0CA6CC5-AA0A-4C97-A7FD-A41F488F7E54}" name="Column5126"/>
    <tableColumn id="5132" xr3:uid="{FB30580E-B97D-4D7C-B056-13A5372048AF}" name="Column5127"/>
    <tableColumn id="5133" xr3:uid="{E32C3228-932A-46EF-9FBB-35F2C4F99634}" name="Column5128"/>
    <tableColumn id="5134" xr3:uid="{78F3C753-F1F8-4672-8ED4-598C553A8F9B}" name="Column5129"/>
    <tableColumn id="5135" xr3:uid="{035F7A4F-7F9D-4470-B7D2-5BC4398C4895}" name="Column5130"/>
    <tableColumn id="5136" xr3:uid="{466B3368-10D8-4730-897E-4335A20F73B4}" name="Column5131"/>
    <tableColumn id="5137" xr3:uid="{9561F6B4-1B19-46C3-8002-5D07AE73412D}" name="Column5132"/>
    <tableColumn id="5138" xr3:uid="{0AC52A66-9579-4987-B40F-4ACA9D038335}" name="Column5133"/>
    <tableColumn id="5139" xr3:uid="{87BA1B1D-CAA7-4A45-94E1-18D7C1DD51B2}" name="Column5134"/>
    <tableColumn id="5140" xr3:uid="{E55E65E2-BCD9-4777-94B0-2752D12FCC0C}" name="Column5135"/>
    <tableColumn id="5141" xr3:uid="{4EC61832-CFBF-4095-BBF1-04BC75139AF8}" name="Column5136"/>
    <tableColumn id="5142" xr3:uid="{6C3A3706-3439-4745-AFD6-612501F00C73}" name="Column5137"/>
    <tableColumn id="5143" xr3:uid="{F5CDF556-5F0F-4659-9A65-ADF9815BC958}" name="Column5138"/>
    <tableColumn id="5144" xr3:uid="{3E5C5CCB-98C7-4ADA-ADFE-1417B9621607}" name="Column5139"/>
    <tableColumn id="5145" xr3:uid="{BB21013A-0BFF-4B5E-ABCA-547F77A55901}" name="Column5140"/>
    <tableColumn id="5146" xr3:uid="{BAA666E7-EAC2-479C-AE5E-56E4AAA2ACFC}" name="Column5141"/>
    <tableColumn id="5147" xr3:uid="{1B109EE2-657F-4606-A381-7E5FA1A56B6E}" name="Column5142"/>
    <tableColumn id="5148" xr3:uid="{796BB781-9377-407B-A40F-D3435C08772F}" name="Column5143"/>
    <tableColumn id="5149" xr3:uid="{5D2CF0F7-371E-4F95-8535-53B75F452BAF}" name="Column5144"/>
    <tableColumn id="5150" xr3:uid="{F004ED20-267B-4A1F-A53D-319733703D99}" name="Column5145"/>
    <tableColumn id="5151" xr3:uid="{6D081923-72EC-40B8-9CC5-B35F55B64696}" name="Column5146"/>
    <tableColumn id="5152" xr3:uid="{5B3B0368-51C2-461A-B0CE-6898312FF96B}" name="Column5147"/>
    <tableColumn id="5153" xr3:uid="{94E58D56-BD42-4D4B-A683-7A4E495C8530}" name="Column5148"/>
    <tableColumn id="5154" xr3:uid="{7EC33251-38A4-4AE9-84D3-B67E89563AC0}" name="Column5149"/>
    <tableColumn id="5155" xr3:uid="{30FCC0CC-4907-42C5-9661-22C16BA97E5E}" name="Column5150"/>
    <tableColumn id="5156" xr3:uid="{70517E39-9983-41B4-8C68-422851B3AB3F}" name="Column5151"/>
    <tableColumn id="5157" xr3:uid="{4423B527-B7C2-44FC-AA6A-86A26E81E50C}" name="Column5152"/>
    <tableColumn id="5158" xr3:uid="{6F7AFB74-992E-4796-9F8E-334998B0A900}" name="Column5153"/>
    <tableColumn id="5159" xr3:uid="{EB531E1C-60E0-425C-9EBF-A79E0EE48EB2}" name="Column5154"/>
    <tableColumn id="5160" xr3:uid="{AC426C00-4981-47B4-8F33-B59F11E6110B}" name="Column5155"/>
    <tableColumn id="5161" xr3:uid="{B8591B6D-40C2-42AB-B89F-B11D71C26362}" name="Column5156"/>
    <tableColumn id="5162" xr3:uid="{A49FC7AC-4C04-4DE3-908F-F1EDF5A5EFA1}" name="Column5157"/>
    <tableColumn id="5163" xr3:uid="{843BDE59-3FDF-46E0-8C06-BC854CCA352A}" name="Column5158"/>
    <tableColumn id="5164" xr3:uid="{5FADD551-EB04-4200-B723-3ED874E6EF1C}" name="Column5159"/>
    <tableColumn id="5165" xr3:uid="{ADF9D1D8-D75D-4191-B178-62F2F6873E04}" name="Column5160"/>
    <tableColumn id="5166" xr3:uid="{2D4C8A70-B8E8-4682-B400-6DC7E80DCBA5}" name="Column5161"/>
    <tableColumn id="5167" xr3:uid="{4CDEA1EE-50B9-4ECE-B475-62286179A0AB}" name="Column5162"/>
    <tableColumn id="5168" xr3:uid="{04AA3D49-168F-46D0-BF2B-3265374ED38A}" name="Column5163"/>
    <tableColumn id="5169" xr3:uid="{605B3F66-7048-408C-8401-845A637B1928}" name="Column5164"/>
    <tableColumn id="5170" xr3:uid="{A824E71C-9964-4117-8915-E49529E02A43}" name="Column5165"/>
    <tableColumn id="5171" xr3:uid="{9F399C17-C6EF-459A-AEBE-526F84FF2A6A}" name="Column5166"/>
    <tableColumn id="5172" xr3:uid="{49C4D068-E7B6-4407-B482-A80BF28AA884}" name="Column5167"/>
    <tableColumn id="5173" xr3:uid="{72DA4F48-9E48-4C57-BDAD-A9E13550F04F}" name="Column5168"/>
    <tableColumn id="5174" xr3:uid="{4F3D0D2F-5639-44BF-A6E7-AD2D59E155AC}" name="Column5169"/>
    <tableColumn id="5175" xr3:uid="{B43B6831-84BE-4450-B99C-9A647460318B}" name="Column5170"/>
    <tableColumn id="5176" xr3:uid="{F2C715DC-B0E8-4D0C-826B-40DF48198114}" name="Column5171"/>
    <tableColumn id="5177" xr3:uid="{E11ECEE5-184C-4EEB-BA26-488DD8A02968}" name="Column5172"/>
    <tableColumn id="5178" xr3:uid="{AA9991AD-748A-4F86-BEFA-EDCA3B5D9D99}" name="Column5173"/>
    <tableColumn id="5179" xr3:uid="{5CAB7415-D879-4A5A-AD41-234930675090}" name="Column5174"/>
    <tableColumn id="5180" xr3:uid="{AB60A9C3-287C-422D-AFDA-C00FEDE56493}" name="Column5175"/>
    <tableColumn id="5181" xr3:uid="{90B0FDB5-6AEB-4C7F-89FF-D88CC51EA35C}" name="Column5176"/>
    <tableColumn id="5182" xr3:uid="{127A436C-B6A3-4CB4-B7D9-123D45AC2205}" name="Column5177"/>
    <tableColumn id="5183" xr3:uid="{E2F45B9E-961E-4A4B-922B-D4DC1F8490A3}" name="Column5178"/>
    <tableColumn id="5184" xr3:uid="{167E025E-0887-49AF-8083-BF2605A247D2}" name="Column5179"/>
    <tableColumn id="5185" xr3:uid="{2C16D3B4-5AC0-4110-B20F-F45F4FFF8A97}" name="Column5180"/>
    <tableColumn id="5186" xr3:uid="{E130865F-DE1C-43FE-AE75-EA264D6E933C}" name="Column5181"/>
    <tableColumn id="5187" xr3:uid="{BB81254A-66D4-4E95-8533-CF5C1DC2B39A}" name="Column5182"/>
    <tableColumn id="5188" xr3:uid="{FA1D1813-B612-46F9-8462-2B586342B60F}" name="Column5183"/>
    <tableColumn id="5189" xr3:uid="{0765D1DA-BAC4-47B3-891F-64875010CE39}" name="Column5184"/>
    <tableColumn id="5190" xr3:uid="{35CAD314-548F-4631-91FA-62192572642E}" name="Column5185"/>
    <tableColumn id="5191" xr3:uid="{77AEAAF6-184F-444B-B0B7-C06B1404490E}" name="Column5186"/>
    <tableColumn id="5192" xr3:uid="{970825D7-2E70-440B-A7F6-C65BDFD0871F}" name="Column5187"/>
    <tableColumn id="5193" xr3:uid="{83F64230-BBBE-4265-867B-834FFF7FD663}" name="Column5188"/>
    <tableColumn id="5194" xr3:uid="{F815E29E-25D1-40E1-8F0C-D9FF121231B3}" name="Column5189"/>
    <tableColumn id="5195" xr3:uid="{071D5F60-E65B-4201-96CD-3393DABDB9A2}" name="Column5190"/>
    <tableColumn id="5196" xr3:uid="{9DA1548D-98F1-4DDD-B181-42F3525191DC}" name="Column5191"/>
    <tableColumn id="5197" xr3:uid="{067ECD5B-A5A0-40ED-A861-7E48329CAA2F}" name="Column5192"/>
    <tableColumn id="5198" xr3:uid="{F02831DA-7634-4364-B79F-96930A06D7CA}" name="Column5193"/>
    <tableColumn id="5199" xr3:uid="{178E0DB2-6976-4CB5-9421-EAA86D178B19}" name="Column5194"/>
    <tableColumn id="5200" xr3:uid="{59442443-C926-4197-844C-55C699C745A9}" name="Column5195"/>
    <tableColumn id="5201" xr3:uid="{4BFB62D4-8123-4E28-BB47-8CEB9ECCE6D0}" name="Column5196"/>
    <tableColumn id="5202" xr3:uid="{F9CF9002-647D-4FED-87AD-C5B1F5C7849B}" name="Column5197"/>
    <tableColumn id="5203" xr3:uid="{53510466-66C1-41FF-B29B-7A984A14ED2A}" name="Column5198"/>
    <tableColumn id="5204" xr3:uid="{E5B6C108-B976-470E-B467-9B394365BDC9}" name="Column5199"/>
    <tableColumn id="5205" xr3:uid="{81B3F7D1-40CA-4878-99E3-9DE9EDD3D68E}" name="Column5200"/>
    <tableColumn id="5206" xr3:uid="{A46E3FD0-3467-4F80-AE24-55801ACE70F0}" name="Column5201"/>
    <tableColumn id="5207" xr3:uid="{2E2BF6DC-F5FF-484C-AAA6-5A0D65FB31BA}" name="Column5202"/>
    <tableColumn id="5208" xr3:uid="{93D61D9A-DF0C-4DE2-9B92-1A093EAC2F6A}" name="Column5203"/>
    <tableColumn id="5209" xr3:uid="{4F829ACC-A7BE-4A59-8E0F-850DFECA045B}" name="Column5204"/>
    <tableColumn id="5210" xr3:uid="{CB6B60EF-CD7A-44C4-B37F-65578DFF56B5}" name="Column5205"/>
    <tableColumn id="5211" xr3:uid="{F4A59A44-0AC5-45E1-B771-B599F180CC75}" name="Column5206"/>
    <tableColumn id="5212" xr3:uid="{80F68ADF-5338-4AB4-B4AC-06840F2E8BF4}" name="Column5207"/>
    <tableColumn id="5213" xr3:uid="{98D0507B-A316-44FB-851A-F6C0A190E0CE}" name="Column5208"/>
    <tableColumn id="5214" xr3:uid="{407377B7-32DB-475F-A13A-07760088C8EA}" name="Column5209"/>
    <tableColumn id="5215" xr3:uid="{41669F3C-4B63-4195-A027-D9EB43449BD1}" name="Column5210"/>
    <tableColumn id="5216" xr3:uid="{17E030FD-4146-4701-816F-A4668E518394}" name="Column5211"/>
    <tableColumn id="5217" xr3:uid="{6300B508-6447-42E5-A6F3-E4FFD973D5FD}" name="Column5212"/>
    <tableColumn id="5218" xr3:uid="{89DDAC14-CD16-477E-92F3-72D862B1AF6E}" name="Column5213"/>
    <tableColumn id="5219" xr3:uid="{CDBFFCF5-DDAB-4AFC-A524-056904D92AFD}" name="Column5214"/>
    <tableColumn id="5220" xr3:uid="{2D4FA780-1C3A-4182-BA23-68F50A75C25F}" name="Column5215"/>
    <tableColumn id="5221" xr3:uid="{3179FDCA-11F4-4068-85E6-64268BF5DB0B}" name="Column5216"/>
    <tableColumn id="5222" xr3:uid="{B42F0404-4C04-43D6-A27D-AC7DDF663029}" name="Column5217"/>
    <tableColumn id="5223" xr3:uid="{AEED63F9-3026-4D62-B483-1CF0875167D3}" name="Column5218"/>
    <tableColumn id="5224" xr3:uid="{F06502F2-401C-4638-AA45-2A4220C538DF}" name="Column5219"/>
    <tableColumn id="5225" xr3:uid="{F82DE0E8-6D1B-4369-A620-F127C8B85BB3}" name="Column5220"/>
    <tableColumn id="5226" xr3:uid="{AD54CF07-3A81-4A4F-8F86-5EC1B1500E4D}" name="Column5221"/>
    <tableColumn id="5227" xr3:uid="{36D11459-67EC-4962-B046-E905E296A53A}" name="Column5222"/>
    <tableColumn id="5228" xr3:uid="{EC892AF4-7851-4D4A-B5D5-115121D9582A}" name="Column5223"/>
    <tableColumn id="5229" xr3:uid="{88FD73F6-1DDF-455C-9E1E-1B6096FE15BD}" name="Column5224"/>
    <tableColumn id="5230" xr3:uid="{2CC51493-CA26-4F18-862C-E332D1A14970}" name="Column5225"/>
    <tableColumn id="5231" xr3:uid="{C7E64830-342A-4CD3-AB78-76CF4F007870}" name="Column5226"/>
    <tableColumn id="5232" xr3:uid="{0253BB0A-1366-4A8F-BB8A-18AB2C902A27}" name="Column5227"/>
    <tableColumn id="5233" xr3:uid="{7E375650-542A-44C6-B3F3-07A75D1083AE}" name="Column5228"/>
    <tableColumn id="5234" xr3:uid="{9A513760-5723-4EA9-B792-3F32B1228DB9}" name="Column5229"/>
    <tableColumn id="5235" xr3:uid="{2304076A-B377-4B5E-805C-082FD6C4FC2B}" name="Column5230"/>
    <tableColumn id="5236" xr3:uid="{63F816E0-4D64-45D4-A726-45B1F910B2F0}" name="Column5231"/>
    <tableColumn id="5237" xr3:uid="{AF09E3A2-8A06-4C47-A37C-2B66AC769DA9}" name="Column5232"/>
    <tableColumn id="5238" xr3:uid="{655FF320-3D70-479C-A718-AE97ECE8171F}" name="Column5233"/>
    <tableColumn id="5239" xr3:uid="{1FC84A4D-3F53-4CD8-945D-1082F88BCCDC}" name="Column5234"/>
    <tableColumn id="5240" xr3:uid="{7A867FAB-F300-4ED4-A67B-A7424C29FCB8}" name="Column5235"/>
    <tableColumn id="5241" xr3:uid="{25E9E27B-169D-4ED8-B103-6D3CFC1EBFB9}" name="Column5236"/>
    <tableColumn id="5242" xr3:uid="{A777ABDB-4CB4-4BD3-B6F6-DF41FDD277D3}" name="Column5237"/>
    <tableColumn id="5243" xr3:uid="{C56D4B4D-8CC8-44B4-AC41-DB1EC7856D1E}" name="Column5238"/>
    <tableColumn id="5244" xr3:uid="{7438F4D8-6AB9-4AFB-BE71-433D31457D53}" name="Column5239"/>
    <tableColumn id="5245" xr3:uid="{EC799FB2-307C-4D39-AEE2-83E0C0F31EF4}" name="Column5240"/>
    <tableColumn id="5246" xr3:uid="{4E0EC7CE-CA06-4411-9E9D-A5A7BED32BAF}" name="Column5241"/>
    <tableColumn id="5247" xr3:uid="{96F40B99-98F3-4C6F-85A8-ABA337D43AC1}" name="Column5242"/>
    <tableColumn id="5248" xr3:uid="{A0639AC2-EA19-419C-9FDA-A3796BAEA7C4}" name="Column5243"/>
    <tableColumn id="5249" xr3:uid="{E8A9C375-63F0-42AB-A8B3-2C9D45741520}" name="Column5244"/>
    <tableColumn id="5250" xr3:uid="{4B3F8D71-E680-47A1-82B4-45DF2421501F}" name="Column5245"/>
    <tableColumn id="5251" xr3:uid="{C47F8AD9-411C-4D67-B86D-54859274FA3F}" name="Column5246"/>
    <tableColumn id="5252" xr3:uid="{537EBAA3-61F9-497A-A65F-744AD649BD7D}" name="Column5247"/>
    <tableColumn id="5253" xr3:uid="{981EF483-8EBF-499E-A915-5113D3708467}" name="Column5248"/>
    <tableColumn id="5254" xr3:uid="{9116E4B5-A7E2-4331-8127-78654E6434AF}" name="Column5249"/>
    <tableColumn id="5255" xr3:uid="{64A92016-36FE-46AF-8CF0-972ECAFA0EF5}" name="Column5250"/>
    <tableColumn id="5256" xr3:uid="{71FA09C7-3651-4664-AFC2-DDC2B1C3EFE8}" name="Column5251"/>
    <tableColumn id="5257" xr3:uid="{0D9958C1-5332-4C4E-A635-EFB371993434}" name="Column5252"/>
    <tableColumn id="5258" xr3:uid="{FEBB9A8D-EF17-4BA0-B5ED-2F48A4360EF3}" name="Column5253"/>
    <tableColumn id="5259" xr3:uid="{CFB12891-2719-4E40-B171-A4F48EE1D809}" name="Column5254"/>
    <tableColumn id="5260" xr3:uid="{175256F0-20C8-4129-8B05-ACFCFDA9B36A}" name="Column5255"/>
    <tableColumn id="5261" xr3:uid="{E8F3CEF2-479D-409C-BAF3-769D630399E0}" name="Column5256"/>
    <tableColumn id="5262" xr3:uid="{6701E5A1-661E-4774-9325-434C91EC95C9}" name="Column5257"/>
    <tableColumn id="5263" xr3:uid="{634E62C0-B0D0-4A9C-94AA-59C6515BD0C7}" name="Column5258"/>
    <tableColumn id="5264" xr3:uid="{BF0AFF72-16A1-43C3-8FA2-0739FBBC8782}" name="Column5259"/>
    <tableColumn id="5265" xr3:uid="{49A08C8A-797C-45A2-AF36-07C72EAC997B}" name="Column5260"/>
    <tableColumn id="5266" xr3:uid="{3AC6C524-A9BB-41B7-9AFB-420C5CBD3419}" name="Column5261"/>
    <tableColumn id="5267" xr3:uid="{8A89B0E9-F5D9-474C-9463-D1E5CEF0CDC5}" name="Column5262"/>
    <tableColumn id="5268" xr3:uid="{BE6BF8E5-5865-418A-8E92-FBA13865F9D4}" name="Column5263"/>
    <tableColumn id="5269" xr3:uid="{6E4CCAF8-B5C2-46FB-A62D-D8F93CFBAFD8}" name="Column5264"/>
    <tableColumn id="5270" xr3:uid="{1948197B-5023-4EA2-AAAA-F564B5F82892}" name="Column5265"/>
    <tableColumn id="5271" xr3:uid="{04031894-6727-47EC-8F51-4ADABDFDB285}" name="Column5266"/>
    <tableColumn id="5272" xr3:uid="{44429062-55D0-45A8-A55C-DA372648FC15}" name="Column5267"/>
    <tableColumn id="5273" xr3:uid="{80017079-9D8F-435C-9901-ECEE0F4B1DC7}" name="Column5268"/>
    <tableColumn id="5274" xr3:uid="{0875CB69-ED26-4875-8769-1E4E648A0EA3}" name="Column5269"/>
    <tableColumn id="5275" xr3:uid="{0BF84260-E302-47B6-B28F-7D164B6E9B6F}" name="Column5270"/>
    <tableColumn id="5276" xr3:uid="{7E670B68-898E-4741-A65D-83E0FD1A0589}" name="Column5271"/>
    <tableColumn id="5277" xr3:uid="{A94F52C5-0A78-44CB-9379-2EF33DD64531}" name="Column5272"/>
    <tableColumn id="5278" xr3:uid="{2EC5CD87-62CE-4C47-BE52-D6DEA1E19551}" name="Column5273"/>
    <tableColumn id="5279" xr3:uid="{E34CCA6A-0AA4-40F5-B7E1-174E454822A1}" name="Column5274"/>
    <tableColumn id="5280" xr3:uid="{22A0FED6-3B9C-4145-92F1-2817552DC130}" name="Column5275"/>
    <tableColumn id="5281" xr3:uid="{2C339142-F6C3-4167-8CF1-CE5A390A43F1}" name="Column5276"/>
    <tableColumn id="5282" xr3:uid="{58440553-902D-43DE-9CFB-74DCC43B3FCA}" name="Column5277"/>
    <tableColumn id="5283" xr3:uid="{7A659F7E-A29A-46A4-89E1-13DA7D5DE1F3}" name="Column5278"/>
    <tableColumn id="5284" xr3:uid="{F2978F4C-C09E-46FF-BD05-32C9A080ED8E}" name="Column5279"/>
    <tableColumn id="5285" xr3:uid="{F2218ADD-8DA0-4A86-A444-21C41949105B}" name="Column5280"/>
    <tableColumn id="5286" xr3:uid="{40369F6C-C104-4C47-AE2C-84D71BA09A21}" name="Column5281"/>
    <tableColumn id="5287" xr3:uid="{A07D6C75-5272-4A4E-A861-20911548107B}" name="Column5282"/>
    <tableColumn id="5288" xr3:uid="{E5F724B2-E57A-4523-A5F2-73532D5D52AB}" name="Column5283"/>
    <tableColumn id="5289" xr3:uid="{6EF94481-9E77-48D1-A6D2-00743E8E28CE}" name="Column5284"/>
    <tableColumn id="5290" xr3:uid="{A8C0DFE4-596B-4774-A71E-4F59D3A0B8BA}" name="Column5285"/>
    <tableColumn id="5291" xr3:uid="{A3A33099-910E-4A5B-892F-1F8D35350EE2}" name="Column5286"/>
    <tableColumn id="5292" xr3:uid="{90338F9F-F2AF-4CD7-B21B-4CB583D74BCE}" name="Column5287"/>
    <tableColumn id="5293" xr3:uid="{62C64D39-AA90-40CB-882F-7C8AEFCF8BF7}" name="Column5288"/>
    <tableColumn id="5294" xr3:uid="{A7A9A8F2-3CB2-4F69-8B0F-E9ECD6008593}" name="Column5289"/>
    <tableColumn id="5295" xr3:uid="{BFA0576A-4A8C-4D7A-87DF-D6218699F7A1}" name="Column5290"/>
    <tableColumn id="5296" xr3:uid="{E35B9332-2B75-4E46-9EC7-D06208C3E562}" name="Column5291"/>
    <tableColumn id="5297" xr3:uid="{EAD13417-13EE-49A7-914F-53A250FD18C7}" name="Column5292"/>
    <tableColumn id="5298" xr3:uid="{F92563D0-2531-466D-9C1C-63F862AE8487}" name="Column5293"/>
    <tableColumn id="5299" xr3:uid="{89000B5B-2343-4062-97BC-52B3E7DAB927}" name="Column5294"/>
    <tableColumn id="5300" xr3:uid="{5F2157C4-E686-4320-AC24-766EBB6B6BC0}" name="Column5295"/>
    <tableColumn id="5301" xr3:uid="{D8CB63A6-930D-4561-83B4-85C497A03221}" name="Column5296"/>
    <tableColumn id="5302" xr3:uid="{B90E5951-F9BA-4876-B362-6D5C33485D37}" name="Column5297"/>
    <tableColumn id="5303" xr3:uid="{A158B44B-2D57-41B9-BC36-8AAA824B499D}" name="Column5298"/>
    <tableColumn id="5304" xr3:uid="{CF5CEEEF-AB89-46F2-A010-78F0689ACEAD}" name="Column5299"/>
    <tableColumn id="5305" xr3:uid="{7D49EA6E-B2EF-4840-8CFD-7750F56153ED}" name="Column5300"/>
    <tableColumn id="5306" xr3:uid="{10C9B42B-92E6-491F-9125-577443989BAC}" name="Column5301"/>
    <tableColumn id="5307" xr3:uid="{44C0A0B3-ED82-4A86-8194-C1539C752BB8}" name="Column5302"/>
    <tableColumn id="5308" xr3:uid="{549C0F5E-8B6F-453D-992C-DF6873250CEA}" name="Column5303"/>
    <tableColumn id="5309" xr3:uid="{EB6B862F-7704-4D66-B7B3-084F24C8007F}" name="Column5304"/>
    <tableColumn id="5310" xr3:uid="{E0FD5A8C-4528-4951-B43E-207B5A49036D}" name="Column5305"/>
    <tableColumn id="5311" xr3:uid="{BB00E947-4251-4B16-AF5B-AFEEE6F7FA12}" name="Column5306"/>
    <tableColumn id="5312" xr3:uid="{8B46CA33-4BA5-4B71-B42C-36E4D8714008}" name="Column5307"/>
    <tableColumn id="5313" xr3:uid="{2C87EFB8-CE05-41E1-B62D-894FEED9C50D}" name="Column5308"/>
    <tableColumn id="5314" xr3:uid="{1071AD8F-E195-4A20-B86C-C972598EED01}" name="Column5309"/>
    <tableColumn id="5315" xr3:uid="{3C7CF205-D758-4EA3-A77D-9CDDB3FDF3F5}" name="Column5310"/>
    <tableColumn id="5316" xr3:uid="{92651B4D-0DF1-470D-968B-52F676089735}" name="Column5311"/>
    <tableColumn id="5317" xr3:uid="{471DCBD2-D737-4BF5-A103-58E436245650}" name="Column5312"/>
    <tableColumn id="5318" xr3:uid="{32B1E630-8C5E-45DF-9CE7-3D58349B2764}" name="Column5313"/>
    <tableColumn id="5319" xr3:uid="{934E6578-E3CC-40D3-BB2E-49F24BA8DC65}" name="Column5314"/>
    <tableColumn id="5320" xr3:uid="{9EB4604B-B4B1-477F-B717-3471C7FFD3A0}" name="Column5315"/>
    <tableColumn id="5321" xr3:uid="{5129FAB1-96D5-4CE2-9E55-C4F59D86FDEC}" name="Column5316"/>
    <tableColumn id="5322" xr3:uid="{F8C3F4F9-4BFC-4974-A6BC-67312E3E14EE}" name="Column5317"/>
    <tableColumn id="5323" xr3:uid="{9EB80402-1346-45E5-9F93-9DC813AA5D99}" name="Column5318"/>
    <tableColumn id="5324" xr3:uid="{5F7492AD-E5BC-402C-A906-1A736CF57F0F}" name="Column5319"/>
    <tableColumn id="5325" xr3:uid="{84C4B88B-0A55-409A-8E16-33729988F9EB}" name="Column5320"/>
    <tableColumn id="5326" xr3:uid="{AF251954-37E8-4D4D-9FAB-9A7F6B04D7C0}" name="Column5321"/>
    <tableColumn id="5327" xr3:uid="{A4D87FE9-3F2E-469F-A0B6-10D6DB884F6F}" name="Column5322"/>
    <tableColumn id="5328" xr3:uid="{C571A5E5-BC13-48F3-964C-D8DB54D94D21}" name="Column5323"/>
    <tableColumn id="5329" xr3:uid="{1A606AD8-9569-4B90-9B8B-FAA93B01051E}" name="Column5324"/>
    <tableColumn id="5330" xr3:uid="{53D53618-7B4B-4B35-9E3F-0D573EFF2B6D}" name="Column5325"/>
    <tableColumn id="5331" xr3:uid="{DF07C907-C293-44D8-95CA-F077399A1E8A}" name="Column5326"/>
    <tableColumn id="5332" xr3:uid="{87954847-E124-465B-B945-48F12C1C627C}" name="Column5327"/>
    <tableColumn id="5333" xr3:uid="{FBFF4BD6-827A-4577-BBD0-82F189240976}" name="Column5328"/>
    <tableColumn id="5334" xr3:uid="{FE2DBB79-4313-47F9-81E1-EB792ED263EB}" name="Column5329"/>
    <tableColumn id="5335" xr3:uid="{79C5E06F-0F81-4C87-88F8-3B2F469C489F}" name="Column5330"/>
    <tableColumn id="5336" xr3:uid="{0165735B-178D-4F85-8ABF-2C0571789111}" name="Column5331"/>
    <tableColumn id="5337" xr3:uid="{A328813E-B241-4E5C-976A-045935061B1C}" name="Column5332"/>
    <tableColumn id="5338" xr3:uid="{484EF902-62D4-4447-BCB5-9697AF9C9761}" name="Column5333"/>
    <tableColumn id="5339" xr3:uid="{9874A4BF-FBD4-402C-8D75-B68BF662EB21}" name="Column5334"/>
    <tableColumn id="5340" xr3:uid="{2C59B9CD-C571-4413-B721-FD691F110C4E}" name="Column5335"/>
    <tableColumn id="5341" xr3:uid="{8F107363-E92E-450B-B559-154DB0FB2698}" name="Column5336"/>
    <tableColumn id="5342" xr3:uid="{ECB01B00-1DE5-4928-8D09-710A8C6613BC}" name="Column5337"/>
    <tableColumn id="5343" xr3:uid="{041D4FD6-F4E5-4B0E-8E61-EBEA4ED63208}" name="Column5338"/>
    <tableColumn id="5344" xr3:uid="{A0902A5C-60D0-49DF-B747-65553B17269B}" name="Column5339"/>
    <tableColumn id="5345" xr3:uid="{E75E2FCE-9F35-4E21-BBF9-B134108CC17A}" name="Column5340"/>
    <tableColumn id="5346" xr3:uid="{912CA50D-237E-4472-A15C-52F4F5584DC5}" name="Column5341"/>
    <tableColumn id="5347" xr3:uid="{DC562752-980D-440E-84F1-B3073D224AF5}" name="Column5342"/>
    <tableColumn id="5348" xr3:uid="{C9276883-9275-4B24-AECC-B97C44B5273F}" name="Column5343"/>
    <tableColumn id="5349" xr3:uid="{259B2333-08BE-4937-8D26-E54F83CDA467}" name="Column5344"/>
    <tableColumn id="5350" xr3:uid="{A5BF8A10-7434-4C62-BA4C-1C7D6D827A40}" name="Column5345"/>
    <tableColumn id="5351" xr3:uid="{07202F1A-8FAE-4795-AC77-9BAD7160F6AB}" name="Column5346"/>
    <tableColumn id="5352" xr3:uid="{9BF0C351-1A17-4DCF-AEB9-5E613FD3CE76}" name="Column5347"/>
    <tableColumn id="5353" xr3:uid="{8028891D-250B-4F05-A799-1D307DA718E8}" name="Column5348"/>
    <tableColumn id="5354" xr3:uid="{555539C6-602A-40E6-B06C-66FEB7C5E2D9}" name="Column5349"/>
    <tableColumn id="5355" xr3:uid="{C9838F97-A993-4893-98FB-62735E01DD98}" name="Column5350"/>
    <tableColumn id="5356" xr3:uid="{B7391DBC-A4CE-4A4D-8604-2EAE99E4764E}" name="Column5351"/>
    <tableColumn id="5357" xr3:uid="{C9CECE35-5D29-4909-8F9D-35BBE98109CD}" name="Column5352"/>
    <tableColumn id="5358" xr3:uid="{3959D88C-DABC-402A-B6F6-F24D82A80FB3}" name="Column5353"/>
    <tableColumn id="5359" xr3:uid="{D32A5AF6-262D-4EFC-B3F0-599FA315339F}" name="Column5354"/>
    <tableColumn id="5360" xr3:uid="{9834B299-977C-4C87-9BD7-A8AC98578D2C}" name="Column5355"/>
    <tableColumn id="5361" xr3:uid="{E5A3B3BD-7045-48C8-823F-770E07799FDD}" name="Column5356"/>
    <tableColumn id="5362" xr3:uid="{E440CBF7-73CF-45A3-9FD2-91FC86A1AE95}" name="Column5357"/>
    <tableColumn id="5363" xr3:uid="{D81E3E1E-5BCB-4BB8-BDB5-AFB26B4DE7A7}" name="Column5358"/>
    <tableColumn id="5364" xr3:uid="{6064FCFD-CF66-4304-9CCA-EBC978638017}" name="Column5359"/>
    <tableColumn id="5365" xr3:uid="{4950309A-DE92-47CA-A048-D345DA374309}" name="Column5360"/>
    <tableColumn id="5366" xr3:uid="{133C3860-A8FD-4BE6-A674-37BFA05D9820}" name="Column5361"/>
    <tableColumn id="5367" xr3:uid="{6821C578-B7FF-4807-A3DF-3762616D43A0}" name="Column5362"/>
    <tableColumn id="5368" xr3:uid="{1023A585-FE2A-4717-9326-2CF62AE6BA94}" name="Column5363"/>
    <tableColumn id="5369" xr3:uid="{ECDC4ED1-58E5-4AC2-8901-9080AC233CED}" name="Column5364"/>
    <tableColumn id="5370" xr3:uid="{D42CB0FC-8948-4C0B-95A4-E968ED31889D}" name="Column5365"/>
    <tableColumn id="5371" xr3:uid="{96DB3299-D247-432A-B44E-BA447EDDE79D}" name="Column5366"/>
    <tableColumn id="5372" xr3:uid="{47A513B0-7765-4AFB-AE76-70E040405A57}" name="Column5367"/>
    <tableColumn id="5373" xr3:uid="{B1E59F6E-951F-4771-8D55-4D3CDE04D3E3}" name="Column5368"/>
    <tableColumn id="5374" xr3:uid="{347A4BD3-3C24-4261-9C6C-C4BE7F362DC4}" name="Column5369"/>
    <tableColumn id="5375" xr3:uid="{2931328A-B71F-403F-A0EF-1F85A08764DE}" name="Column5370"/>
    <tableColumn id="5376" xr3:uid="{210ACC13-05D2-4B47-86E5-FDC247836C72}" name="Column5371"/>
    <tableColumn id="5377" xr3:uid="{68DA9CDF-3F81-42B6-B8AE-2B86B981E25C}" name="Column5372"/>
    <tableColumn id="5378" xr3:uid="{183805D3-4386-47AD-82EB-76B5477CA435}" name="Column5373"/>
    <tableColumn id="5379" xr3:uid="{B43D547C-1781-47E3-A996-0555F3A1CD6F}" name="Column5374"/>
    <tableColumn id="5380" xr3:uid="{95C9BC37-DEB2-43C9-9ED9-3FB205CA204F}" name="Column5375"/>
    <tableColumn id="5381" xr3:uid="{548F1BF6-7F97-45D5-AD1E-D5E0E010DE1D}" name="Column5376"/>
    <tableColumn id="5382" xr3:uid="{2943A250-296F-40EF-80F8-AA83999DF204}" name="Column5377"/>
    <tableColumn id="5383" xr3:uid="{871EECB1-D5E5-4891-A85A-D642D53D378F}" name="Column5378"/>
    <tableColumn id="5384" xr3:uid="{6CA203FA-0B8C-46CD-8884-A9BE7BCC3385}" name="Column5379"/>
    <tableColumn id="5385" xr3:uid="{2C232EC4-17F6-4DE9-BFE3-3F0F3410380D}" name="Column5380"/>
    <tableColumn id="5386" xr3:uid="{9328D3A4-231D-4489-AC2C-915D8C607DD8}" name="Column5381"/>
    <tableColumn id="5387" xr3:uid="{8875BE83-04EB-4275-B2EC-F7B1EBBCDE1B}" name="Column5382"/>
    <tableColumn id="5388" xr3:uid="{7E6EB91F-1519-43C4-B8FE-A900FB756408}" name="Column5383"/>
    <tableColumn id="5389" xr3:uid="{2765FD04-2BCC-42C7-BD6D-5D7BA89A74FA}" name="Column5384"/>
    <tableColumn id="5390" xr3:uid="{9A861768-CDD4-491C-A2FB-4108C905B068}" name="Column5385"/>
    <tableColumn id="5391" xr3:uid="{124DE7A3-C0EB-4949-9EC4-2D1220D9031D}" name="Column5386"/>
    <tableColumn id="5392" xr3:uid="{97073F1D-456C-4FB6-9770-715461973137}" name="Column5387"/>
    <tableColumn id="5393" xr3:uid="{BAABE00E-725A-4395-8915-D727D01A044C}" name="Column5388"/>
    <tableColumn id="5394" xr3:uid="{148E3F80-7205-49B5-B3A5-012BC57475B9}" name="Column5389"/>
    <tableColumn id="5395" xr3:uid="{18ABC5E7-CA50-4429-B1E0-DC9686F61183}" name="Column5390"/>
    <tableColumn id="5396" xr3:uid="{91129A68-19A8-416B-89DA-C047A7895A48}" name="Column5391"/>
    <tableColumn id="5397" xr3:uid="{EB156C0F-9C63-4F29-979E-1BC6E7BA9D31}" name="Column5392"/>
    <tableColumn id="5398" xr3:uid="{AEEA58AD-8164-4B21-8AC6-C749B3C8A57C}" name="Column5393"/>
    <tableColumn id="5399" xr3:uid="{CDB0D50E-194D-48ED-AC93-23A109565228}" name="Column5394"/>
    <tableColumn id="5400" xr3:uid="{2EC18270-E73C-44FF-BCDF-B4B22622B0E9}" name="Column5395"/>
    <tableColumn id="5401" xr3:uid="{7A9CA99A-8B88-4F5A-B0FA-B0368BBF48E7}" name="Column5396"/>
    <tableColumn id="5402" xr3:uid="{9DFCD276-4420-4C66-98C2-12093EF3BE6D}" name="Column5397"/>
    <tableColumn id="5403" xr3:uid="{29BBEE7A-9736-4B9F-89E0-385A50DE77FE}" name="Column5398"/>
    <tableColumn id="5404" xr3:uid="{DABC96B2-80C0-4754-AC8F-950BD2F3C5A7}" name="Column5399"/>
    <tableColumn id="5405" xr3:uid="{FA6E4D37-AEDA-4EF6-9847-5AED5243CD60}" name="Column5400"/>
    <tableColumn id="5406" xr3:uid="{D87E687B-A543-40F2-BE5D-A4BF2EA5A8D4}" name="Column5401"/>
    <tableColumn id="5407" xr3:uid="{74DD2A40-0A36-4974-B9CA-48C43B940EAF}" name="Column5402"/>
    <tableColumn id="5408" xr3:uid="{D4E766D3-F015-4262-8680-DB36B12DA2BD}" name="Column5403"/>
    <tableColumn id="5409" xr3:uid="{6283AFCB-2AB9-4F68-977D-05B8EA386F90}" name="Column5404"/>
    <tableColumn id="5410" xr3:uid="{A3F07307-974E-46A8-9325-4BE4C0724096}" name="Column5405"/>
    <tableColumn id="5411" xr3:uid="{6863E249-20D9-4499-9CEF-218FAEA66158}" name="Column5406"/>
    <tableColumn id="5412" xr3:uid="{13B3FE2B-E015-4482-9204-1D8A0834FFAE}" name="Column5407"/>
    <tableColumn id="5413" xr3:uid="{91002C77-63DD-411B-94B1-4DEDF9AB8988}" name="Column5408"/>
    <tableColumn id="5414" xr3:uid="{47254452-EFEB-4A23-A9F2-816C9B2379FF}" name="Column5409"/>
    <tableColumn id="5415" xr3:uid="{4C2BBAA5-44E5-41FF-90ED-A6454C21566B}" name="Column5410"/>
    <tableColumn id="5416" xr3:uid="{FA7FDD76-E2CB-4C05-88B8-8CDC5E0532FB}" name="Column5411"/>
    <tableColumn id="5417" xr3:uid="{FDFE11A4-D88A-4BC8-B907-5D7339328C29}" name="Column5412"/>
    <tableColumn id="5418" xr3:uid="{DAD45E6E-D58C-4791-80F2-13CEB97585B8}" name="Column5413"/>
    <tableColumn id="5419" xr3:uid="{6B976BAF-E884-4042-B9B6-9141A3807409}" name="Column5414"/>
    <tableColumn id="5420" xr3:uid="{E7B67FC9-82ED-41A9-B12A-52058A7B45C5}" name="Column5415"/>
    <tableColumn id="5421" xr3:uid="{46367DA5-DF5F-4554-A07F-6FA15675E067}" name="Column5416"/>
    <tableColumn id="5422" xr3:uid="{D83085DD-7D49-4944-BA4E-3872FCBBB22A}" name="Column5417"/>
    <tableColumn id="5423" xr3:uid="{3F700C18-D8BA-4789-90DB-7BEACA2C61B8}" name="Column5418"/>
    <tableColumn id="5424" xr3:uid="{88F961B9-68C7-4F1A-9E99-BAEEAB00483A}" name="Column5419"/>
    <tableColumn id="5425" xr3:uid="{D9971ADA-4FC6-4509-8FDA-48B9CEB14D16}" name="Column5420"/>
    <tableColumn id="5426" xr3:uid="{790796BF-F85F-4AC7-BDB9-BD670BAD8D20}" name="Column5421"/>
    <tableColumn id="5427" xr3:uid="{FD5F2C2E-F357-4D5A-BB30-CA26020A4FCD}" name="Column5422"/>
    <tableColumn id="5428" xr3:uid="{179A305B-416C-41B5-9CCB-D8592F3E1A5A}" name="Column5423"/>
    <tableColumn id="5429" xr3:uid="{6E0EE9A2-C3DF-4D08-BDB0-C69703C05C16}" name="Column5424"/>
    <tableColumn id="5430" xr3:uid="{E8264A8D-29E0-488E-A3B6-2B622FDC9492}" name="Column5425"/>
    <tableColumn id="5431" xr3:uid="{37EB4029-5ECF-4507-BAEE-F29F0D6AE20D}" name="Column5426"/>
    <tableColumn id="5432" xr3:uid="{A4719086-85B5-4215-924E-BDE90C1BD4F2}" name="Column5427"/>
    <tableColumn id="5433" xr3:uid="{9CE24E22-41FD-46CB-8C40-03CCD399A8FA}" name="Column5428"/>
    <tableColumn id="5434" xr3:uid="{1693EF43-51B7-4187-8D4C-9AEE4CC5D476}" name="Column5429"/>
    <tableColumn id="5435" xr3:uid="{EAAD6330-79E4-45A2-AD60-BF8731167648}" name="Column5430"/>
    <tableColumn id="5436" xr3:uid="{5457AC8F-40EB-4C9E-8156-C070174FE718}" name="Column5431"/>
    <tableColumn id="5437" xr3:uid="{3D893B5E-C19C-464F-82A6-B05FE55BE1E1}" name="Column5432"/>
    <tableColumn id="5438" xr3:uid="{F5C9D274-1231-4783-AC61-478E8273F21E}" name="Column5433"/>
    <tableColumn id="5439" xr3:uid="{60125C5C-2D7C-48EB-8B87-C38E383A4509}" name="Column5434"/>
    <tableColumn id="5440" xr3:uid="{47506260-3B37-49B5-B998-A7589517D8EF}" name="Column5435"/>
    <tableColumn id="5441" xr3:uid="{0C2FA295-DFDB-45FC-8307-8F9EDBCAF164}" name="Column5436"/>
    <tableColumn id="5442" xr3:uid="{A1973D22-6989-4FFC-B474-DA702082150D}" name="Column5437"/>
    <tableColumn id="5443" xr3:uid="{25256676-0DDD-4C75-944F-87695869872E}" name="Column5438"/>
    <tableColumn id="5444" xr3:uid="{32544525-3A6A-4D2F-915E-69CF49AB3E6B}" name="Column5439"/>
    <tableColumn id="5445" xr3:uid="{7AA4A55A-D39A-4E55-81E3-B730D157C1B8}" name="Column5440"/>
    <tableColumn id="5446" xr3:uid="{D917403A-7C4F-452D-8C53-46AF03E71FCA}" name="Column5441"/>
    <tableColumn id="5447" xr3:uid="{EAB277C5-1FBE-4E3E-A1E2-DE3ADC87556E}" name="Column5442"/>
    <tableColumn id="5448" xr3:uid="{C1D6E51D-2ED5-4A25-81C3-586234AF2C98}" name="Column5443"/>
    <tableColumn id="5449" xr3:uid="{4D45C26B-2126-4F0C-B5A9-0C5A508F170F}" name="Column5444"/>
    <tableColumn id="5450" xr3:uid="{F973C5E3-7954-449C-8E8C-176000DE78EE}" name="Column5445"/>
    <tableColumn id="5451" xr3:uid="{A0A5A591-8838-46A8-9C1F-6A70794B3296}" name="Column5446"/>
    <tableColumn id="5452" xr3:uid="{93DB03EA-E899-4426-B0DB-81C081F9D778}" name="Column5447"/>
    <tableColumn id="5453" xr3:uid="{06F5E64C-CC12-4EFF-BEAB-239B24BCE6CC}" name="Column5448"/>
    <tableColumn id="5454" xr3:uid="{BD3C3AEB-45CD-4778-8F6B-BBF988FE874E}" name="Column5449"/>
    <tableColumn id="5455" xr3:uid="{3C10C2D2-5415-4029-ABF9-2869B2EC2126}" name="Column5450"/>
    <tableColumn id="5456" xr3:uid="{0E2C16DB-A557-4A98-AAE9-10B1D03428A4}" name="Column5451"/>
    <tableColumn id="5457" xr3:uid="{4FFFF686-3DB8-470F-8512-E72DA7A6DEC8}" name="Column5452"/>
    <tableColumn id="5458" xr3:uid="{186DA88F-3B4C-4A2D-A026-902661B22489}" name="Column5453"/>
    <tableColumn id="5459" xr3:uid="{44368EEB-AF32-4CD7-97BE-2D6CF567E08A}" name="Column5454"/>
    <tableColumn id="5460" xr3:uid="{50A59D90-9129-4D33-B7B3-96B1D0D74186}" name="Column5455"/>
    <tableColumn id="5461" xr3:uid="{16FABE7F-AE9C-43FF-8997-76A3E0AE8747}" name="Column5456"/>
    <tableColumn id="5462" xr3:uid="{04A8B546-9ED3-4826-A1EB-C20985769908}" name="Column5457"/>
    <tableColumn id="5463" xr3:uid="{6518ECCB-3CDC-4DB0-95B2-25416DF37E1E}" name="Column5458"/>
    <tableColumn id="5464" xr3:uid="{4C5E3B28-4E19-42A9-9EC9-B6ED7C4F1C51}" name="Column5459"/>
    <tableColumn id="5465" xr3:uid="{82060291-5B9F-47AE-BBEE-BEB10D1A5841}" name="Column5460"/>
    <tableColumn id="5466" xr3:uid="{7E31172A-36C5-46C9-B7F3-3EA74D7876D4}" name="Column5461"/>
    <tableColumn id="5467" xr3:uid="{B50628A2-E248-475B-8209-3BE15063F6E0}" name="Column5462"/>
    <tableColumn id="5468" xr3:uid="{D36B0BD4-AB12-403E-9522-59069DDD5F9F}" name="Column5463"/>
    <tableColumn id="5469" xr3:uid="{CE0172E2-E54B-4C8F-99F2-AA8B5F30B5C6}" name="Column5464"/>
    <tableColumn id="5470" xr3:uid="{92C03AE2-FBC0-41C4-8080-A4D37EE1F4AA}" name="Column5465"/>
    <tableColumn id="5471" xr3:uid="{EACCAE58-5171-47BA-A157-DDFA93A6D6CC}" name="Column5466"/>
    <tableColumn id="5472" xr3:uid="{60C7D892-29F1-4528-ADDE-92F8B234EFD1}" name="Column5467"/>
    <tableColumn id="5473" xr3:uid="{8A76C12F-1E70-4ECD-8717-AB56DC051391}" name="Column5468"/>
    <tableColumn id="5474" xr3:uid="{9E92DAAD-66AE-411E-8455-8BFA5BB1CF1D}" name="Column5469"/>
    <tableColumn id="5475" xr3:uid="{75361D92-EFD6-41E7-AF6B-3019A2E40F84}" name="Column5470"/>
    <tableColumn id="5476" xr3:uid="{480FA3C3-0DFC-4F2E-9BE6-60709001699A}" name="Column5471"/>
    <tableColumn id="5477" xr3:uid="{13214159-B362-4E8D-9FA7-E501933D88FC}" name="Column5472"/>
    <tableColumn id="5478" xr3:uid="{BBC0D8E4-DDAF-43B6-829A-54C85F1CD712}" name="Column5473"/>
    <tableColumn id="5479" xr3:uid="{1E9468BF-9DFA-4BAB-90B9-1DF6079D83DB}" name="Column5474"/>
    <tableColumn id="5480" xr3:uid="{BDD78E69-4DAF-4281-9C1E-AF1A47BA30B1}" name="Column5475"/>
    <tableColumn id="5481" xr3:uid="{D82C69EB-3C27-4ADC-9AD6-BB13A34058F3}" name="Column5476"/>
    <tableColumn id="5482" xr3:uid="{69C66DD6-81D3-47C1-8F55-3DEF0F21245A}" name="Column5477"/>
    <tableColumn id="5483" xr3:uid="{18DC3116-2CBF-4470-BA05-AF8EFCEA94A0}" name="Column5478"/>
    <tableColumn id="5484" xr3:uid="{1EA74E01-AC05-43B0-BAC4-389D79877D7A}" name="Column5479"/>
    <tableColumn id="5485" xr3:uid="{DD94DD55-D0D3-4D8A-98A9-9AAFCDA3A992}" name="Column5480"/>
    <tableColumn id="5486" xr3:uid="{F0449C80-E36C-4D10-95A4-FFEE57D45E17}" name="Column5481"/>
    <tableColumn id="5487" xr3:uid="{FD8A2457-5F31-4954-B06E-EC6FCC6F6C49}" name="Column5482"/>
    <tableColumn id="5488" xr3:uid="{6B1CD164-0920-4F9F-AB03-7CA49D205875}" name="Column5483"/>
    <tableColumn id="5489" xr3:uid="{FDEB4B17-0637-41AB-9E7A-22CD541AEC22}" name="Column5484"/>
    <tableColumn id="5490" xr3:uid="{18594ACB-0568-4AAD-A0D2-513E06342E66}" name="Column5485"/>
    <tableColumn id="5491" xr3:uid="{72C6D252-5BB9-4A85-8D23-CC4B5C4777F3}" name="Column5486"/>
    <tableColumn id="5492" xr3:uid="{5D212E41-15A1-4247-B309-66D1E159DED5}" name="Column5487"/>
    <tableColumn id="5493" xr3:uid="{3455026C-CF80-4DB4-84ED-08E2BFE7ECFF}" name="Column5488"/>
    <tableColumn id="5494" xr3:uid="{7674C68E-3D96-406B-AEC7-097CDD4A817A}" name="Column5489"/>
    <tableColumn id="5495" xr3:uid="{924E8E74-8782-4FA9-B0BD-79FFD492A453}" name="Column5490"/>
    <tableColumn id="5496" xr3:uid="{8AA1BE43-5002-4B48-AD20-EA9F16E7425F}" name="Column5491"/>
    <tableColumn id="5497" xr3:uid="{A7D547D8-6115-461F-80D1-04E294B1ED7F}" name="Column5492"/>
    <tableColumn id="5498" xr3:uid="{7BFF074F-8AC7-40AB-9B5D-1EA5EC1F48A6}" name="Column5493"/>
    <tableColumn id="5499" xr3:uid="{304ECB27-1518-4323-BA67-4A0D74A55394}" name="Column5494"/>
    <tableColumn id="5500" xr3:uid="{9B1FBBC1-291A-41A1-81F4-3FA95C636998}" name="Column5495"/>
    <tableColumn id="5501" xr3:uid="{845154C0-EE3B-48F2-98E6-5B4DDEEB29EC}" name="Column5496"/>
    <tableColumn id="5502" xr3:uid="{99CE37C2-C5D0-421B-BA28-34005E7C87E6}" name="Column5497"/>
    <tableColumn id="5503" xr3:uid="{D2B5B9F5-04FA-4719-9342-D18D487864F1}" name="Column5498"/>
    <tableColumn id="5504" xr3:uid="{4F998491-65A1-4FA0-89E2-C25AFE0E38FF}" name="Column5499"/>
    <tableColumn id="5505" xr3:uid="{BFCC18D5-A5C4-408A-8ABB-14E71C004927}" name="Column5500"/>
    <tableColumn id="5506" xr3:uid="{C1FA0614-E325-4EA8-A42F-CE0D0BD65145}" name="Column5501"/>
    <tableColumn id="5507" xr3:uid="{CD660A76-BD6E-4D06-B00A-CA1CB22A0208}" name="Column5502"/>
    <tableColumn id="5508" xr3:uid="{A85FB655-312E-43C9-AFA1-47F72468F7F7}" name="Column5503"/>
    <tableColumn id="5509" xr3:uid="{63374227-E6BD-4B34-BE16-82D156110E8B}" name="Column5504"/>
    <tableColumn id="5510" xr3:uid="{51FB21BD-8C8E-4A6A-83DC-13C88541B6BB}" name="Column5505"/>
    <tableColumn id="5511" xr3:uid="{6FDC7FA3-83F6-46C2-B5F0-1122CD04CDFE}" name="Column5506"/>
    <tableColumn id="5512" xr3:uid="{1F1B6418-5162-4C6B-9C05-DD8CF10577EE}" name="Column5507"/>
    <tableColumn id="5513" xr3:uid="{082D241A-762E-4DE9-9CBD-961C35DA8CEA}" name="Column5508"/>
    <tableColumn id="5514" xr3:uid="{D53B8ECB-AA3C-48A9-A985-A927462CEB4C}" name="Column5509"/>
    <tableColumn id="5515" xr3:uid="{6CAE55F5-DAE6-400B-9527-D6A96C452AE1}" name="Column5510"/>
    <tableColumn id="5516" xr3:uid="{834DC055-75BC-4080-ABEC-1BBD1585B654}" name="Column5511"/>
    <tableColumn id="5517" xr3:uid="{2DCBF69F-330A-4D15-8FD6-1FDB92C56FD7}" name="Column5512"/>
    <tableColumn id="5518" xr3:uid="{3B1ED27B-39BC-46BC-9341-45E88790DC22}" name="Column5513"/>
    <tableColumn id="5519" xr3:uid="{A992D7C9-914A-40D0-A4E9-629562591CF0}" name="Column5514"/>
    <tableColumn id="5520" xr3:uid="{343C53F4-AC59-4B30-80F9-F72594BF2FF4}" name="Column5515"/>
    <tableColumn id="5521" xr3:uid="{B1D5F83E-0639-4243-A3ED-AE78EB2A2C07}" name="Column5516"/>
    <tableColumn id="5522" xr3:uid="{C029DFFE-CC5C-4D85-81F2-00CE58927F05}" name="Column5517"/>
    <tableColumn id="5523" xr3:uid="{A5D7E98B-1C50-48A8-B971-46373324D826}" name="Column5518"/>
    <tableColumn id="5524" xr3:uid="{CCA6163C-7C92-4CC5-B587-C6FBF230FC9B}" name="Column5519"/>
    <tableColumn id="5525" xr3:uid="{A336F951-E8D9-4A08-8470-7E1169289EF2}" name="Column5520"/>
    <tableColumn id="5526" xr3:uid="{8F8EACDA-FC34-4B76-8323-E86AED94F5B8}" name="Column5521"/>
    <tableColumn id="5527" xr3:uid="{4310A16C-05AF-4D31-A014-81A6FE291333}" name="Column5522"/>
    <tableColumn id="5528" xr3:uid="{F3A68217-9306-4D5B-912C-0AE8E7DEA384}" name="Column5523"/>
    <tableColumn id="5529" xr3:uid="{B57E5692-CACA-4617-96C0-AEE2282BD05A}" name="Column5524"/>
    <tableColumn id="5530" xr3:uid="{0B043299-ECF0-4627-857B-A4955433946B}" name="Column5525"/>
    <tableColumn id="5531" xr3:uid="{B1387E55-2C16-418E-A13A-9681997A5A07}" name="Column5526"/>
    <tableColumn id="5532" xr3:uid="{73646BA4-5616-4047-AD01-080EB351EF00}" name="Column5527"/>
    <tableColumn id="5533" xr3:uid="{39D9CD4B-AE6A-4484-AE6B-407202C7F517}" name="Column5528"/>
    <tableColumn id="5534" xr3:uid="{EC8AA7C9-8A2B-4139-BC7D-F9814672F781}" name="Column5529"/>
    <tableColumn id="5535" xr3:uid="{B2720572-FA97-419B-A404-7835DCE8504E}" name="Column5530"/>
    <tableColumn id="5536" xr3:uid="{97A56196-D2EE-4A25-B60A-AFEFFC007C98}" name="Column5531"/>
    <tableColumn id="5537" xr3:uid="{BBFBE849-D6F1-4B3E-BD08-EA12D1A85C9F}" name="Column5532"/>
    <tableColumn id="5538" xr3:uid="{3900FE6D-4538-40FD-8EAD-754EEE23DA00}" name="Column5533"/>
    <tableColumn id="5539" xr3:uid="{73BF3B51-26DF-4FFD-93A0-3908D4BBB62C}" name="Column5534"/>
    <tableColumn id="5540" xr3:uid="{6117A9D5-AA50-4A81-B948-0CDB0BD2FE25}" name="Column5535"/>
    <tableColumn id="5541" xr3:uid="{2DB238B2-5C33-4209-8F6A-317B347F9343}" name="Column5536"/>
    <tableColumn id="5542" xr3:uid="{A09BB642-A11E-47DF-A53D-7613C08682E2}" name="Column5537"/>
    <tableColumn id="5543" xr3:uid="{352231E4-4747-4918-A3EB-58BDC40DC52F}" name="Column5538"/>
    <tableColumn id="5544" xr3:uid="{183CBA63-04F2-4D02-9AF4-BC11C74F033D}" name="Column5539"/>
    <tableColumn id="5545" xr3:uid="{877DC904-431F-46A9-9657-660D54ACF9DF}" name="Column5540"/>
    <tableColumn id="5546" xr3:uid="{202DF161-5ECC-45BD-AC71-0D61243BD41C}" name="Column5541"/>
    <tableColumn id="5547" xr3:uid="{8D729D2E-004E-4886-B08D-848B15532B66}" name="Column5542"/>
    <tableColumn id="5548" xr3:uid="{49F31807-15C0-43FF-81D1-5312B3CE1C98}" name="Column5543"/>
    <tableColumn id="5549" xr3:uid="{1E220149-025D-4D80-8B9C-80C6A9D199D1}" name="Column5544"/>
    <tableColumn id="5550" xr3:uid="{9A75041B-E3DD-443D-B751-034A328ECA45}" name="Column5545"/>
    <tableColumn id="5551" xr3:uid="{7D9EE40A-D6CB-42AF-9394-C272DD3BD803}" name="Column5546"/>
    <tableColumn id="5552" xr3:uid="{24D1FEF9-1002-4CB4-AC36-8C302D1000CA}" name="Column5547"/>
    <tableColumn id="5553" xr3:uid="{C43BEF22-B50E-4D6F-B401-C96828C3F26B}" name="Column5548"/>
    <tableColumn id="5554" xr3:uid="{A44BF68A-0018-48DD-9200-F9B5FDE2F69A}" name="Column5549"/>
    <tableColumn id="5555" xr3:uid="{D7A26A0D-4D79-4A95-9667-9FD1189DA9E1}" name="Column5550"/>
    <tableColumn id="5556" xr3:uid="{A5A5BAEB-93F5-4B78-BD44-BE39DFD8C31E}" name="Column5551"/>
    <tableColumn id="5557" xr3:uid="{958B7FBD-546C-4121-958C-94918394386C}" name="Column5552"/>
    <tableColumn id="5558" xr3:uid="{A4BD18B9-21E7-4F62-9AF2-53849F745D41}" name="Column5553"/>
    <tableColumn id="5559" xr3:uid="{BC9F0BAC-94B9-42D8-A967-F6E17734EEE3}" name="Column5554"/>
    <tableColumn id="5560" xr3:uid="{BE57E1DA-31CB-4C03-BC54-6BE2921FB78F}" name="Column5555"/>
    <tableColumn id="5561" xr3:uid="{395F9D66-DCC4-453A-8A89-8D7CD9F2967A}" name="Column5556"/>
    <tableColumn id="5562" xr3:uid="{C651D3CE-ED7C-4F01-A496-B79320E20DC3}" name="Column5557"/>
    <tableColumn id="5563" xr3:uid="{1851C426-6462-472E-BA7B-1FCA2433EC91}" name="Column5558"/>
    <tableColumn id="5564" xr3:uid="{B5F14F60-BBCA-4480-8C49-CE52C4657679}" name="Column5559"/>
    <tableColumn id="5565" xr3:uid="{F699923A-DC85-460D-9654-C554D46C8B61}" name="Column5560"/>
    <tableColumn id="5566" xr3:uid="{4E116F9D-2C72-4DC5-83DF-7906BD7C641F}" name="Column5561"/>
    <tableColumn id="5567" xr3:uid="{0183753F-454E-412E-98BA-C8DB881C36F6}" name="Column5562"/>
    <tableColumn id="5568" xr3:uid="{6A800E87-B2C8-4A82-B2E2-95CFB4A54868}" name="Column5563"/>
    <tableColumn id="5569" xr3:uid="{872DDA87-2778-4CE5-88E4-1C072C72853E}" name="Column5564"/>
    <tableColumn id="5570" xr3:uid="{0A08609F-7B8E-40BE-A0D5-8D6BD5FFD52F}" name="Column5565"/>
    <tableColumn id="5571" xr3:uid="{7E97D228-D192-4455-AF6B-91AF75B4ADCD}" name="Column5566"/>
    <tableColumn id="5572" xr3:uid="{36969B31-810A-4E03-BBF3-B68834167524}" name="Column5567"/>
    <tableColumn id="5573" xr3:uid="{E6DD5312-B314-454E-B679-D6ACF30E39C0}" name="Column5568"/>
    <tableColumn id="5574" xr3:uid="{481F9EA0-A5A4-4579-8683-879A77D57EF1}" name="Column5569"/>
    <tableColumn id="5575" xr3:uid="{D15BFC48-8FA6-47BF-9422-AA02041A6E3E}" name="Column5570"/>
    <tableColumn id="5576" xr3:uid="{5859BE99-80ED-41D8-AEF8-07336FD25AF4}" name="Column5571"/>
    <tableColumn id="5577" xr3:uid="{D2DBFF30-FEE1-4AF9-86FD-6661CFAFBB65}" name="Column5572"/>
    <tableColumn id="5578" xr3:uid="{50BB0495-FC17-4C7A-814F-D740DEAFBBF2}" name="Column5573"/>
    <tableColumn id="5579" xr3:uid="{3297DED0-1AEA-404E-8106-B937B232696F}" name="Column5574"/>
    <tableColumn id="5580" xr3:uid="{0680B3DD-2EF1-42B0-B09B-44004F9A9AF8}" name="Column5575"/>
    <tableColumn id="5581" xr3:uid="{A9883CBE-E8AB-4578-A317-64CE8591E1DF}" name="Column5576"/>
    <tableColumn id="5582" xr3:uid="{DFA05304-0292-41FA-BF15-65DDA9CB85B0}" name="Column5577"/>
    <tableColumn id="5583" xr3:uid="{7EB65DA0-F129-4998-923C-00EB27EFEF30}" name="Column5578"/>
    <tableColumn id="5584" xr3:uid="{30ED67E5-CEC1-4A81-B527-6F1D3F64614A}" name="Column5579"/>
    <tableColumn id="5585" xr3:uid="{3E0B0C11-5222-449A-92C0-AAD422130525}" name="Column5580"/>
    <tableColumn id="5586" xr3:uid="{EAA87701-65C1-4ED8-B315-950654709568}" name="Column5581"/>
    <tableColumn id="5587" xr3:uid="{1C594074-8A36-4BDF-9515-92440DEAF166}" name="Column5582"/>
    <tableColumn id="5588" xr3:uid="{574BB250-959A-46E0-AE7C-198D0E47D31C}" name="Column5583"/>
    <tableColumn id="5589" xr3:uid="{202F788D-E790-4B2B-9AED-AF07FB76B2A9}" name="Column5584"/>
    <tableColumn id="5590" xr3:uid="{261D7669-5939-4355-8041-2E8C06D6A41D}" name="Column5585"/>
    <tableColumn id="5591" xr3:uid="{64570049-4C9C-4F42-8185-CE294FC781E7}" name="Column5586"/>
    <tableColumn id="5592" xr3:uid="{910FD207-202F-4D00-9C32-82CA97249CBB}" name="Column5587"/>
    <tableColumn id="5593" xr3:uid="{C875BD07-C3A3-4857-B518-4BADE5EF9B2A}" name="Column5588"/>
    <tableColumn id="5594" xr3:uid="{EEABAF0B-BF4F-4073-97B2-55A2AF2A5A2C}" name="Column5589"/>
    <tableColumn id="5595" xr3:uid="{F316AAF1-36B4-4E1E-A600-C8B6BEFAEAEC}" name="Column5590"/>
    <tableColumn id="5596" xr3:uid="{CB78EEDF-D350-46D6-9F08-07452C3EF31F}" name="Column5591"/>
    <tableColumn id="5597" xr3:uid="{2E6C0BDD-1CCE-40F9-91E4-46F10827D291}" name="Column5592"/>
    <tableColumn id="5598" xr3:uid="{7D1B3E55-D1A9-49AE-81DD-F15132790E1E}" name="Column5593"/>
    <tableColumn id="5599" xr3:uid="{0BC92F97-2692-42A5-A68F-40F907107F53}" name="Column5594"/>
    <tableColumn id="5600" xr3:uid="{CE255D25-BD29-4A32-A5AA-009FDA10A411}" name="Column5595"/>
    <tableColumn id="5601" xr3:uid="{01AE1F47-7A77-4A98-AC59-CBC038EDFCA0}" name="Column5596"/>
    <tableColumn id="5602" xr3:uid="{99F84697-0773-4152-A4B6-C26A010DDC6A}" name="Column5597"/>
    <tableColumn id="5603" xr3:uid="{1F51B452-84DD-42AC-84C6-ADB43CF8E75F}" name="Column5598"/>
    <tableColumn id="5604" xr3:uid="{F19CDAAB-E2C5-49E3-8E6B-13D3AFEA6A0C}" name="Column5599"/>
    <tableColumn id="5605" xr3:uid="{4B347DEE-A81C-4720-AC1F-2D9172A55FF1}" name="Column5600"/>
    <tableColumn id="5606" xr3:uid="{F0A5E685-3D23-49F3-B2B5-38915B250DB7}" name="Column5601"/>
    <tableColumn id="5607" xr3:uid="{C3E0E558-8EF8-43D9-988A-DB722269713A}" name="Column5602"/>
    <tableColumn id="5608" xr3:uid="{419A4E9D-1150-4E71-9736-F8430223945B}" name="Column5603"/>
    <tableColumn id="5609" xr3:uid="{013426D7-2E62-410B-8885-4AAF5063B032}" name="Column5604"/>
    <tableColumn id="5610" xr3:uid="{9FC7D98F-27DD-4C59-85C8-B82DB151E92E}" name="Column5605"/>
    <tableColumn id="5611" xr3:uid="{BCCA7407-8C16-4370-99ED-8F5A3DACB7E8}" name="Column5606"/>
    <tableColumn id="5612" xr3:uid="{B1705474-EB24-4596-93B1-4324546894BC}" name="Column5607"/>
    <tableColumn id="5613" xr3:uid="{E3F25CEB-C910-4D1C-A0AE-D73E3A61B5F8}" name="Column5608"/>
    <tableColumn id="5614" xr3:uid="{97BDD209-FA73-40CD-A7A4-3EA2E550B789}" name="Column5609"/>
    <tableColumn id="5615" xr3:uid="{E1AFDFAB-5BC5-4557-8DB1-0A859B4E3E01}" name="Column5610"/>
    <tableColumn id="5616" xr3:uid="{2CB32E45-6BA1-46AB-B31B-A6D28C7EE832}" name="Column5611"/>
    <tableColumn id="5617" xr3:uid="{073A858E-C3B8-4BB3-B633-2B47E8662218}" name="Column5612"/>
    <tableColumn id="5618" xr3:uid="{C0CD8AE4-478B-48DF-9941-9DFAD461F937}" name="Column5613"/>
    <tableColumn id="5619" xr3:uid="{4A1A9DFC-55EA-4105-A05B-FE501AC1DDCA}" name="Column5614"/>
    <tableColumn id="5620" xr3:uid="{8EBC3DD0-2546-4DEE-B19B-36A232F6AF72}" name="Column5615"/>
    <tableColumn id="5621" xr3:uid="{46397E10-DE10-44B2-8620-4087560D3053}" name="Column5616"/>
    <tableColumn id="5622" xr3:uid="{3B8EF546-CA0D-43AA-8969-47AB12A3E6A1}" name="Column5617"/>
    <tableColumn id="5623" xr3:uid="{59DD6021-5C43-4E76-8759-1F902C7D3B8C}" name="Column5618"/>
    <tableColumn id="5624" xr3:uid="{48EA44A4-A85B-4F68-AA03-41847522B66E}" name="Column5619"/>
    <tableColumn id="5625" xr3:uid="{DC07A811-25DB-40BC-AEE4-10C8AC4F2601}" name="Column5620"/>
    <tableColumn id="5626" xr3:uid="{B9ED61BB-003F-463E-A4A3-51CF4570565F}" name="Column5621"/>
    <tableColumn id="5627" xr3:uid="{C544CEAE-0E50-49F8-BEEA-65994E29E865}" name="Column5622"/>
    <tableColumn id="5628" xr3:uid="{BD8961CD-5128-4590-B50A-0348E43895AB}" name="Column5623"/>
    <tableColumn id="5629" xr3:uid="{180AED92-89EB-44AD-83E4-D95B25A1A39E}" name="Column5624"/>
    <tableColumn id="5630" xr3:uid="{38D0945D-D2D5-45EA-A113-3BA36ABEDA0D}" name="Column5625"/>
    <tableColumn id="5631" xr3:uid="{389187E1-E54F-4E08-9116-9106AD0CF0C5}" name="Column5626"/>
    <tableColumn id="5632" xr3:uid="{DA9BCDD0-7206-4277-A170-48C03DC2576E}" name="Column5627"/>
    <tableColumn id="5633" xr3:uid="{940609CE-D8C5-4F42-B889-64E2CB41050C}" name="Column5628"/>
    <tableColumn id="5634" xr3:uid="{11A1D2D8-1349-4DB1-A43E-F36C758E870A}" name="Column5629"/>
    <tableColumn id="5635" xr3:uid="{E08D70C4-FD28-43FA-A6A8-3107F1C89864}" name="Column5630"/>
    <tableColumn id="5636" xr3:uid="{FEEF4931-E5E7-4DB5-AF7F-C8AD12DA7785}" name="Column5631"/>
    <tableColumn id="5637" xr3:uid="{0B1C43C3-8212-424A-8FFA-BE47EB65382E}" name="Column5632"/>
    <tableColumn id="5638" xr3:uid="{F3AEDDD3-DCCC-4806-85CD-6D3CF295C092}" name="Column5633"/>
    <tableColumn id="5639" xr3:uid="{3A955F91-B26A-49CF-9898-516850393CB4}" name="Column5634"/>
    <tableColumn id="5640" xr3:uid="{AC3003F3-3DE0-4414-9FF9-5373839FE99E}" name="Column5635"/>
    <tableColumn id="5641" xr3:uid="{22D1E7EB-BECD-48A6-9BE2-382020CF1493}" name="Column5636"/>
    <tableColumn id="5642" xr3:uid="{CE46DF5E-9F40-4E8B-8952-4D0ECAF1865E}" name="Column5637"/>
    <tableColumn id="5643" xr3:uid="{D5BAA381-4935-4F4E-879B-50C1F6BD0C65}" name="Column5638"/>
    <tableColumn id="5644" xr3:uid="{CC1D03BC-97F4-4A22-9EB0-8A82B35A693B}" name="Column5639"/>
    <tableColumn id="5645" xr3:uid="{B3E50817-9E3E-41EC-A73F-A48A2E159EED}" name="Column5640"/>
    <tableColumn id="5646" xr3:uid="{54E4FE62-75AA-45C4-8679-6744E4F0084E}" name="Column5641"/>
    <tableColumn id="5647" xr3:uid="{AAD845D7-F1D6-41B7-ADCD-BB7F5F190132}" name="Column5642"/>
    <tableColumn id="5648" xr3:uid="{BDB796F6-CF75-46D4-B7DE-8DD085147F44}" name="Column5643"/>
    <tableColumn id="5649" xr3:uid="{11A10959-B2B5-4D67-B200-052A2BB84EF5}" name="Column5644"/>
    <tableColumn id="5650" xr3:uid="{275FB535-B867-48AD-94AE-673F9B8DBE27}" name="Column5645"/>
    <tableColumn id="5651" xr3:uid="{7C43E8E0-58EB-474D-AEB0-D1AC592AF301}" name="Column5646"/>
    <tableColumn id="5652" xr3:uid="{79418A73-4938-407E-ACC2-B43304CC2925}" name="Column5647"/>
    <tableColumn id="5653" xr3:uid="{1F1F5F00-0087-4E5A-8301-3C9CA1CE1FF8}" name="Column5648"/>
    <tableColumn id="5654" xr3:uid="{FACF2E0D-897A-45E1-AD52-6ABA9577631F}" name="Column5649"/>
    <tableColumn id="5655" xr3:uid="{B7009254-F8E1-4839-A9C4-04DFC807BF29}" name="Column5650"/>
    <tableColumn id="5656" xr3:uid="{12B9C7A0-951B-4DCA-880D-14F802ABA2F4}" name="Column5651"/>
    <tableColumn id="5657" xr3:uid="{751A8A8A-DAC7-4370-9FB9-78C0969B7684}" name="Column5652"/>
    <tableColumn id="5658" xr3:uid="{BA28D855-A2F7-4AAC-9B01-7156144AF831}" name="Column5653"/>
    <tableColumn id="5659" xr3:uid="{2B3EA230-D8C7-4395-B306-4E246826BAAA}" name="Column5654"/>
    <tableColumn id="5660" xr3:uid="{38E93838-812C-4290-A225-68A2439DC4E8}" name="Column5655"/>
    <tableColumn id="5661" xr3:uid="{3B900C37-1EFB-4866-9A2F-836A531B87A6}" name="Column5656"/>
    <tableColumn id="5662" xr3:uid="{77D2ED52-42EF-4482-8B6C-B32E95DB33CA}" name="Column5657"/>
    <tableColumn id="5663" xr3:uid="{E170B8C5-56BC-401B-A4FB-033629653819}" name="Column5658"/>
    <tableColumn id="5664" xr3:uid="{63DA5318-7D0A-4276-A563-E94C8142BD8A}" name="Column5659"/>
    <tableColumn id="5665" xr3:uid="{CBCF3722-72F0-4ED7-8BFA-993490292FB8}" name="Column5660"/>
    <tableColumn id="5666" xr3:uid="{83325503-8D8A-4521-BC0C-459879A8B3A7}" name="Column5661"/>
    <tableColumn id="5667" xr3:uid="{B9E6BEB8-2835-43A9-83D9-6D62C568EA30}" name="Column5662"/>
    <tableColumn id="5668" xr3:uid="{DE437D87-0A65-44D5-AE57-D912CED2BC97}" name="Column5663"/>
    <tableColumn id="5669" xr3:uid="{63A7A917-E03A-4A03-B859-12A1F49D98F1}" name="Column5664"/>
    <tableColumn id="5670" xr3:uid="{B9CEA03E-2B38-4E57-B691-EDB62CB62369}" name="Column5665"/>
    <tableColumn id="5671" xr3:uid="{162F90AE-4B55-4C51-BC8D-816C466C46DC}" name="Column5666"/>
    <tableColumn id="5672" xr3:uid="{9DC1FD3B-46AE-47CE-8203-BC61D6E4A624}" name="Column5667"/>
    <tableColumn id="5673" xr3:uid="{AF4ABB7C-3B74-4C79-BD2D-079AF7081826}" name="Column5668"/>
    <tableColumn id="5674" xr3:uid="{BA01141F-6672-4DC0-9428-1801032015F4}" name="Column5669"/>
    <tableColumn id="5675" xr3:uid="{8DB2D40C-AA71-4FB0-A822-1B59FDDE0603}" name="Column5670"/>
    <tableColumn id="5676" xr3:uid="{71C30B37-87DB-4422-9001-9F7FE5652D9B}" name="Column5671"/>
    <tableColumn id="5677" xr3:uid="{69619B93-01EA-4CE7-BF64-769776413532}" name="Column5672"/>
    <tableColumn id="5678" xr3:uid="{EB0D8E98-D680-4CDA-A8FC-58F9E9465BAD}" name="Column5673"/>
    <tableColumn id="5679" xr3:uid="{0BEB70F4-E141-4B32-8C26-379D8354F065}" name="Column5674"/>
    <tableColumn id="5680" xr3:uid="{8633605D-B239-4F7D-8571-56F18B7DBAA6}" name="Column5675"/>
    <tableColumn id="5681" xr3:uid="{CB8955FF-05B1-443E-BC50-0BB5DFAF9854}" name="Column5676"/>
    <tableColumn id="5682" xr3:uid="{EA4E1F22-AC35-478A-B9D9-F5EAD3286E48}" name="Column5677"/>
    <tableColumn id="5683" xr3:uid="{447594EF-E2FA-4099-B3D4-0B03573B390B}" name="Column5678"/>
    <tableColumn id="5684" xr3:uid="{A0561AF8-5346-4E20-B6DE-509C81354321}" name="Column5679"/>
    <tableColumn id="5685" xr3:uid="{9E7C4228-FC1A-40C7-961E-2024DA408044}" name="Column5680"/>
    <tableColumn id="5686" xr3:uid="{AE468497-7372-4611-8C09-0AC3831C04F4}" name="Column5681"/>
    <tableColumn id="5687" xr3:uid="{E736708C-D0C6-427A-86EB-B281E2CF4F99}" name="Column5682"/>
    <tableColumn id="5688" xr3:uid="{EFEB3E7E-483B-40D2-A0C6-3E02BC2824E8}" name="Column5683"/>
    <tableColumn id="5689" xr3:uid="{C4AE348E-577F-4C03-ADB0-F5EDF01E6BFD}" name="Column5684"/>
    <tableColumn id="5690" xr3:uid="{8A51D4EE-3AE1-4923-880C-051384EAC511}" name="Column5685"/>
    <tableColumn id="5691" xr3:uid="{29D94392-B34E-4B1A-8E0B-34B1669CE038}" name="Column5686"/>
    <tableColumn id="5692" xr3:uid="{17B0A614-CF73-4044-A7F7-6931D821CF2B}" name="Column5687"/>
    <tableColumn id="5693" xr3:uid="{80BD23AB-8F47-4B4D-84CC-093BAD417A57}" name="Column5688"/>
    <tableColumn id="5694" xr3:uid="{BD8BEB22-05F3-41B8-A76B-FDE373613848}" name="Column5689"/>
    <tableColumn id="5695" xr3:uid="{75E1AE3E-9314-411B-AC07-9E83684348F6}" name="Column5690"/>
    <tableColumn id="5696" xr3:uid="{6A91837E-DD1F-45D1-B451-258FC96B9040}" name="Column5691"/>
    <tableColumn id="5697" xr3:uid="{E72F9297-453D-4D1D-8331-2256475CD4B2}" name="Column5692"/>
    <tableColumn id="5698" xr3:uid="{05538898-87A1-4565-8C18-9B4B4E63E1F6}" name="Column5693"/>
    <tableColumn id="5699" xr3:uid="{C82D4189-5ADC-4073-82AE-B6CD2C3D57D8}" name="Column5694"/>
    <tableColumn id="5700" xr3:uid="{3349216C-4C44-4EBA-B816-AD2B5B6A0D28}" name="Column5695"/>
    <tableColumn id="5701" xr3:uid="{7FE1BA8F-D712-4A80-8611-97B5814D22FB}" name="Column5696"/>
    <tableColumn id="5702" xr3:uid="{4B8A3DE1-A42A-42C9-AA86-52B46E45164F}" name="Column5697"/>
    <tableColumn id="5703" xr3:uid="{3303490A-8BF4-4FC8-919A-0A61D4B4E4DD}" name="Column5698"/>
    <tableColumn id="5704" xr3:uid="{9B070EAB-082D-4391-8C39-28273E7C150A}" name="Column5699"/>
    <tableColumn id="5705" xr3:uid="{1DB8A055-698F-4D56-A549-8E4D9807E929}" name="Column5700"/>
    <tableColumn id="5706" xr3:uid="{5B7339BD-94D6-4A23-A818-60325DCDAD75}" name="Column5701"/>
    <tableColumn id="5707" xr3:uid="{9200638F-F2F3-49E5-8280-3F4B28B14906}" name="Column5702"/>
    <tableColumn id="5708" xr3:uid="{BCCCC2D0-1AAF-480C-8914-0AD6832D7729}" name="Column5703"/>
    <tableColumn id="5709" xr3:uid="{6B32D200-C9A3-4C5B-AAB2-87DC4D852C50}" name="Column5704"/>
    <tableColumn id="5710" xr3:uid="{C4D8271C-9BB4-4E1C-B746-A24551FEDC3B}" name="Column5705"/>
    <tableColumn id="5711" xr3:uid="{B8AFED5F-C1E0-4765-AF41-0EA9F0D28283}" name="Column5706"/>
    <tableColumn id="5712" xr3:uid="{43C54E47-8951-4D28-89E0-2185F3D9B0FD}" name="Column5707"/>
    <tableColumn id="5713" xr3:uid="{52F17A09-C9A9-4B24-A7C9-9B676592194F}" name="Column5708"/>
    <tableColumn id="5714" xr3:uid="{D4F9A260-7B17-4908-9DDA-67D0E74A0350}" name="Column5709"/>
    <tableColumn id="5715" xr3:uid="{1323959C-8734-4A93-9864-E9DE002F0FAA}" name="Column5710"/>
    <tableColumn id="5716" xr3:uid="{B476DE14-0E57-4996-B391-21F34D4F8DEA}" name="Column5711"/>
    <tableColumn id="5717" xr3:uid="{F6163521-0582-430C-9ED6-F7A8DA705A32}" name="Column5712"/>
    <tableColumn id="5718" xr3:uid="{9AC5B86A-99D1-425A-82A0-04B4B50723BC}" name="Column5713"/>
    <tableColumn id="5719" xr3:uid="{9A4F13A0-8891-434C-A961-D6336D3FA91D}" name="Column5714"/>
    <tableColumn id="5720" xr3:uid="{51C7EC87-5112-43D8-B473-89A1BEC19EBE}" name="Column5715"/>
    <tableColumn id="5721" xr3:uid="{4F5E16CC-A486-441B-AB3B-286812124D63}" name="Column5716"/>
    <tableColumn id="5722" xr3:uid="{A5D3C185-C3D7-4027-B802-ABC1263C721C}" name="Column5717"/>
    <tableColumn id="5723" xr3:uid="{4A8927B7-565D-41BF-B912-8FCC32BDD350}" name="Column5718"/>
    <tableColumn id="5724" xr3:uid="{0FC812F1-4C77-4020-ACB1-135CF283133F}" name="Column5719"/>
    <tableColumn id="5725" xr3:uid="{73D90A77-14D3-47FF-862E-D68A835F6EA0}" name="Column5720"/>
    <tableColumn id="5726" xr3:uid="{A3797A4C-DB51-4E2D-8927-A6D55EB758F4}" name="Column5721"/>
    <tableColumn id="5727" xr3:uid="{7FE216AC-FDA6-4169-8253-81A43617D099}" name="Column5722"/>
    <tableColumn id="5728" xr3:uid="{81EBD9A4-6E63-4486-8491-471EF991A3BF}" name="Column5723"/>
    <tableColumn id="5729" xr3:uid="{F44F3369-84E8-44A0-B51B-357DA6487B65}" name="Column5724"/>
    <tableColumn id="5730" xr3:uid="{AEECB8DD-8358-4028-8A89-6FD9DD630A86}" name="Column5725"/>
    <tableColumn id="5731" xr3:uid="{E266B0D9-7CBF-4A20-A368-C29DB288E49A}" name="Column5726"/>
    <tableColumn id="5732" xr3:uid="{2357566C-012C-4033-9352-6BF3CA648C19}" name="Column5727"/>
    <tableColumn id="5733" xr3:uid="{DA2818D9-3397-4A83-AC60-78AC1A8B07B9}" name="Column5728"/>
    <tableColumn id="5734" xr3:uid="{8F8AB0D4-C955-4440-AE76-DAA3C38FEF38}" name="Column5729"/>
    <tableColumn id="5735" xr3:uid="{1899CD2C-8C4E-49A4-AB99-1D4722F3E033}" name="Column5730"/>
    <tableColumn id="5736" xr3:uid="{E946ABA0-FE1B-48EC-B1B8-EB1BBFB718AE}" name="Column5731"/>
    <tableColumn id="5737" xr3:uid="{CE108C76-C0B9-4DA7-B033-BBEC98671B9C}" name="Column5732"/>
    <tableColumn id="5738" xr3:uid="{F2FE2208-1C1C-4730-9D41-5B1C9729D362}" name="Column5733"/>
    <tableColumn id="5739" xr3:uid="{64D318BB-7C5F-4539-964F-26E4DB74B2DE}" name="Column5734"/>
    <tableColumn id="5740" xr3:uid="{8D702C72-20D2-4ABB-AE56-ED4F84579020}" name="Column5735"/>
    <tableColumn id="5741" xr3:uid="{B54C082E-5149-48FA-B8AE-B4E9121CC67E}" name="Column5736"/>
    <tableColumn id="5742" xr3:uid="{A27D771A-AE7F-47E9-ABAD-7BB727D06980}" name="Column5737"/>
    <tableColumn id="5743" xr3:uid="{8830D558-6215-4CE6-B9FC-838560D1C480}" name="Column5738"/>
    <tableColumn id="5744" xr3:uid="{090D1F35-0A56-4D88-B0D6-098ED4EBD63D}" name="Column5739"/>
    <tableColumn id="5745" xr3:uid="{DBD990E6-331B-4BC3-9650-6A292C0D12D2}" name="Column5740"/>
    <tableColumn id="5746" xr3:uid="{96E3BB1C-3D74-4E13-8C53-59C1639F7B56}" name="Column5741"/>
    <tableColumn id="5747" xr3:uid="{11E6D7F5-7DDD-4C74-A79C-39312E8AF496}" name="Column5742"/>
    <tableColumn id="5748" xr3:uid="{1DCF617E-355C-4549-A38D-DE605904FC7A}" name="Column5743"/>
    <tableColumn id="5749" xr3:uid="{93365701-0BAB-4036-86E7-E833DED161B0}" name="Column5744"/>
    <tableColumn id="5750" xr3:uid="{8D0CA609-D21C-4E8A-823D-72F2C3C7BE89}" name="Column5745"/>
    <tableColumn id="5751" xr3:uid="{16F20B02-8535-44D1-909C-ECEBB5B8576F}" name="Column5746"/>
    <tableColumn id="5752" xr3:uid="{18042DBC-488F-4F79-A2BD-A661F6D8BE02}" name="Column5747"/>
    <tableColumn id="5753" xr3:uid="{87FF19E5-9F89-4C2B-89FC-75DA9822BF3B}" name="Column5748"/>
    <tableColumn id="5754" xr3:uid="{3055DF7C-3136-4261-BEF6-22A4A700AE29}" name="Column5749"/>
    <tableColumn id="5755" xr3:uid="{4EC8AC1D-A1D7-445A-9B39-8C42E544B811}" name="Column5750"/>
    <tableColumn id="5756" xr3:uid="{26FD64F8-535F-4202-BB17-3BFC7AA1E86A}" name="Column5751"/>
    <tableColumn id="5757" xr3:uid="{901F83E2-F232-407B-A679-DDEFE44A9A95}" name="Column5752"/>
    <tableColumn id="5758" xr3:uid="{877BD5B2-166D-4765-9231-94FDF9AC79C1}" name="Column5753"/>
    <tableColumn id="5759" xr3:uid="{1F409608-148A-42BF-A8D6-35CCE2CD5434}" name="Column5754"/>
    <tableColumn id="5760" xr3:uid="{83963FB2-BF8D-442D-8E17-0CFA9A108ADA}" name="Column5755"/>
    <tableColumn id="5761" xr3:uid="{30EF461E-C003-47E9-A2E6-F4C0D8224D7D}" name="Column5756"/>
    <tableColumn id="5762" xr3:uid="{2425803C-56EC-4F03-BF5E-5B224ACC896D}" name="Column5757"/>
    <tableColumn id="5763" xr3:uid="{C5D1172C-7528-4DBF-80E7-A162597E63F9}" name="Column5758"/>
    <tableColumn id="5764" xr3:uid="{4F0A73AE-5AD3-4FAC-9180-952EA7EE99D0}" name="Column5759"/>
    <tableColumn id="5765" xr3:uid="{AF6B017D-66BC-4CAC-862D-078E8A228D6D}" name="Column5760"/>
    <tableColumn id="5766" xr3:uid="{C0B6F32D-15C9-48B4-9BC2-96771D8AA7C0}" name="Column5761"/>
    <tableColumn id="5767" xr3:uid="{F0A91C41-E750-48A7-A0A4-ED52E288F335}" name="Column5762"/>
    <tableColumn id="5768" xr3:uid="{10CED4A6-B27C-4881-ADEB-69C1DA4FA08D}" name="Column5763"/>
    <tableColumn id="5769" xr3:uid="{D4797541-9137-49A9-943A-0DD4F8AF5A11}" name="Column5764"/>
    <tableColumn id="5770" xr3:uid="{28F5B31A-56C9-47E0-B5DB-3B870694CCBD}" name="Column5765"/>
    <tableColumn id="5771" xr3:uid="{B2DB6BFE-74ED-4A0F-A284-63B4E5EB747D}" name="Column5766"/>
    <tableColumn id="5772" xr3:uid="{2A1B5330-7CF2-4D89-B9A1-5CA56EC59901}" name="Column5767"/>
    <tableColumn id="5773" xr3:uid="{3CFDE0CC-E975-443B-9F48-028765A8620A}" name="Column5768"/>
    <tableColumn id="5774" xr3:uid="{B826847A-32A7-4359-9E2C-3BB5EF1D1B7F}" name="Column5769"/>
    <tableColumn id="5775" xr3:uid="{81264E8F-2093-4132-BAFF-D33293903553}" name="Column5770"/>
    <tableColumn id="5776" xr3:uid="{0BA98B07-0BEE-4D93-86D9-0BF203D8A78B}" name="Column5771"/>
    <tableColumn id="5777" xr3:uid="{FBD11DE3-2D0F-407B-943A-9C6D2A2CB321}" name="Column5772"/>
    <tableColumn id="5778" xr3:uid="{A81DBB32-5D04-4E8F-AC43-DFEF62E06CA7}" name="Column5773"/>
    <tableColumn id="5779" xr3:uid="{E61836B0-E10D-4291-AB4D-CE48422883CD}" name="Column5774"/>
    <tableColumn id="5780" xr3:uid="{D3CE4544-C1B3-4031-9BAD-0780D43911B2}" name="Column5775"/>
    <tableColumn id="5781" xr3:uid="{0B3F09A0-080B-482F-97EA-5F33F38747BA}" name="Column5776"/>
    <tableColumn id="5782" xr3:uid="{6E3C4C62-573A-4022-BFE7-24F31AEBF6F7}" name="Column5777"/>
    <tableColumn id="5783" xr3:uid="{5DBB117E-271F-44F3-9894-94CC6E5EEC44}" name="Column5778"/>
    <tableColumn id="5784" xr3:uid="{8A10183B-3693-4626-BF37-7C9B49A9C3D0}" name="Column5779"/>
    <tableColumn id="5785" xr3:uid="{506D91B5-30DB-4F39-B060-82B70177C0D5}" name="Column5780"/>
    <tableColumn id="5786" xr3:uid="{F933F094-3A48-40E5-9305-D7809A8899FB}" name="Column5781"/>
    <tableColumn id="5787" xr3:uid="{E3B6AFD9-1914-4369-B578-D4631E15C7ED}" name="Column5782"/>
    <tableColumn id="5788" xr3:uid="{31D79FF1-F2F8-476C-82CF-3EC6B1137F4D}" name="Column5783"/>
    <tableColumn id="5789" xr3:uid="{F9517DEE-5AC8-4859-98B1-9D120AF5AE0B}" name="Column5784"/>
    <tableColumn id="5790" xr3:uid="{A1AFA234-73A0-4B24-BD30-C9177C4DB884}" name="Column5785"/>
    <tableColumn id="5791" xr3:uid="{F6CC7162-3C73-4466-A631-3774FB5266F5}" name="Column5786"/>
    <tableColumn id="5792" xr3:uid="{4A9A2415-C111-452F-A748-D964033BA62B}" name="Column5787"/>
    <tableColumn id="5793" xr3:uid="{08889375-8AA0-49BC-9EBC-08F84374A9F8}" name="Column5788"/>
    <tableColumn id="5794" xr3:uid="{52265325-1D6F-4B9C-A0DD-DA3F97718E0E}" name="Column5789"/>
    <tableColumn id="5795" xr3:uid="{88D722C8-AB02-422D-9DFF-FB708AF21158}" name="Column5790"/>
    <tableColumn id="5796" xr3:uid="{7710965B-6E6B-4CAF-92A2-FCABB5530B1A}" name="Column5791"/>
    <tableColumn id="5797" xr3:uid="{0CD00D41-A33A-4644-ABDF-F42B154368F0}" name="Column5792"/>
    <tableColumn id="5798" xr3:uid="{7230AE65-1289-425D-92AB-77F34950F6AE}" name="Column5793"/>
    <tableColumn id="5799" xr3:uid="{80D61F58-47EE-4200-9F48-DCA51470FF0C}" name="Column5794"/>
    <tableColumn id="5800" xr3:uid="{CF806750-CD8B-4A14-BA53-F89E813C7277}" name="Column5795"/>
    <tableColumn id="5801" xr3:uid="{50020EF2-9A70-418B-9CBF-A436223FA25F}" name="Column5796"/>
    <tableColumn id="5802" xr3:uid="{C692C463-FF51-46C4-9B0D-0E0965B92968}" name="Column5797"/>
    <tableColumn id="5803" xr3:uid="{D1802933-0B00-47F9-B579-3043664D385B}" name="Column5798"/>
    <tableColumn id="5804" xr3:uid="{FB1DB292-B444-4FF4-A9CD-C52D395D4713}" name="Column5799"/>
    <tableColumn id="5805" xr3:uid="{07DFC9D9-0575-476A-91FF-6A904F1F5A2B}" name="Column5800"/>
    <tableColumn id="5806" xr3:uid="{756F427C-4481-44B7-BA66-95FAEFA79B94}" name="Column5801"/>
    <tableColumn id="5807" xr3:uid="{E4DD0D74-7635-4765-8C4F-F8FEA2552623}" name="Column5802"/>
    <tableColumn id="5808" xr3:uid="{CFDD6C97-CD50-41F4-A08F-ECD6B6628DA3}" name="Column5803"/>
    <tableColumn id="5809" xr3:uid="{FB4C093A-1B79-49FE-9AE3-1C7BE0B274B1}" name="Column5804"/>
    <tableColumn id="5810" xr3:uid="{10E7AC29-A895-44F9-B0AB-1F36EAA4DB1F}" name="Column5805"/>
    <tableColumn id="5811" xr3:uid="{7252920B-79E4-4782-9C4F-886DE9E5C52A}" name="Column5806"/>
    <tableColumn id="5812" xr3:uid="{6187C4BE-60F9-4618-951B-1E906AEBCD9D}" name="Column5807"/>
    <tableColumn id="5813" xr3:uid="{265A5566-18A0-4A8F-9A70-6B1401476FDA}" name="Column5808"/>
    <tableColumn id="5814" xr3:uid="{6A8EFF11-0E02-40A4-82A7-B7A107633B89}" name="Column5809"/>
    <tableColumn id="5815" xr3:uid="{C30F629F-8F4A-474B-A17D-33476FA6A9CB}" name="Column5810"/>
    <tableColumn id="5816" xr3:uid="{B7FB98A8-7F60-433A-8F8A-C329241291E6}" name="Column5811"/>
    <tableColumn id="5817" xr3:uid="{2685DCD9-25B3-46FE-9169-F64CAFC05EDC}" name="Column5812"/>
    <tableColumn id="5818" xr3:uid="{F8C0669F-0C39-417C-876B-6CB6DADEAD73}" name="Column5813"/>
    <tableColumn id="5819" xr3:uid="{C421A976-5918-474F-9669-792091640753}" name="Column5814"/>
    <tableColumn id="5820" xr3:uid="{CF832104-254F-487F-A5DC-210D17D9FF03}" name="Column5815"/>
    <tableColumn id="5821" xr3:uid="{E34D760A-8543-4AA1-9FFF-033FAF1F9E34}" name="Column5816"/>
    <tableColumn id="5822" xr3:uid="{45DA169A-001E-43BE-BBBD-8531465B34CD}" name="Column5817"/>
    <tableColumn id="5823" xr3:uid="{0DA35450-BA72-46DB-B149-100577E006D3}" name="Column5818"/>
    <tableColumn id="5824" xr3:uid="{10C2AEDC-CB18-41D1-811C-FDBAEEF5A0C9}" name="Column5819"/>
    <tableColumn id="5825" xr3:uid="{1CA6B814-8C0E-4D0D-92CD-2B4D73332456}" name="Column5820"/>
    <tableColumn id="5826" xr3:uid="{EFA89ADB-C7FF-4924-AFEF-B9B0538BCDD4}" name="Column5821"/>
    <tableColumn id="5827" xr3:uid="{1241D1CB-8A54-4DC0-841F-DE3E72564A67}" name="Column5822"/>
    <tableColumn id="5828" xr3:uid="{B67C38BE-2353-4D12-A550-4C6CED5EAC0B}" name="Column5823"/>
    <tableColumn id="5829" xr3:uid="{6B5F6A27-6F81-4E6A-81D2-7FC8B86CB92C}" name="Column5824"/>
    <tableColumn id="5830" xr3:uid="{0483415A-1BCD-49E9-896C-84D2A41248FA}" name="Column5825"/>
    <tableColumn id="5831" xr3:uid="{D6B623CD-01C0-4014-8E7F-897E0DE2012A}" name="Column5826"/>
    <tableColumn id="5832" xr3:uid="{F6357784-6E45-494C-817E-06DD1F19E04D}" name="Column5827"/>
    <tableColumn id="5833" xr3:uid="{C10FF62C-34A6-4365-9BC0-8CDAC6AB84AB}" name="Column5828"/>
    <tableColumn id="5834" xr3:uid="{29C510AC-D36F-483C-9CF5-37F2DCA261CB}" name="Column5829"/>
    <tableColumn id="5835" xr3:uid="{A9A78596-BCBA-4F39-9249-96C1561C2588}" name="Column5830"/>
    <tableColumn id="5836" xr3:uid="{AE640D3D-520B-4723-9A12-47AA41E55DC0}" name="Column5831"/>
    <tableColumn id="5837" xr3:uid="{5C78584F-FF99-46D9-A4EE-DBCB07F52B6F}" name="Column5832"/>
    <tableColumn id="5838" xr3:uid="{29170C6B-C0E2-4FAD-A9DF-4A1E17D74523}" name="Column5833"/>
    <tableColumn id="5839" xr3:uid="{CEE000A8-AE0F-4374-BE51-0AC7F93AD3CC}" name="Column5834"/>
    <tableColumn id="5840" xr3:uid="{842015DE-4BD7-4FBE-A922-65A024E5C5B2}" name="Column5835"/>
    <tableColumn id="5841" xr3:uid="{526E30C6-B460-4E62-862C-034860442A6A}" name="Column5836"/>
    <tableColumn id="5842" xr3:uid="{73972DC4-8D31-4F53-B395-B01495CC1E92}" name="Column5837"/>
    <tableColumn id="5843" xr3:uid="{7C9E1899-CC9F-42A3-B3DA-9AB6770CAE0E}" name="Column5838"/>
    <tableColumn id="5844" xr3:uid="{E9ED94B9-553B-4D90-A2F8-A72DEC3AFBDA}" name="Column5839"/>
    <tableColumn id="5845" xr3:uid="{7FBD8E4D-6610-4C07-8B9C-BF44B484F187}" name="Column5840"/>
    <tableColumn id="5846" xr3:uid="{196AD7E5-F743-4963-9DA3-0A35769E655C}" name="Column5841"/>
    <tableColumn id="5847" xr3:uid="{1708CADA-5580-415E-9432-27EEFADD273D}" name="Column5842"/>
    <tableColumn id="5848" xr3:uid="{71FDE8BB-DB7E-4545-8E5D-460F16607EB9}" name="Column5843"/>
    <tableColumn id="5849" xr3:uid="{066C077D-7EFB-452D-A024-9EB33A0B0B4D}" name="Column5844"/>
    <tableColumn id="5850" xr3:uid="{45FF5F76-FB7E-453A-B630-4CE875D165DD}" name="Column5845"/>
    <tableColumn id="5851" xr3:uid="{23E4530D-3DC7-4E5D-A0AC-4D9120C37902}" name="Column5846"/>
    <tableColumn id="5852" xr3:uid="{801CE553-99A6-4938-A835-F7C15DA8C463}" name="Column5847"/>
    <tableColumn id="5853" xr3:uid="{E75F25F3-D933-4196-87AD-FF95DF8BB503}" name="Column5848"/>
    <tableColumn id="5854" xr3:uid="{7720BC60-39A4-43A2-88A4-858BF588DA55}" name="Column5849"/>
    <tableColumn id="5855" xr3:uid="{AE6B64C1-BC64-4655-AABE-7A26F20CD4C1}" name="Column5850"/>
    <tableColumn id="5856" xr3:uid="{6649D6EF-B8E8-41A5-BF7D-28ADB7C6F586}" name="Column5851"/>
    <tableColumn id="5857" xr3:uid="{B1775024-02F9-442C-9D88-2DAF2092907F}" name="Column5852"/>
    <tableColumn id="5858" xr3:uid="{30529B41-9CBF-474F-B239-FDE1DA82E70F}" name="Column5853"/>
    <tableColumn id="5859" xr3:uid="{6B2A9F63-9A16-4D9C-8377-DD7B99701E3E}" name="Column5854"/>
    <tableColumn id="5860" xr3:uid="{4403B572-B59F-4984-9D85-54B5E28EE272}" name="Column5855"/>
    <tableColumn id="5861" xr3:uid="{8AFB3B9E-91EB-402D-853A-838A24F603D2}" name="Column5856"/>
    <tableColumn id="5862" xr3:uid="{76A3B3D0-17C2-42A9-9B6D-C4C3284627BD}" name="Column5857"/>
    <tableColumn id="5863" xr3:uid="{8A496F87-B765-495E-B03C-4CAF3C7339AE}" name="Column5858"/>
    <tableColumn id="5864" xr3:uid="{BC7EA32E-35E9-4679-8D80-8282CA148F2D}" name="Column5859"/>
    <tableColumn id="5865" xr3:uid="{36F9C25A-4D69-4DC0-819A-0402F86B108E}" name="Column5860"/>
    <tableColumn id="5866" xr3:uid="{9676D04E-0FEE-4834-A751-8CF1B882664C}" name="Column5861"/>
    <tableColumn id="5867" xr3:uid="{7916C966-0F18-4046-986F-DD4ACCA4A779}" name="Column5862"/>
    <tableColumn id="5868" xr3:uid="{27223681-7764-40D0-A3D5-A5C48169F1A5}" name="Column5863"/>
    <tableColumn id="5869" xr3:uid="{39D5C32D-7A19-4F36-9A3E-F83DD60CD513}" name="Column5864"/>
    <tableColumn id="5870" xr3:uid="{BED1ADAF-00DB-4FD8-9300-15F3E02CC146}" name="Column5865"/>
    <tableColumn id="5871" xr3:uid="{C58ABA89-4A6C-493E-8CA6-516B3195A82B}" name="Column5866"/>
    <tableColumn id="5872" xr3:uid="{9F91C82C-01C1-44A3-97FF-66AF37453111}" name="Column5867"/>
    <tableColumn id="5873" xr3:uid="{9FAABDC5-A73E-4421-9A2C-1B6D5AAF77C4}" name="Column5868"/>
    <tableColumn id="5874" xr3:uid="{80221A74-94DE-40E8-BF19-E0393AA5C168}" name="Column5869"/>
    <tableColumn id="5875" xr3:uid="{DC77BE57-90E3-41D8-9FC6-BF96E9C6F21C}" name="Column5870"/>
    <tableColumn id="5876" xr3:uid="{2AE6FD29-E696-4799-9082-9F3D3500BBFC}" name="Column5871"/>
    <tableColumn id="5877" xr3:uid="{FDBA8011-B6CD-4379-91B8-7E53BBC2F4E7}" name="Column5872"/>
    <tableColumn id="5878" xr3:uid="{6B187994-49EB-4F6A-97BC-1C13FF8B539B}" name="Column5873"/>
    <tableColumn id="5879" xr3:uid="{942BC118-634C-4B2C-916E-62B0E845DEA6}" name="Column5874"/>
    <tableColumn id="5880" xr3:uid="{644EF090-DB67-4687-8351-599AB42A2664}" name="Column5875"/>
    <tableColumn id="5881" xr3:uid="{D7BF3942-E9CE-4240-8719-F1E7AC89D9B3}" name="Column5876"/>
    <tableColumn id="5882" xr3:uid="{2F483F1C-E2FD-4AEE-930C-1BC3A84FE3F1}" name="Column5877"/>
    <tableColumn id="5883" xr3:uid="{2175E4B6-8DD2-4C82-BBCC-EC870597AF51}" name="Column5878"/>
    <tableColumn id="5884" xr3:uid="{1A8E2B0D-CCA4-44C6-BF9F-096FD3C833B3}" name="Column5879"/>
    <tableColumn id="5885" xr3:uid="{4F9B351D-4A18-49AC-A2E6-40994E36E9B4}" name="Column5880"/>
    <tableColumn id="5886" xr3:uid="{D9606B96-D488-4372-A366-A1500EB82286}" name="Column5881"/>
    <tableColumn id="5887" xr3:uid="{1BAD824A-06FF-4C21-AE1F-F38B750FA460}" name="Column5882"/>
    <tableColumn id="5888" xr3:uid="{679812E7-55C4-4AE5-B540-034F450E9706}" name="Column5883"/>
    <tableColumn id="5889" xr3:uid="{DE76D79B-0D4E-4821-9E94-16FC87FA2EC6}" name="Column5884"/>
    <tableColumn id="5890" xr3:uid="{5AAE1220-CF1C-48E3-B8F9-D97CFB4CA66F}" name="Column5885"/>
    <tableColumn id="5891" xr3:uid="{6518E946-0765-400D-B990-04A9B072EB9A}" name="Column5886"/>
    <tableColumn id="5892" xr3:uid="{3B2F72E2-0CF8-49BA-A91C-6B50E67C47E3}" name="Column5887"/>
    <tableColumn id="5893" xr3:uid="{41C8D3A3-8D08-4961-8496-8307567E99B7}" name="Column5888"/>
    <tableColumn id="5894" xr3:uid="{4EE3F1EF-C497-4182-AB2D-638BC09B7E4F}" name="Column5889"/>
    <tableColumn id="5895" xr3:uid="{4C17FF64-4CCE-4FAF-BE64-9D7D9D09697A}" name="Column5890"/>
    <tableColumn id="5896" xr3:uid="{50649A96-5A03-430F-8AB0-BE4001E391B1}" name="Column5891"/>
    <tableColumn id="5897" xr3:uid="{17337BD0-5BFA-4FBC-A94D-153C088665E3}" name="Column5892"/>
    <tableColumn id="5898" xr3:uid="{5882D1AE-EE51-4E08-BBC3-91D16B3F6C0F}" name="Column5893"/>
    <tableColumn id="5899" xr3:uid="{CBBA3A1B-29AB-4165-9202-7EF5ADD6CA5A}" name="Column5894"/>
    <tableColumn id="5900" xr3:uid="{656B1A1E-C026-4922-89C5-8B1FFC6DA674}" name="Column5895"/>
    <tableColumn id="5901" xr3:uid="{03054934-EE0C-405E-91EA-47184CB24B8B}" name="Column5896"/>
    <tableColumn id="5902" xr3:uid="{825431D3-3F00-465F-A2D3-D3691D076C03}" name="Column5897"/>
    <tableColumn id="5903" xr3:uid="{0A543D59-FB0F-4C13-8B8D-64DDFE2DAAE8}" name="Column5898"/>
    <tableColumn id="5904" xr3:uid="{BCEF177A-1661-4F56-9013-F066FC25D35A}" name="Column5899"/>
    <tableColumn id="5905" xr3:uid="{6ED71C34-1CAB-4B26-87B3-1706697C7969}" name="Column5900"/>
    <tableColumn id="5906" xr3:uid="{6A95756C-8E17-4A5E-9391-483DFF2C52D8}" name="Column5901"/>
    <tableColumn id="5907" xr3:uid="{D810B399-A2AC-4EE3-9348-1337EF54998A}" name="Column5902"/>
    <tableColumn id="5908" xr3:uid="{88284E00-703F-4835-B06B-0513B86480A0}" name="Column5903"/>
    <tableColumn id="5909" xr3:uid="{86FC39CB-2A9C-4C00-BCCE-7C75D0B1AACE}" name="Column5904"/>
    <tableColumn id="5910" xr3:uid="{60CA9552-BE71-4B7E-974E-391DC33BDDC9}" name="Column5905"/>
    <tableColumn id="5911" xr3:uid="{7AA8FE53-4D2F-40FB-BBCF-9197534F6893}" name="Column5906"/>
    <tableColumn id="5912" xr3:uid="{8732AAF0-3CEB-4323-8108-9E7FF4CAAC8F}" name="Column5907"/>
    <tableColumn id="5913" xr3:uid="{38FEE290-0D48-4C0A-AB4E-4A286B31EED4}" name="Column5908"/>
    <tableColumn id="5914" xr3:uid="{9E24124F-B7CB-4E88-AAC0-741B2DA9594B}" name="Column5909"/>
    <tableColumn id="5915" xr3:uid="{C2D999F6-A845-4150-94C7-6D828A087745}" name="Column5910"/>
    <tableColumn id="5916" xr3:uid="{BACEF7E3-F6AC-48B4-82A5-B62499814A7A}" name="Column5911"/>
    <tableColumn id="5917" xr3:uid="{441C077E-02C5-46C4-AE9F-4DAA1C32A77F}" name="Column5912"/>
    <tableColumn id="5918" xr3:uid="{0F5CCAAC-8594-4402-AC47-6D3CD5C999BE}" name="Column5913"/>
    <tableColumn id="5919" xr3:uid="{BE0CFE02-8940-4040-9396-92479760AB95}" name="Column5914"/>
    <tableColumn id="5920" xr3:uid="{A7E089A4-0DC8-4153-9D00-7C36600A58DB}" name="Column5915"/>
    <tableColumn id="5921" xr3:uid="{925199B4-CB46-404D-BB33-7C4624B004BC}" name="Column5916"/>
    <tableColumn id="5922" xr3:uid="{90BA5269-6AEE-40AF-9664-3ABE98E488D5}" name="Column5917"/>
    <tableColumn id="5923" xr3:uid="{2B8D3357-02B0-4900-96C7-442D6157BE95}" name="Column5918"/>
    <tableColumn id="5924" xr3:uid="{65B37638-06A1-4AAA-AB8B-68F05CE25078}" name="Column5919"/>
    <tableColumn id="5925" xr3:uid="{515F3898-5206-4E46-BD80-34966BF1AA93}" name="Column5920"/>
    <tableColumn id="5926" xr3:uid="{45E114C9-1045-4F58-93F4-6C944A995D4B}" name="Column5921"/>
    <tableColumn id="5927" xr3:uid="{04F827F0-B415-4310-99A6-7F9053AF6B0F}" name="Column5922"/>
    <tableColumn id="5928" xr3:uid="{4B71C064-8164-4EDF-ABB7-C23ECD9DEBF1}" name="Column5923"/>
    <tableColumn id="5929" xr3:uid="{9E8376EC-7A72-4B9A-8B48-CB0479CCA4AE}" name="Column5924"/>
    <tableColumn id="5930" xr3:uid="{244A785D-A66B-42F4-AF1B-DBB3BFB8AEE6}" name="Column5925"/>
    <tableColumn id="5931" xr3:uid="{70AEDA23-6F8C-4DDD-9075-5676CC3F1013}" name="Column5926"/>
    <tableColumn id="5932" xr3:uid="{357A432A-5CBE-4516-AB4C-EC49C8D61874}" name="Column5927"/>
    <tableColumn id="5933" xr3:uid="{A723DC69-C5D4-4E39-993F-8B6D85EE5743}" name="Column5928"/>
    <tableColumn id="5934" xr3:uid="{1DFAA668-B0D0-413A-8FAB-9ADDC7D3CCA8}" name="Column5929"/>
    <tableColumn id="5935" xr3:uid="{7FC6C074-9843-4C5E-99C2-075F48C1BA37}" name="Column5930"/>
    <tableColumn id="5936" xr3:uid="{3A336A0D-43D5-45BF-86A9-A9C1296BF4D8}" name="Column5931"/>
    <tableColumn id="5937" xr3:uid="{5860ED76-1A40-4814-A17D-E01975062CA5}" name="Column5932"/>
    <tableColumn id="5938" xr3:uid="{20CF1417-7140-4C7E-9E91-2E1A6F9DD8DB}" name="Column5933"/>
    <tableColumn id="5939" xr3:uid="{84488557-A0ED-45FF-9887-A8E05A11A71B}" name="Column5934"/>
    <tableColumn id="5940" xr3:uid="{C1C65A7F-800E-46B2-886F-9A04D4DBF921}" name="Column5935"/>
    <tableColumn id="5941" xr3:uid="{1EC82361-0E02-4A8C-A146-7F61752741EF}" name="Column5936"/>
    <tableColumn id="5942" xr3:uid="{EAD75DC1-9768-453D-AFFC-D87AF12C2BE8}" name="Column5937"/>
    <tableColumn id="5943" xr3:uid="{93FB3525-1F29-4F52-BFD2-A10B7C1D951A}" name="Column5938"/>
    <tableColumn id="5944" xr3:uid="{5DA0953B-999A-47DF-91CE-5EDF261D39E8}" name="Column5939"/>
    <tableColumn id="5945" xr3:uid="{D126A3D9-BB18-4B9B-BF5F-4DC8CC53D8F8}" name="Column5940"/>
    <tableColumn id="5946" xr3:uid="{3C5F928E-3CC5-42E5-A6A4-6D76C7C8D688}" name="Column5941"/>
    <tableColumn id="5947" xr3:uid="{7D0E2D88-5D76-413F-B669-589474C0EF55}" name="Column5942"/>
    <tableColumn id="5948" xr3:uid="{915A794D-BC8E-4B9F-A4B1-64E42D11B225}" name="Column5943"/>
    <tableColumn id="5949" xr3:uid="{E7DC61D9-C801-49E0-89AE-51F3524F34CD}" name="Column5944"/>
    <tableColumn id="5950" xr3:uid="{C1B4836F-0E7F-428C-ABF4-4C5EEACB963E}" name="Column5945"/>
    <tableColumn id="5951" xr3:uid="{14F7B0D5-6628-4E00-8EC8-69F4E9D0C97A}" name="Column5946"/>
    <tableColumn id="5952" xr3:uid="{BA304831-0C3B-46E3-96BE-8CB7B99B7DF8}" name="Column5947"/>
    <tableColumn id="5953" xr3:uid="{027CA761-6FED-44A8-A438-5B73E305E249}" name="Column5948"/>
    <tableColumn id="5954" xr3:uid="{33B02EDB-5B67-449D-9ED5-74C52EEC07EC}" name="Column5949"/>
    <tableColumn id="5955" xr3:uid="{1CB55626-6BCF-4E79-B450-73921D85E653}" name="Column5950"/>
    <tableColumn id="5956" xr3:uid="{0E719C0F-1E03-48D2-8201-BB48DAB18784}" name="Column5951"/>
    <tableColumn id="5957" xr3:uid="{18534C3A-E0A7-454C-8C00-E6FBDC43E8CA}" name="Column5952"/>
    <tableColumn id="5958" xr3:uid="{2AC30C45-BDB8-4FC8-B289-07AA6AE685F0}" name="Column5953"/>
    <tableColumn id="5959" xr3:uid="{737109CE-7355-4BD6-94C7-CB26D236C62A}" name="Column5954"/>
    <tableColumn id="5960" xr3:uid="{17717AA8-500F-4EBD-BE49-359D27B9BFF4}" name="Column5955"/>
    <tableColumn id="5961" xr3:uid="{50F2DC2E-DAD2-411D-A57C-6B98AC8A7712}" name="Column5956"/>
    <tableColumn id="5962" xr3:uid="{A5601EF6-B832-4DAD-B596-23E4026D5DCD}" name="Column5957"/>
    <tableColumn id="5963" xr3:uid="{B54DDC0E-4BF2-40B1-865D-56AAFD8E18E5}" name="Column5958"/>
    <tableColumn id="5964" xr3:uid="{F207A909-2DF4-4DD0-8148-6FCB77BA4987}" name="Column5959"/>
    <tableColumn id="5965" xr3:uid="{378DAFEB-0B5C-43EE-A87F-9482E8C5ED35}" name="Column5960"/>
    <tableColumn id="5966" xr3:uid="{02978837-D7F3-4FC1-B96C-AF486E0FA574}" name="Column5961"/>
    <tableColumn id="5967" xr3:uid="{EFD81086-4FE3-4BC5-ADE4-DBAE31CC3247}" name="Column5962"/>
    <tableColumn id="5968" xr3:uid="{7EF65290-6A74-42E0-ADC4-614273A9E4CF}" name="Column5963"/>
    <tableColumn id="5969" xr3:uid="{C7637606-1C3F-4CE5-9168-DC7A2EDD012B}" name="Column5964"/>
    <tableColumn id="5970" xr3:uid="{397AFC9D-F9EB-442A-85E6-C0D38B02403E}" name="Column5965"/>
    <tableColumn id="5971" xr3:uid="{5026F7B3-6FB4-4EA8-9EA9-30502A88FB76}" name="Column5966"/>
    <tableColumn id="5972" xr3:uid="{6B891C0E-6ADE-4790-8463-FCF01AFB81A4}" name="Column5967"/>
    <tableColumn id="5973" xr3:uid="{4DD5483E-B662-4DC5-BDFD-F39A3C84A895}" name="Column5968"/>
    <tableColumn id="5974" xr3:uid="{B462BD2F-BA28-4BA5-BF8B-821589C5E79F}" name="Column5969"/>
    <tableColumn id="5975" xr3:uid="{9AE201E7-2D0E-4790-9A7D-4FD6ECB9A523}" name="Column5970"/>
    <tableColumn id="5976" xr3:uid="{60516388-7CE8-4F4C-8FE6-DEE054C40264}" name="Column5971"/>
    <tableColumn id="5977" xr3:uid="{0991029D-1AD4-429C-9D39-397DCD4BA2E5}" name="Column5972"/>
    <tableColumn id="5978" xr3:uid="{569FDBC1-74E1-468A-AAB2-5764DDE242BF}" name="Column5973"/>
    <tableColumn id="5979" xr3:uid="{EF646E74-DD1A-4514-9D43-6310E8E14BBF}" name="Column5974"/>
    <tableColumn id="5980" xr3:uid="{CC40BFFF-64D4-4F71-9C4E-59DFC21FDB20}" name="Column5975"/>
    <tableColumn id="5981" xr3:uid="{CE58BA57-C896-4342-9CA4-067409A19296}" name="Column5976"/>
    <tableColumn id="5982" xr3:uid="{7DD185B8-B0D8-4078-B8D8-143739BCD27B}" name="Column5977"/>
    <tableColumn id="5983" xr3:uid="{3B9F468F-A20E-467B-9B19-6960A247DE67}" name="Column5978"/>
    <tableColumn id="5984" xr3:uid="{BB630281-ABF9-40D7-ABC1-7BBE7DF0B4C6}" name="Column5979"/>
    <tableColumn id="5985" xr3:uid="{DF143903-D761-43CD-ABBB-2F545A95284A}" name="Column5980"/>
    <tableColumn id="5986" xr3:uid="{37A66447-774F-44B4-91F7-1D79A8114001}" name="Column5981"/>
    <tableColumn id="5987" xr3:uid="{48DABB56-20B9-4E0D-BBA1-CE63A183D703}" name="Column5982"/>
    <tableColumn id="5988" xr3:uid="{060F1E22-45A0-4ECC-9658-016377EB8A7F}" name="Column5983"/>
    <tableColumn id="5989" xr3:uid="{46F614AA-7502-433C-811F-11F34707814C}" name="Column5984"/>
    <tableColumn id="5990" xr3:uid="{9E79D539-601F-45C8-8EB7-36E3FE21EE79}" name="Column5985"/>
    <tableColumn id="5991" xr3:uid="{FFC45B78-DC39-41CF-B24A-8FE305017113}" name="Column5986"/>
    <tableColumn id="5992" xr3:uid="{621E10ED-BF20-4F2F-AFD6-65A30A6C0DFD}" name="Column5987"/>
    <tableColumn id="5993" xr3:uid="{C654C249-5555-42EC-B129-7D8DBAE28C89}" name="Column5988"/>
    <tableColumn id="5994" xr3:uid="{7D2605EA-E9A9-468A-9252-02017AF24A3E}" name="Column5989"/>
    <tableColumn id="5995" xr3:uid="{ED27E6E7-DC5A-44BE-BFC5-9256AF1FA71E}" name="Column5990"/>
    <tableColumn id="5996" xr3:uid="{C6968987-AEB9-4808-8B78-CB8764118184}" name="Column5991"/>
    <tableColumn id="5997" xr3:uid="{A30C0FCD-E8A8-41A3-AC3E-11D074648CEE}" name="Column5992"/>
    <tableColumn id="5998" xr3:uid="{B6ABF3AB-256D-42DC-924C-815434AD4CE9}" name="Column5993"/>
    <tableColumn id="5999" xr3:uid="{2F01B428-DE15-402B-A119-8639DA77B8D1}" name="Column5994"/>
    <tableColumn id="6000" xr3:uid="{B34390CB-85B9-4132-B7A6-7E91C3904002}" name="Column5995"/>
    <tableColumn id="6001" xr3:uid="{0C787089-2B33-4D81-A749-0210223DD412}" name="Column5996"/>
    <tableColumn id="6002" xr3:uid="{BE498411-3895-4E15-94A0-E745A277094D}" name="Column5997"/>
    <tableColumn id="6003" xr3:uid="{EC4E596C-0056-46A8-88BE-AFCE03C42613}" name="Column5998"/>
    <tableColumn id="6004" xr3:uid="{F1F562EA-6EA3-4967-8BFD-3EFA3F5F0C9A}" name="Column5999"/>
    <tableColumn id="6005" xr3:uid="{6D569F2A-CC28-4EDA-98AD-13933A65FC70}" name="Column6000"/>
    <tableColumn id="6006" xr3:uid="{D9A24E89-2447-4FAC-8952-FB5F47D3EFF9}" name="Column6001"/>
    <tableColumn id="6007" xr3:uid="{5FE6813F-7081-41A1-AE88-6C6A3E326F55}" name="Column6002"/>
    <tableColumn id="6008" xr3:uid="{84546EA5-780C-45EA-9108-7228D4E57A84}" name="Column6003"/>
    <tableColumn id="6009" xr3:uid="{4BDB8E7E-41B7-4784-8166-5CB41F578F42}" name="Column6004"/>
    <tableColumn id="6010" xr3:uid="{A2614527-721C-461C-804F-322D49EBAED5}" name="Column6005"/>
    <tableColumn id="6011" xr3:uid="{7AAE0BC8-1EBB-44EB-ADEA-79156A6CC784}" name="Column6006"/>
    <tableColumn id="6012" xr3:uid="{61831909-D9E6-4327-BEA6-7FE581F507CD}" name="Column6007"/>
    <tableColumn id="6013" xr3:uid="{44864CBE-A3DE-4A51-AD55-8C9ED0B2A7DA}" name="Column6008"/>
    <tableColumn id="6014" xr3:uid="{5C04541E-EE60-4DE9-AC13-3E61A061D853}" name="Column6009"/>
    <tableColumn id="6015" xr3:uid="{991B383F-5B0A-4AFA-B5AE-471CABE05FC0}" name="Column6010"/>
    <tableColumn id="6016" xr3:uid="{A2D4B369-740A-4590-969E-6BF9240E96AE}" name="Column6011"/>
    <tableColumn id="6017" xr3:uid="{5F3CED79-2B63-4508-A35B-9B10D096DDB0}" name="Column6012"/>
    <tableColumn id="6018" xr3:uid="{36E52083-96D8-4452-99D9-46FE2982AFF1}" name="Column6013"/>
    <tableColumn id="6019" xr3:uid="{9810E457-659B-4B61-B0A4-7EAE2BF39B3E}" name="Column6014"/>
    <tableColumn id="6020" xr3:uid="{F8261257-41A0-4027-A175-D25DAAEED960}" name="Column6015"/>
    <tableColumn id="6021" xr3:uid="{6DB85717-7A25-4DE0-B071-B75966FBA502}" name="Column6016"/>
    <tableColumn id="6022" xr3:uid="{FB09FAE6-F952-4C0C-81CA-57D17562926C}" name="Column6017"/>
    <tableColumn id="6023" xr3:uid="{89E7E5DB-F8CE-414D-805C-1F1C11B921CC}" name="Column6018"/>
    <tableColumn id="6024" xr3:uid="{573619EB-660A-483B-8EFF-D3BDBC804900}" name="Column6019"/>
    <tableColumn id="6025" xr3:uid="{0EDA81D7-2A75-41E7-AA00-A9DF0115CE3C}" name="Column6020"/>
    <tableColumn id="6026" xr3:uid="{BF76C7B3-AA61-4821-9D4F-5C15D4BF1521}" name="Column6021"/>
    <tableColumn id="6027" xr3:uid="{669AD4C8-CB95-43A9-9351-630E334272F1}" name="Column6022"/>
    <tableColumn id="6028" xr3:uid="{1D6E5A6E-1C53-4A87-9ADB-2F5904554DAA}" name="Column6023"/>
    <tableColumn id="6029" xr3:uid="{7082258E-4FEB-4519-9B79-6161F3365C2B}" name="Column6024"/>
    <tableColumn id="6030" xr3:uid="{61DB9B1E-1DF1-48DD-AEFD-8D66839FF2C2}" name="Column6025"/>
    <tableColumn id="6031" xr3:uid="{EB49E686-2146-412E-B3F5-B60874577C42}" name="Column6026"/>
    <tableColumn id="6032" xr3:uid="{2D574A14-86B3-4830-AF87-8077FA1437DF}" name="Column6027"/>
    <tableColumn id="6033" xr3:uid="{EA7949B9-0F7F-4C3D-ADB8-1843BF7C4E8C}" name="Column6028"/>
    <tableColumn id="6034" xr3:uid="{C92C0FF8-EE87-417C-8617-9AA71B5F7EB6}" name="Column6029"/>
    <tableColumn id="6035" xr3:uid="{C3DA22B1-058D-4618-8888-04AAFB31E167}" name="Column6030"/>
    <tableColumn id="6036" xr3:uid="{28ACAADA-EDB8-4B7C-A0D8-276308C582B4}" name="Column6031"/>
    <tableColumn id="6037" xr3:uid="{5DD7D532-A196-42C9-B980-A634EBA856F7}" name="Column6032"/>
    <tableColumn id="6038" xr3:uid="{905EA5A4-3965-44F8-95D0-0D3F541B1064}" name="Column6033"/>
    <tableColumn id="6039" xr3:uid="{DB8CA47B-0736-4420-90B4-D04FA2918A22}" name="Column6034"/>
    <tableColumn id="6040" xr3:uid="{F3DE85DC-755B-421E-A6DD-41A91554AC4B}" name="Column6035"/>
    <tableColumn id="6041" xr3:uid="{C29D3D7C-72F4-4CF5-8A29-AE8E7878D683}" name="Column6036"/>
    <tableColumn id="6042" xr3:uid="{049FCEA5-DD0C-41B1-A7E0-8E7573041FCC}" name="Column6037"/>
    <tableColumn id="6043" xr3:uid="{CD6D9EA0-B8FF-48A1-B513-5E7F016D8299}" name="Column6038"/>
    <tableColumn id="6044" xr3:uid="{EC21A3BE-565B-4A32-8E88-4CFE42C25291}" name="Column6039"/>
    <tableColumn id="6045" xr3:uid="{98BF2F2C-A7EB-4059-85E2-BF9E76F742D7}" name="Column6040"/>
    <tableColumn id="6046" xr3:uid="{CE6E6F26-01B6-465C-8DB9-78436D8BACEA}" name="Column6041"/>
    <tableColumn id="6047" xr3:uid="{596B4000-8089-471A-93C0-19E6FEB43B7B}" name="Column6042"/>
    <tableColumn id="6048" xr3:uid="{103A05AC-C4EF-447F-9084-AC6B0339CD55}" name="Column6043"/>
    <tableColumn id="6049" xr3:uid="{7F97BD05-BED2-4D8D-971B-579BFE6D65C7}" name="Column6044"/>
    <tableColumn id="6050" xr3:uid="{3F8394D5-3BB5-4986-B6DB-0945ADFA4D3F}" name="Column6045"/>
    <tableColumn id="6051" xr3:uid="{6DDA03BD-7EA5-4796-8B4F-59DFF942A9E5}" name="Column6046"/>
    <tableColumn id="6052" xr3:uid="{30AD22FA-1DE9-4591-88FD-3257C2EFD794}" name="Column6047"/>
    <tableColumn id="6053" xr3:uid="{BE51B2D9-70E0-4802-97A0-32DDF6F996F0}" name="Column6048"/>
    <tableColumn id="6054" xr3:uid="{BA9E8D2D-F590-4CEF-8EDB-69AA3D16A410}" name="Column6049"/>
    <tableColumn id="6055" xr3:uid="{8BF76330-297D-40A5-B2FF-6AE5B8124D06}" name="Column6050"/>
    <tableColumn id="6056" xr3:uid="{4D2B1DA8-09CC-406C-A193-B2AAD1BEC256}" name="Column6051"/>
    <tableColumn id="6057" xr3:uid="{3C23BD0B-E5A0-4453-A815-DCEF8859A95E}" name="Column6052"/>
    <tableColumn id="6058" xr3:uid="{CFB2879D-66F9-49CB-BD68-A8356C3C9251}" name="Column6053"/>
    <tableColumn id="6059" xr3:uid="{0962D224-5EA6-432E-A800-5260CBC4CDC6}" name="Column6054"/>
    <tableColumn id="6060" xr3:uid="{15A2A3A5-5C55-4DB4-83FC-F3E758B4A9D8}" name="Column6055"/>
    <tableColumn id="6061" xr3:uid="{8CB8C32C-B1B1-4CB0-971B-40596CB3A149}" name="Column6056"/>
    <tableColumn id="6062" xr3:uid="{198077C7-D2AC-4223-989B-EA3A224E746D}" name="Column6057"/>
    <tableColumn id="6063" xr3:uid="{AB5BB60A-B639-4D84-BEAF-CF08A62FA867}" name="Column6058"/>
    <tableColumn id="6064" xr3:uid="{04AB7B11-5DB1-40DD-BD10-3CAE573B40A7}" name="Column6059"/>
    <tableColumn id="6065" xr3:uid="{DC78D773-A7DC-497B-B422-68EF523CD5AF}" name="Column6060"/>
    <tableColumn id="6066" xr3:uid="{636C25CC-8965-4990-89E4-8D43CE993A6E}" name="Column6061"/>
    <tableColumn id="6067" xr3:uid="{44069380-A3F0-4ACE-BE12-58F58D0B7E5B}" name="Column6062"/>
    <tableColumn id="6068" xr3:uid="{5EA6CF1C-4901-4E87-BC29-190D026FAE9C}" name="Column6063"/>
    <tableColumn id="6069" xr3:uid="{59449E50-561E-44BE-9784-A0F2328D954E}" name="Column6064"/>
    <tableColumn id="6070" xr3:uid="{5BFAD4C6-74C2-40B4-9F5F-F8EF507D9596}" name="Column6065"/>
    <tableColumn id="6071" xr3:uid="{2EA92AB1-FD44-4EBE-90D9-15BDA833D78E}" name="Column6066"/>
    <tableColumn id="6072" xr3:uid="{17792B08-2F4A-42B5-A70D-E03568C4D700}" name="Column6067"/>
    <tableColumn id="6073" xr3:uid="{CC5CE1CF-02EF-4480-9D46-4CEEB4631D9A}" name="Column6068"/>
    <tableColumn id="6074" xr3:uid="{B069285D-495C-4ECC-A676-35A713D83ECF}" name="Column6069"/>
    <tableColumn id="6075" xr3:uid="{31F80F0D-6B1C-416F-AFD3-435E88BA3803}" name="Column6070"/>
    <tableColumn id="6076" xr3:uid="{62DB0377-82DE-475D-9C82-9DCFB977E918}" name="Column6071"/>
    <tableColumn id="6077" xr3:uid="{73C86F84-233F-4525-9085-99A99700E71C}" name="Column6072"/>
    <tableColumn id="6078" xr3:uid="{0CDFCC94-5BB6-47D4-BE3A-CD5C50614A2D}" name="Column6073"/>
    <tableColumn id="6079" xr3:uid="{F82939D4-F338-4F57-8668-8862ED09741E}" name="Column6074"/>
    <tableColumn id="6080" xr3:uid="{738269A5-8198-4EEA-A67D-63E34E7A4E06}" name="Column6075"/>
    <tableColumn id="6081" xr3:uid="{95DF9B26-8707-49E7-BCEA-B03D01E273B8}" name="Column6076"/>
    <tableColumn id="6082" xr3:uid="{94B007FB-1825-432A-8FA8-5C27E5A2FD2F}" name="Column6077"/>
    <tableColumn id="6083" xr3:uid="{11224020-02C7-41BD-AAB8-D9FA35A98DC7}" name="Column6078"/>
    <tableColumn id="6084" xr3:uid="{BD61C422-0A79-4FA4-B8A3-A21569E2DD75}" name="Column6079"/>
    <tableColumn id="6085" xr3:uid="{C6F60F82-101D-4CEF-AAF1-96BD3B6F38FD}" name="Column6080"/>
    <tableColumn id="6086" xr3:uid="{DEF32687-282E-4EDF-A91E-ADD72F3F3792}" name="Column6081"/>
    <tableColumn id="6087" xr3:uid="{BAAF7A83-4276-4549-9CA8-57D26D9BB568}" name="Column6082"/>
    <tableColumn id="6088" xr3:uid="{C98015B7-3BB6-42AD-85E1-804A268A40B1}" name="Column6083"/>
    <tableColumn id="6089" xr3:uid="{C6B40F75-14ED-4B2E-92E8-77FAE1F7CE05}" name="Column6084"/>
    <tableColumn id="6090" xr3:uid="{4DEFEB82-2FD5-4918-928A-6490A96AAC4E}" name="Column6085"/>
    <tableColumn id="6091" xr3:uid="{B6A0829D-C78C-4B69-82F6-CC5B12D14BEA}" name="Column6086"/>
    <tableColumn id="6092" xr3:uid="{A7FF6135-09AF-4777-BF16-56E11BDF2C73}" name="Column6087"/>
    <tableColumn id="6093" xr3:uid="{D8EA3615-0978-440E-8B75-67D579433633}" name="Column6088"/>
    <tableColumn id="6094" xr3:uid="{7B0E532E-70F9-4AD9-BDF4-F964BAAB72FB}" name="Column6089"/>
    <tableColumn id="6095" xr3:uid="{DF5321A3-1F7B-480C-802F-1C7DA76B5BB9}" name="Column6090"/>
    <tableColumn id="6096" xr3:uid="{C490DED1-A40A-45B0-B31B-80B08E59895F}" name="Column6091"/>
    <tableColumn id="6097" xr3:uid="{ADE5942D-B075-44B6-A6D3-55A6EB3EC072}" name="Column6092"/>
    <tableColumn id="6098" xr3:uid="{C901FED2-0313-43DB-ACAA-317B5BBBE785}" name="Column6093"/>
    <tableColumn id="6099" xr3:uid="{86816649-B22C-4928-AD98-827288864C51}" name="Column6094"/>
    <tableColumn id="6100" xr3:uid="{80FBB144-9B8C-45CC-B25A-A5043BB62960}" name="Column6095"/>
    <tableColumn id="6101" xr3:uid="{05A885D9-56A1-44BE-8244-A4B1761FFBE1}" name="Column6096"/>
    <tableColumn id="6102" xr3:uid="{BC1FC066-8D8B-43DE-81DF-D486D23D3C64}" name="Column6097"/>
    <tableColumn id="6103" xr3:uid="{C8B2E123-582C-4F62-9847-34613F9C5587}" name="Column6098"/>
    <tableColumn id="6104" xr3:uid="{5ED2225A-0473-43CE-ABD8-D339B7D65B40}" name="Column6099"/>
    <tableColumn id="6105" xr3:uid="{6500FF08-EA75-4134-8D6B-3E48B178603B}" name="Column6100"/>
    <tableColumn id="6106" xr3:uid="{72AB5EEE-B714-4717-9EC1-264CE926066C}" name="Column6101"/>
    <tableColumn id="6107" xr3:uid="{7D4164A4-4B4D-49F8-8C4B-8F8E0F46A37D}" name="Column6102"/>
    <tableColumn id="6108" xr3:uid="{6F509A17-FF82-4842-B21F-8CE76161EC60}" name="Column6103"/>
    <tableColumn id="6109" xr3:uid="{67E417BA-1C7E-4699-A759-74B48784536C}" name="Column6104"/>
    <tableColumn id="6110" xr3:uid="{5736003D-A9AD-4647-8C29-84677DBDED67}" name="Column6105"/>
    <tableColumn id="6111" xr3:uid="{C1CBF684-284B-4007-8E8B-6B614144E6EA}" name="Column6106"/>
    <tableColumn id="6112" xr3:uid="{B0AC8E63-A78F-4243-AE5B-D1BC83A45E3D}" name="Column6107"/>
    <tableColumn id="6113" xr3:uid="{707A8BE7-D870-4A30-BF01-8C8C1FF9AF1C}" name="Column6108"/>
    <tableColumn id="6114" xr3:uid="{F6C0D46A-7738-4E7A-A826-329B4DA3C8FC}" name="Column6109"/>
    <tableColumn id="6115" xr3:uid="{2F876A6C-9DF2-4AE4-837F-0C0F57625F2E}" name="Column6110"/>
    <tableColumn id="6116" xr3:uid="{233E0CED-D58C-4107-9374-58D5B1100DA3}" name="Column6111"/>
    <tableColumn id="6117" xr3:uid="{9D7117B6-8AAC-499B-BCD8-994C20960A3F}" name="Column6112"/>
    <tableColumn id="6118" xr3:uid="{F51F4427-041C-479B-B177-A07CE6654A53}" name="Column6113"/>
    <tableColumn id="6119" xr3:uid="{A74AF12F-93B8-42FA-8A46-438CA803F891}" name="Column6114"/>
    <tableColumn id="6120" xr3:uid="{6F3A44D8-BF59-4AC9-92C0-48EE0F5854CB}" name="Column6115"/>
    <tableColumn id="6121" xr3:uid="{96A94ABD-BDB2-47EC-9C82-4EA6E253D5AE}" name="Column6116"/>
    <tableColumn id="6122" xr3:uid="{DF9ECE30-679E-4861-9EB1-7A523679E4AB}" name="Column6117"/>
    <tableColumn id="6123" xr3:uid="{D754549C-788E-44CD-AB43-789440783C2F}" name="Column6118"/>
    <tableColumn id="6124" xr3:uid="{AF1D0E4D-1868-472C-9611-7D2B0223F2C4}" name="Column6119"/>
    <tableColumn id="6125" xr3:uid="{5735BA48-CC68-4409-B45D-FAE5DC24711E}" name="Column6120"/>
    <tableColumn id="6126" xr3:uid="{F4E0C2D7-0B63-4BD4-AD96-EE45CA012D1B}" name="Column6121"/>
    <tableColumn id="6127" xr3:uid="{0F22471A-1EB6-4EB0-AF46-77C3DE1EB17C}" name="Column6122"/>
    <tableColumn id="6128" xr3:uid="{DE6C80D4-1514-4515-BD8A-EF88928D752E}" name="Column6123"/>
    <tableColumn id="6129" xr3:uid="{376263B4-59DE-429C-B579-D31AA2FFC353}" name="Column6124"/>
    <tableColumn id="6130" xr3:uid="{E5F35F49-6ED3-41AF-B5FC-625BC6C83D47}" name="Column6125"/>
    <tableColumn id="6131" xr3:uid="{90ABEC67-7A32-46F2-B8C5-C7640CAED770}" name="Column6126"/>
    <tableColumn id="6132" xr3:uid="{A4AC3A0D-CCB0-4348-B7FB-9A359B48729E}" name="Column6127"/>
    <tableColumn id="6133" xr3:uid="{E66546A7-3B88-4F06-A1C4-5E36003E0AA0}" name="Column6128"/>
    <tableColumn id="6134" xr3:uid="{5C462DA3-35C6-4CA7-A477-E3BA1137D38D}" name="Column6129"/>
    <tableColumn id="6135" xr3:uid="{82164415-CA99-436B-AF2A-A9C55D068F2C}" name="Column6130"/>
    <tableColumn id="6136" xr3:uid="{928CD71C-A7F7-4B31-9C23-682950D9B2E7}" name="Column6131"/>
    <tableColumn id="6137" xr3:uid="{6B69B77C-386B-4A86-91AD-ABA93CAEB6B4}" name="Column6132"/>
    <tableColumn id="6138" xr3:uid="{C85189F6-DDF0-45B7-AB8D-815915715ED6}" name="Column6133"/>
    <tableColumn id="6139" xr3:uid="{B611D52F-0676-4E06-957A-70C68F1476A2}" name="Column6134"/>
    <tableColumn id="6140" xr3:uid="{387D2282-8C38-4BAE-8E0D-D8023B9F3561}" name="Column6135"/>
    <tableColumn id="6141" xr3:uid="{1B009893-C44E-49F1-BD02-842CEC92365C}" name="Column6136"/>
    <tableColumn id="6142" xr3:uid="{6D58C060-26FB-4A06-93DD-5CB672BC16DD}" name="Column6137"/>
    <tableColumn id="6143" xr3:uid="{5EBF9014-3193-41B0-8A53-E6CE773B7DF7}" name="Column6138"/>
    <tableColumn id="6144" xr3:uid="{D05803F5-4794-4E26-8917-27D6EC92ABF9}" name="Column6139"/>
    <tableColumn id="6145" xr3:uid="{30EF26E1-53FC-4754-BA0B-D86F8281FF2A}" name="Column6140"/>
    <tableColumn id="6146" xr3:uid="{B8B2D7E6-7C33-43C1-8FE2-D439DB7BD8B5}" name="Column6141"/>
    <tableColumn id="6147" xr3:uid="{AF007908-FF70-47A1-93FE-2B8E1B783185}" name="Column6142"/>
    <tableColumn id="6148" xr3:uid="{F2ACD526-01A0-4D0B-B9FE-BB06648F80FF}" name="Column6143"/>
    <tableColumn id="6149" xr3:uid="{26AFD1FA-2D3A-4174-B85C-9415BC46ECE3}" name="Column6144"/>
    <tableColumn id="6150" xr3:uid="{B21B1AC0-2E6A-48FC-B552-35C04729A60F}" name="Column6145"/>
    <tableColumn id="6151" xr3:uid="{607AA685-8377-4308-A866-1E62E0B6EA1A}" name="Column6146"/>
    <tableColumn id="6152" xr3:uid="{29AC73F9-B9DF-4E01-84C5-732A7793AD2A}" name="Column6147"/>
    <tableColumn id="6153" xr3:uid="{05D12EA3-56F9-43B4-B112-6F8775240D00}" name="Column6148"/>
    <tableColumn id="6154" xr3:uid="{1468EE92-8275-4645-BD21-A14531A5E54C}" name="Column6149"/>
    <tableColumn id="6155" xr3:uid="{83844E43-830E-41B9-A0C4-DEE257B65494}" name="Column6150"/>
    <tableColumn id="6156" xr3:uid="{A2452F26-E85A-432E-82E7-0D1E90B6B08B}" name="Column6151"/>
    <tableColumn id="6157" xr3:uid="{FDF24AF4-FE02-4CDD-B7C7-8B2C4AA03297}" name="Column6152"/>
    <tableColumn id="6158" xr3:uid="{155435C5-2616-4C2A-BF37-CF3FF716BBE4}" name="Column6153"/>
    <tableColumn id="6159" xr3:uid="{32C313D9-9099-4024-82BC-31D5F1327F7A}" name="Column6154"/>
    <tableColumn id="6160" xr3:uid="{5D0BDFCE-02D1-4943-A83D-CE30DEC3ECD4}" name="Column6155"/>
    <tableColumn id="6161" xr3:uid="{10FDB6B1-30C6-4B34-8907-7D4EDFA28038}" name="Column6156"/>
    <tableColumn id="6162" xr3:uid="{6E60474C-6290-4881-848E-3B0C3FFF7D07}" name="Column6157"/>
    <tableColumn id="6163" xr3:uid="{FE259FBC-B9BE-4C59-94B4-EEFD29476E23}" name="Column6158"/>
    <tableColumn id="6164" xr3:uid="{FDF11C25-F1AA-465D-AE7C-25F49F391CB0}" name="Column6159"/>
    <tableColumn id="6165" xr3:uid="{2703C49A-E172-4EA5-817D-1463B5B626AB}" name="Column6160"/>
    <tableColumn id="6166" xr3:uid="{2758587D-D396-4E6E-A5CE-A1596D5A5D97}" name="Column6161"/>
    <tableColumn id="6167" xr3:uid="{71A21DD0-21EA-45B7-8264-30A5E8AD4186}" name="Column6162"/>
    <tableColumn id="6168" xr3:uid="{244D8838-F99B-4538-BD4E-457628040CE5}" name="Column6163"/>
    <tableColumn id="6169" xr3:uid="{95323D68-643A-45DC-A175-EEE396F66CD9}" name="Column6164"/>
    <tableColumn id="6170" xr3:uid="{0D473788-2ED5-4E05-ABCA-79E2847BB2F7}" name="Column6165"/>
    <tableColumn id="6171" xr3:uid="{7E642F2F-6158-4156-B23D-D2AB4E1EB55D}" name="Column6166"/>
    <tableColumn id="6172" xr3:uid="{2A6DD202-7821-4A55-B4B3-2245417ECC4C}" name="Column6167"/>
    <tableColumn id="6173" xr3:uid="{329F4380-62CA-44F4-B85C-457133505579}" name="Column6168"/>
    <tableColumn id="6174" xr3:uid="{31814DC8-7E39-498A-8D71-BD4E298C9A28}" name="Column6169"/>
    <tableColumn id="6175" xr3:uid="{4F7D478F-3091-4312-93D9-590C6A7FD777}" name="Column6170"/>
    <tableColumn id="6176" xr3:uid="{C1E7F093-643E-43C3-9BB7-4642F77C8879}" name="Column6171"/>
    <tableColumn id="6177" xr3:uid="{33AAC42A-B4F8-456F-A78C-7FD53B963143}" name="Column6172"/>
    <tableColumn id="6178" xr3:uid="{9004CAEE-EBFD-45DC-A168-0B7C279ADC46}" name="Column6173"/>
    <tableColumn id="6179" xr3:uid="{69640D26-8CC6-4585-87D5-D5BA24AE1D13}" name="Column6174"/>
    <tableColumn id="6180" xr3:uid="{EAC72562-ADE1-4760-8434-A946EBB2D6D5}" name="Column6175"/>
    <tableColumn id="6181" xr3:uid="{D07C1EAC-D653-4ECC-B80C-703C3A62B4CB}" name="Column6176"/>
    <tableColumn id="6182" xr3:uid="{BFF46E74-A31F-4328-BEA7-55B9575C1461}" name="Column6177"/>
    <tableColumn id="6183" xr3:uid="{33FB5F4A-6014-4449-B8CA-B108E89B0CEC}" name="Column6178"/>
    <tableColumn id="6184" xr3:uid="{52AC8D9B-CE3F-4838-8075-095B2C8BD7CA}" name="Column6179"/>
    <tableColumn id="6185" xr3:uid="{980C2EBE-8FF1-4803-8BBA-8088E8994DAC}" name="Column6180"/>
    <tableColumn id="6186" xr3:uid="{E9C8F44B-3D69-4890-B52F-84EADE552A15}" name="Column6181"/>
    <tableColumn id="6187" xr3:uid="{20BE3F0A-0A07-4E9C-9B44-AAE7FCC6ABAE}" name="Column6182"/>
    <tableColumn id="6188" xr3:uid="{3AA61C31-8746-4D73-BFBA-B0C6E928D717}" name="Column6183"/>
    <tableColumn id="6189" xr3:uid="{878D6EAE-8582-485E-995B-3B4059A9703C}" name="Column6184"/>
    <tableColumn id="6190" xr3:uid="{4851B20F-7500-4AB2-9C33-0C5AEFDC8BAF}" name="Column6185"/>
    <tableColumn id="6191" xr3:uid="{E0525F08-F8EA-4473-BED3-F98928D4AE11}" name="Column6186"/>
    <tableColumn id="6192" xr3:uid="{DE1A651D-81F0-45A2-8094-CAB2275816BE}" name="Column6187"/>
    <tableColumn id="6193" xr3:uid="{48537F5E-37F7-4BC4-A131-D51353C6E592}" name="Column6188"/>
    <tableColumn id="6194" xr3:uid="{14255746-5BCE-4C37-9080-346C00B67B89}" name="Column6189"/>
    <tableColumn id="6195" xr3:uid="{58581A80-32B0-4C7D-B429-82C7BE863111}" name="Column6190"/>
    <tableColumn id="6196" xr3:uid="{688EAC46-41F1-49A4-8B3A-DBA7C0A2BBC5}" name="Column6191"/>
    <tableColumn id="6197" xr3:uid="{C6940E77-7287-445D-A2C0-9112B63D17AC}" name="Column6192"/>
    <tableColumn id="6198" xr3:uid="{B4FA4005-58B4-43C0-B86B-8F15CDC3B324}" name="Column6193"/>
    <tableColumn id="6199" xr3:uid="{EE178539-78BA-4EAB-9DBB-344C6C096544}" name="Column6194"/>
    <tableColumn id="6200" xr3:uid="{3BEB2FF4-AB7C-4A11-A6DA-3DD09E07605D}" name="Column6195"/>
    <tableColumn id="6201" xr3:uid="{2AF7E30F-66E7-49C8-A5CA-90016EC2E8CE}" name="Column6196"/>
    <tableColumn id="6202" xr3:uid="{039D3268-BEB9-4799-9DB3-DC5063F713DB}" name="Column6197"/>
    <tableColumn id="6203" xr3:uid="{76440B8C-BE42-46BA-96DF-1147BD62A074}" name="Column6198"/>
    <tableColumn id="6204" xr3:uid="{6CCE9763-4E89-480F-B7ED-9D5F3F294A2F}" name="Column6199"/>
    <tableColumn id="6205" xr3:uid="{55CD74E1-BC4D-4773-ACFC-C1AC9A308675}" name="Column6200"/>
    <tableColumn id="6206" xr3:uid="{8D4EAD2F-C63B-4C47-BB99-295B3ADCD8E7}" name="Column6201"/>
    <tableColumn id="6207" xr3:uid="{B3D1234B-D563-4A68-A004-183459666F29}" name="Column6202"/>
    <tableColumn id="6208" xr3:uid="{F7FBC03B-4028-498A-BFB3-60C7F3E9725E}" name="Column6203"/>
    <tableColumn id="6209" xr3:uid="{0F2AC70C-C676-4A8C-A698-1552D98C92F2}" name="Column6204"/>
    <tableColumn id="6210" xr3:uid="{864720B8-B370-4557-98F5-2403A34A6D1B}" name="Column6205"/>
    <tableColumn id="6211" xr3:uid="{F2B05B9B-6C3F-45D6-95BA-361F622626CF}" name="Column6206"/>
    <tableColumn id="6212" xr3:uid="{18B11111-A14A-47BD-B4D8-6AD186926104}" name="Column6207"/>
    <tableColumn id="6213" xr3:uid="{675FEE5F-EB1D-4B18-83A1-25A0A80BA82C}" name="Column6208"/>
    <tableColumn id="6214" xr3:uid="{E594EB10-79BB-437F-9C03-3951123C0CC1}" name="Column6209"/>
    <tableColumn id="6215" xr3:uid="{851582CF-A178-48CD-954C-3DD38266AF2D}" name="Column6210"/>
    <tableColumn id="6216" xr3:uid="{94601231-84BA-4DBC-9AAB-51677C1A4E6C}" name="Column6211"/>
    <tableColumn id="6217" xr3:uid="{466A8A11-6B0F-45F6-A11C-991BECFD7940}" name="Column6212"/>
    <tableColumn id="6218" xr3:uid="{C67CBBA2-DA3C-45BD-A210-868F4F854447}" name="Column6213"/>
    <tableColumn id="6219" xr3:uid="{B37EADE5-B87D-4716-98F8-A587481F2EF1}" name="Column6214"/>
    <tableColumn id="6220" xr3:uid="{DB632A11-24CE-466B-A820-4B0BF4D8D4CE}" name="Column6215"/>
    <tableColumn id="6221" xr3:uid="{2BB52FD2-F546-4F6D-A776-D246432EC228}" name="Column6216"/>
    <tableColumn id="6222" xr3:uid="{92ED642D-53DA-4503-ACAE-CBF5EEBD0E75}" name="Column6217"/>
    <tableColumn id="6223" xr3:uid="{AB79C4C7-71A8-4983-A3E7-753DDB8FE254}" name="Column6218"/>
    <tableColumn id="6224" xr3:uid="{33D1CEF9-7C54-49A2-BA73-6B454119AD8F}" name="Column6219"/>
    <tableColumn id="6225" xr3:uid="{5FFCC6A2-6F7D-421C-BF41-AA24F48763B2}" name="Column6220"/>
    <tableColumn id="6226" xr3:uid="{AF9348F6-8324-465D-8475-EB5917D7A137}" name="Column6221"/>
    <tableColumn id="6227" xr3:uid="{136A75BE-8B0A-463F-90F4-83EDA70FCE87}" name="Column6222"/>
    <tableColumn id="6228" xr3:uid="{DE727B8D-51FB-44A7-8E99-11429C127A66}" name="Column6223"/>
    <tableColumn id="6229" xr3:uid="{1EB1203B-3D95-4101-A765-39D3D9079B10}" name="Column6224"/>
    <tableColumn id="6230" xr3:uid="{3A411E5A-715A-4315-AF79-7BFC30827BF0}" name="Column6225"/>
    <tableColumn id="6231" xr3:uid="{A32E007A-65B4-4149-A2D2-DA60C731044A}" name="Column6226"/>
    <tableColumn id="6232" xr3:uid="{97078E37-A2CF-4E53-AB5B-7826FF1AA7D3}" name="Column6227"/>
    <tableColumn id="6233" xr3:uid="{461A1A04-4375-4509-8517-6EBE4C969411}" name="Column6228"/>
    <tableColumn id="6234" xr3:uid="{3AB17E8E-5A48-4250-BDEC-259455F606EA}" name="Column6229"/>
    <tableColumn id="6235" xr3:uid="{FFF0F0EC-0E07-4879-A659-2AFE91AA6CDA}" name="Column6230"/>
    <tableColumn id="6236" xr3:uid="{4F6A8217-0728-4F3E-BEB6-6473768EB5BB}" name="Column6231"/>
    <tableColumn id="6237" xr3:uid="{3490141C-5FEC-4062-9D3D-F7C247AD1D95}" name="Column6232"/>
    <tableColumn id="6238" xr3:uid="{8BC0693A-091F-4DAD-BF2E-1A81FD67C4C7}" name="Column6233"/>
    <tableColumn id="6239" xr3:uid="{0A61B292-EBF2-4646-A23A-98C004AED563}" name="Column6234"/>
    <tableColumn id="6240" xr3:uid="{A5017998-C24D-4366-BF2C-CF03E7CE9C99}" name="Column6235"/>
    <tableColumn id="6241" xr3:uid="{59D12931-339F-46D7-A5FD-F0573FCE3350}" name="Column6236"/>
    <tableColumn id="6242" xr3:uid="{2FFA3881-624B-4B8C-AA43-4A53A8458C1E}" name="Column6237"/>
    <tableColumn id="6243" xr3:uid="{AFF65FEF-7DE1-40EE-8EEC-1ECAE96BFF60}" name="Column6238"/>
    <tableColumn id="6244" xr3:uid="{78FC2D9A-FEEA-45C0-AEDE-5618802E4BFD}" name="Column6239"/>
    <tableColumn id="6245" xr3:uid="{C75A2D2E-0FF2-4069-AEBB-779D78713A6D}" name="Column6240"/>
    <tableColumn id="6246" xr3:uid="{CD165C64-7E81-4F31-9829-051DCD89081D}" name="Column6241"/>
    <tableColumn id="6247" xr3:uid="{A155FE4F-2318-4D63-AC96-D0E08B60ED22}" name="Column6242"/>
    <tableColumn id="6248" xr3:uid="{29B8A531-A0FC-44C3-A5E1-686973017498}" name="Column6243"/>
    <tableColumn id="6249" xr3:uid="{B34B5A5F-81DC-49E5-9156-4D9BAE5E1636}" name="Column6244"/>
    <tableColumn id="6250" xr3:uid="{2FB916B5-2FC0-4694-9A80-F4B8435F16EB}" name="Column6245"/>
    <tableColumn id="6251" xr3:uid="{3994D97C-C855-4293-A49E-6AD13FF0D99F}" name="Column6246"/>
    <tableColumn id="6252" xr3:uid="{853FB8BF-B502-41F1-8243-6B3A742CF8F8}" name="Column6247"/>
    <tableColumn id="6253" xr3:uid="{90B9D041-3718-447A-9B4C-E0054D55BA96}" name="Column6248"/>
    <tableColumn id="6254" xr3:uid="{9183A2BA-AD40-43D7-98BD-A39DFA45634A}" name="Column6249"/>
    <tableColumn id="6255" xr3:uid="{F16CC9DC-519B-4FB3-9036-F05CAF3CF2B6}" name="Column6250"/>
    <tableColumn id="6256" xr3:uid="{1B00B736-3660-478A-8132-C8482183593C}" name="Column6251"/>
    <tableColumn id="6257" xr3:uid="{71CCC063-1E7D-4136-B255-B2376CD220E6}" name="Column6252"/>
    <tableColumn id="6258" xr3:uid="{E0C214BB-B823-4EAB-9CFE-D61CFEB2A7D4}" name="Column6253"/>
    <tableColumn id="6259" xr3:uid="{1BECDC6B-8B79-4C3E-AAF4-4322D8F69882}" name="Column6254"/>
    <tableColumn id="6260" xr3:uid="{0865FBC6-57B0-4663-887F-58978F55C808}" name="Column6255"/>
    <tableColumn id="6261" xr3:uid="{7B9DE4F7-D525-46E9-9ABE-7775CB29E7F7}" name="Column6256"/>
    <tableColumn id="6262" xr3:uid="{B3EEDA5E-EE58-49CB-BBAB-D1C6A4F44B70}" name="Column6257"/>
    <tableColumn id="6263" xr3:uid="{D4B4A2BC-F27E-45D9-9D02-55AC989C631E}" name="Column6258"/>
    <tableColumn id="6264" xr3:uid="{EFDD5F55-47AB-453A-BF51-25E5466C46C9}" name="Column6259"/>
    <tableColumn id="6265" xr3:uid="{F2FFC72F-32A7-4136-B043-70E8DD4E7F49}" name="Column6260"/>
    <tableColumn id="6266" xr3:uid="{C37B2111-106B-4E08-851A-22F4A9363BC1}" name="Column6261"/>
    <tableColumn id="6267" xr3:uid="{2B6E7CF2-0250-452E-8496-768D6D7252CB}" name="Column6262"/>
    <tableColumn id="6268" xr3:uid="{59E5C88E-33FE-4681-A40E-314DADE330E2}" name="Column6263"/>
    <tableColumn id="6269" xr3:uid="{26DD78F7-7FDD-468B-A2BD-03416B0206AB}" name="Column6264"/>
    <tableColumn id="6270" xr3:uid="{728769FE-CBED-48D5-BA2E-49ACF2B915AB}" name="Column6265"/>
    <tableColumn id="6271" xr3:uid="{8E1ACE97-5D92-4EFD-9048-D5169B1326EE}" name="Column6266"/>
    <tableColumn id="6272" xr3:uid="{560B6E1D-7EEE-427A-B6FB-103FC6AD8C99}" name="Column6267"/>
    <tableColumn id="6273" xr3:uid="{D9901C73-4482-4B70-9606-11FD5D86D8F3}" name="Column6268"/>
    <tableColumn id="6274" xr3:uid="{039CA10A-93E4-4661-9DF4-A7810BC570A1}" name="Column6269"/>
    <tableColumn id="6275" xr3:uid="{DE2D249F-7FD5-4D02-98FB-A04C5F9BB353}" name="Column6270"/>
    <tableColumn id="6276" xr3:uid="{6A7D3FAC-2308-41EA-A160-FD83B69230AE}" name="Column6271"/>
    <tableColumn id="6277" xr3:uid="{EFE8F95C-1AE4-41EE-AC29-035E8EE5BBBB}" name="Column6272"/>
    <tableColumn id="6278" xr3:uid="{86876F36-1A49-4E0A-AF57-201E1374415F}" name="Column6273"/>
    <tableColumn id="6279" xr3:uid="{50BAA644-0275-49A8-955C-D602F56ABB6E}" name="Column6274"/>
    <tableColumn id="6280" xr3:uid="{AB57C482-5E01-43D4-AA4A-0CC62257E72F}" name="Column6275"/>
    <tableColumn id="6281" xr3:uid="{F433CA34-861B-40FD-917E-333E7B42298B}" name="Column6276"/>
    <tableColumn id="6282" xr3:uid="{9EF0C394-EE84-445D-9E44-E931EBD24455}" name="Column6277"/>
    <tableColumn id="6283" xr3:uid="{032E6E67-2501-4D97-8A19-D77F6E956FE0}" name="Column6278"/>
    <tableColumn id="6284" xr3:uid="{32BF0377-FF90-40FF-B420-3924BF9FDA5A}" name="Column6279"/>
    <tableColumn id="6285" xr3:uid="{9C08FD00-D491-46DF-B26A-AE0034E68031}" name="Column6280"/>
    <tableColumn id="6286" xr3:uid="{552E4B21-22BF-47B2-9FB8-4C24FB40A71F}" name="Column6281"/>
    <tableColumn id="6287" xr3:uid="{F2FE9519-FE35-4386-866B-2B24D24393FE}" name="Column6282"/>
    <tableColumn id="6288" xr3:uid="{E5BD89DC-4B71-4FB6-8E22-C0EEFDE231AA}" name="Column6283"/>
    <tableColumn id="6289" xr3:uid="{72762C27-03DD-4C47-B72F-2AE3B53F62B2}" name="Column6284"/>
    <tableColumn id="6290" xr3:uid="{FCFE786D-DF3F-4EBD-8B05-C11E6C1DB6A9}" name="Column6285"/>
    <tableColumn id="6291" xr3:uid="{B9C6DF0D-B11A-4726-B56B-EDD6DF8F5C68}" name="Column6286"/>
    <tableColumn id="6292" xr3:uid="{3A45C0AF-778C-4516-B366-4BC9333C5072}" name="Column6287"/>
    <tableColumn id="6293" xr3:uid="{4718884E-BB24-46C8-BC0B-3604BDF6D3B0}" name="Column6288"/>
    <tableColumn id="6294" xr3:uid="{D24AEE0D-5C40-4EE6-B868-D433AF0FF8F6}" name="Column6289"/>
    <tableColumn id="6295" xr3:uid="{067E9213-341D-428B-AD68-4BCA76CF7419}" name="Column6290"/>
    <tableColumn id="6296" xr3:uid="{BC19F68E-685D-4C4E-B2C2-74F4B70BA9C1}" name="Column6291"/>
    <tableColumn id="6297" xr3:uid="{68F2D4F7-B602-4635-B716-1DB231618CF3}" name="Column6292"/>
    <tableColumn id="6298" xr3:uid="{2339D331-E593-428B-90E0-DAAA4F5C782A}" name="Column6293"/>
    <tableColumn id="6299" xr3:uid="{3F24316E-D15A-47C2-AC0C-4B4D2A2277F2}" name="Column6294"/>
    <tableColumn id="6300" xr3:uid="{DD74CA2D-9332-4530-9FA7-1B87DC0A1E39}" name="Column6295"/>
    <tableColumn id="6301" xr3:uid="{74E8BF06-024C-4FD1-859D-5EEF1B6C9424}" name="Column6296"/>
    <tableColumn id="6302" xr3:uid="{C54FDC87-9790-42C0-B264-529879A8CA66}" name="Column6297"/>
    <tableColumn id="6303" xr3:uid="{650E67C3-DCF6-4879-BB31-444E12CB25D1}" name="Column6298"/>
    <tableColumn id="6304" xr3:uid="{42967C82-8426-4975-86AA-D2FE24830B34}" name="Column6299"/>
    <tableColumn id="6305" xr3:uid="{9DA14552-CA58-4300-9518-01F9DE2C41BF}" name="Column6300"/>
    <tableColumn id="6306" xr3:uid="{D8F68C3D-256E-47E9-9279-7EE2EEF8CDF5}" name="Column6301"/>
    <tableColumn id="6307" xr3:uid="{4A00370A-3550-47E4-8031-B2187E4B5B43}" name="Column6302"/>
    <tableColumn id="6308" xr3:uid="{93BA9B51-A6BE-49B3-95E8-7C9F41AC6813}" name="Column6303"/>
    <tableColumn id="6309" xr3:uid="{FC9F739E-5062-4275-9A08-6306FE4AD755}" name="Column6304"/>
    <tableColumn id="6310" xr3:uid="{376346C6-CE74-4531-9649-07121346052F}" name="Column6305"/>
    <tableColumn id="6311" xr3:uid="{D3DEB2D4-9AB7-4C32-A861-1B82324EBD53}" name="Column6306"/>
    <tableColumn id="6312" xr3:uid="{44A06499-DFCD-411E-84B6-EFCBAF5CEC48}" name="Column6307"/>
    <tableColumn id="6313" xr3:uid="{133D4427-E97C-4D28-A522-70C85EC65869}" name="Column6308"/>
    <tableColumn id="6314" xr3:uid="{B2C5FDDA-26F8-46CC-AA17-90CD45630546}" name="Column6309"/>
    <tableColumn id="6315" xr3:uid="{0366E19F-74C6-4A49-B95A-75499783238F}" name="Column6310"/>
    <tableColumn id="6316" xr3:uid="{D72E4670-E00A-4B9F-A4EC-35F615E5B62D}" name="Column6311"/>
    <tableColumn id="6317" xr3:uid="{D97D991E-BC88-43A0-BC68-45FBC88B48EE}" name="Column6312"/>
    <tableColumn id="6318" xr3:uid="{29A80AC9-03C2-475E-BF62-D3FBC920B7F8}" name="Column6313"/>
    <tableColumn id="6319" xr3:uid="{E1C9A0A1-0AF1-400F-89E2-F294B9D5C878}" name="Column6314"/>
    <tableColumn id="6320" xr3:uid="{7CDF29AE-0822-4813-9494-C04D4118CC15}" name="Column6315"/>
    <tableColumn id="6321" xr3:uid="{D0730BEE-EEE1-48DA-9777-A7CD2FC39FEE}" name="Column6316"/>
    <tableColumn id="6322" xr3:uid="{07D44EF4-3D6C-49AE-8986-CE5B90B1A1D2}" name="Column6317"/>
    <tableColumn id="6323" xr3:uid="{F3707DBC-2BAD-4096-B473-598152E976A0}" name="Column6318"/>
    <tableColumn id="6324" xr3:uid="{7681C2BF-02DF-46B2-9CA3-28197359111C}" name="Column6319"/>
    <tableColumn id="6325" xr3:uid="{30385582-523A-4779-9501-54714E5655D1}" name="Column6320"/>
    <tableColumn id="6326" xr3:uid="{2BA939FF-76F8-41B8-B61F-4FB6EF894201}" name="Column6321"/>
    <tableColumn id="6327" xr3:uid="{52F9FBA3-9443-4C54-8DAF-FC5B4EC5BE2A}" name="Column6322"/>
    <tableColumn id="6328" xr3:uid="{05CB5020-BF9B-4178-89F0-12BDA42C7BBF}" name="Column6323"/>
    <tableColumn id="6329" xr3:uid="{CD5907DC-13E4-4958-B174-A9EEEC6B8209}" name="Column6324"/>
    <tableColumn id="6330" xr3:uid="{B43BF2DA-1A94-4761-B78B-C9EF0C98CE4B}" name="Column6325"/>
    <tableColumn id="6331" xr3:uid="{A32ADED6-C5BE-47DD-8215-15F6882E6A22}" name="Column6326"/>
    <tableColumn id="6332" xr3:uid="{5BC4F3B4-C756-4EB0-9C1F-EFB51BE23F14}" name="Column6327"/>
    <tableColumn id="6333" xr3:uid="{9AB5D865-B76B-4CB1-8ECB-EEF74201049B}" name="Column6328"/>
    <tableColumn id="6334" xr3:uid="{36EA1D8F-7D5E-47A2-97B1-BFC8666E2CC0}" name="Column6329"/>
    <tableColumn id="6335" xr3:uid="{DBC95CB6-3500-4233-808B-D45B4D6E6B4C}" name="Column6330"/>
    <tableColumn id="6336" xr3:uid="{4EEC23C7-033A-457B-A64D-86FDDB58819E}" name="Column6331"/>
    <tableColumn id="6337" xr3:uid="{5DFBAD2B-1A2A-4FB2-96CB-39CC9DA1D2FC}" name="Column6332"/>
    <tableColumn id="6338" xr3:uid="{D10A719F-58B0-4899-B6C8-F32165D266D4}" name="Column6333"/>
    <tableColumn id="6339" xr3:uid="{D375889A-F395-4117-B393-CAAFB35A364C}" name="Column6334"/>
    <tableColumn id="6340" xr3:uid="{40FDCB20-232C-42EC-947F-2BE2C513C160}" name="Column6335"/>
    <tableColumn id="6341" xr3:uid="{5B5527DC-2B13-4AC9-80DC-AE691948B27C}" name="Column6336"/>
    <tableColumn id="6342" xr3:uid="{E628FFB1-8B81-406B-9133-5B2B5BAB762A}" name="Column6337"/>
    <tableColumn id="6343" xr3:uid="{DF7F840F-6E1C-4FE2-8A22-EBB6113EDBA5}" name="Column6338"/>
    <tableColumn id="6344" xr3:uid="{EBFCDD99-BA00-4063-A8AD-A062C3144D48}" name="Column6339"/>
    <tableColumn id="6345" xr3:uid="{F453C690-BF9A-48EB-B9BD-7CF726403E5E}" name="Column6340"/>
    <tableColumn id="6346" xr3:uid="{1CAC8EF9-32C6-49F3-A11D-94DD545103EE}" name="Column6341"/>
    <tableColumn id="6347" xr3:uid="{ACCDDFB1-5360-4FBF-98B8-5F6F5DF93074}" name="Column6342"/>
    <tableColumn id="6348" xr3:uid="{6D19AC25-2B74-4ADA-8F36-C063458E453A}" name="Column6343"/>
    <tableColumn id="6349" xr3:uid="{39F47ADB-8B19-4C73-8AF1-7C4E15065093}" name="Column6344"/>
    <tableColumn id="6350" xr3:uid="{1A57E3C8-CB6C-4790-A127-71AF563DA238}" name="Column6345"/>
    <tableColumn id="6351" xr3:uid="{9B581275-3DA6-4519-8EBA-9F50B007C80B}" name="Column6346"/>
    <tableColumn id="6352" xr3:uid="{058CFC0B-C306-4A4A-855A-7D3EAF683ABC}" name="Column6347"/>
    <tableColumn id="6353" xr3:uid="{A1BFF819-4653-4F40-933F-B09C377E72A8}" name="Column6348"/>
    <tableColumn id="6354" xr3:uid="{42FD39C6-45F3-44E0-85A0-2A91A674E670}" name="Column6349"/>
    <tableColumn id="6355" xr3:uid="{7052C05E-EE0A-4B62-8874-44E746838A2F}" name="Column6350"/>
    <tableColumn id="6356" xr3:uid="{F441EDE3-0BD5-4777-A145-3E2F18DC9235}" name="Column6351"/>
    <tableColumn id="6357" xr3:uid="{55E73073-0B51-4318-9CD5-8CCBD2785BDE}" name="Column6352"/>
    <tableColumn id="6358" xr3:uid="{C1AFAE12-6C63-4823-82E0-4CF2FF7B51DC}" name="Column6353"/>
    <tableColumn id="6359" xr3:uid="{D92DBB8E-9F85-4D74-88D8-979E182CB78F}" name="Column6354"/>
    <tableColumn id="6360" xr3:uid="{AB74033C-B433-42AB-9D92-7A6DA2CAB704}" name="Column6355"/>
    <tableColumn id="6361" xr3:uid="{FE52CFD9-B262-42D8-A41C-C82F8FEAE78B}" name="Column6356"/>
    <tableColumn id="6362" xr3:uid="{3C660407-25FA-4122-800A-5669D957C5C8}" name="Column6357"/>
    <tableColumn id="6363" xr3:uid="{1BC3E60B-BE35-4037-BFF5-CFC6BCE670A5}" name="Column6358"/>
    <tableColumn id="6364" xr3:uid="{EBF53066-CFD4-4D04-AE00-D45E945B2BC6}" name="Column6359"/>
    <tableColumn id="6365" xr3:uid="{5F6A82C9-C2D3-44CF-9BFB-96124A965EEF}" name="Column6360"/>
    <tableColumn id="6366" xr3:uid="{0968F7E0-2FBB-43DE-9825-D6229DF97806}" name="Column6361"/>
    <tableColumn id="6367" xr3:uid="{079D26D9-9BC3-4EC4-BBE7-B7F289651B4E}" name="Column6362"/>
    <tableColumn id="6368" xr3:uid="{28E0A0A1-1AC6-4174-BC78-CC247B4299F2}" name="Column6363"/>
    <tableColumn id="6369" xr3:uid="{19E7DF00-2CDA-4650-8227-B061F5A63699}" name="Column6364"/>
    <tableColumn id="6370" xr3:uid="{9DB19A80-9C05-47C6-97B5-535FD6B21508}" name="Column6365"/>
    <tableColumn id="6371" xr3:uid="{36EA3193-6CB5-4D49-BE4C-E196DC3EBEC4}" name="Column6366"/>
    <tableColumn id="6372" xr3:uid="{02E9990A-A7C6-42F3-928B-2F405992D652}" name="Column6367"/>
    <tableColumn id="6373" xr3:uid="{CAB14679-2B87-4838-A423-C608831FDCAE}" name="Column6368"/>
    <tableColumn id="6374" xr3:uid="{02B0D304-C92A-4F8F-A266-78AE4E24A0D0}" name="Column6369"/>
    <tableColumn id="6375" xr3:uid="{4A2D12D0-543C-4E7C-AC9B-157794EFF041}" name="Column6370"/>
    <tableColumn id="6376" xr3:uid="{C4F9FDAF-793C-40BA-8052-E077657AE820}" name="Column6371"/>
    <tableColumn id="6377" xr3:uid="{A1473277-FAEA-4283-A373-9BB9D9274C67}" name="Column6372"/>
    <tableColumn id="6378" xr3:uid="{C630B488-587B-4873-8A3F-5DACE412F1DF}" name="Column6373"/>
    <tableColumn id="6379" xr3:uid="{840F567C-66C2-4721-8DC0-187F2E6CED09}" name="Column6374"/>
    <tableColumn id="6380" xr3:uid="{6BA07C58-F846-4B93-B294-D513D41DA72D}" name="Column6375"/>
    <tableColumn id="6381" xr3:uid="{3B3E3109-92AE-4664-BC89-1893F6CA6560}" name="Column6376"/>
    <tableColumn id="6382" xr3:uid="{C677EC63-110E-4973-AEA7-2B922829DB98}" name="Column6377"/>
    <tableColumn id="6383" xr3:uid="{C85EB8E5-79D0-42B7-923F-FA6750DB113C}" name="Column6378"/>
    <tableColumn id="6384" xr3:uid="{04245912-C92C-4F67-BC78-46172E757A20}" name="Column6379"/>
    <tableColumn id="6385" xr3:uid="{2527C3B0-0D69-4221-BE5C-6A444C150819}" name="Column6380"/>
    <tableColumn id="6386" xr3:uid="{72A887C1-C971-4E7D-8C9F-F1998AB4A60E}" name="Column6381"/>
    <tableColumn id="6387" xr3:uid="{E3F222E7-08F8-44DA-830B-23A2303684AB}" name="Column6382"/>
    <tableColumn id="6388" xr3:uid="{7667F7AA-B77C-4C34-BCF0-16793B0FA571}" name="Column6383"/>
    <tableColumn id="6389" xr3:uid="{77E0E9D7-A518-4DF9-9F61-7B611F5A8904}" name="Column6384"/>
    <tableColumn id="6390" xr3:uid="{FB1BA533-BC70-4FC5-ABCA-787C21F5F034}" name="Column6385"/>
    <tableColumn id="6391" xr3:uid="{FD9F8CBF-F6AF-49F5-BED3-2A8CCCF2C52B}" name="Column6386"/>
    <tableColumn id="6392" xr3:uid="{A6F9F67D-4356-4BA4-A206-ACF847C1D16F}" name="Column6387"/>
    <tableColumn id="6393" xr3:uid="{2BDA146B-1B4F-4B7F-ACBD-16F59798F87F}" name="Column6388"/>
    <tableColumn id="6394" xr3:uid="{37E8A8C1-125D-4192-A510-E2413B00DBE2}" name="Column6389"/>
    <tableColumn id="6395" xr3:uid="{45AEC36C-1030-4581-8CA4-125B10FA9F8B}" name="Column6390"/>
    <tableColumn id="6396" xr3:uid="{DA4E73BF-CAD2-415B-A7C1-B94A6AC98239}" name="Column6391"/>
    <tableColumn id="6397" xr3:uid="{DCB70BA3-4FCC-4A00-9B9A-41A107078EE1}" name="Column6392"/>
    <tableColumn id="6398" xr3:uid="{A1F1E1E8-90F1-4777-A37C-B4263ED8F8E8}" name="Column6393"/>
    <tableColumn id="6399" xr3:uid="{4844D1CE-977B-4796-A8CE-036E68EE37E8}" name="Column6394"/>
    <tableColumn id="6400" xr3:uid="{B1C19B80-21D9-4CB2-B808-26C46096ADF2}" name="Column6395"/>
    <tableColumn id="6401" xr3:uid="{7D1FA294-989F-4F63-BB12-B4128B1251E0}" name="Column6396"/>
    <tableColumn id="6402" xr3:uid="{058C38CC-A0D6-4313-B66B-FE1DD6804F9C}" name="Column6397"/>
    <tableColumn id="6403" xr3:uid="{2FDCB5E0-F302-4C1B-A1C3-7EE914FBA20B}" name="Column6398"/>
    <tableColumn id="6404" xr3:uid="{6462BE1D-B188-430D-9209-CA5A1DF3DB9F}" name="Column6399"/>
    <tableColumn id="6405" xr3:uid="{9B43B50F-FA23-4D6D-8DBF-C06B705177B6}" name="Column6400"/>
    <tableColumn id="6406" xr3:uid="{D6AF53B4-F242-4AA1-8C37-1E8CA69609FB}" name="Column6401"/>
    <tableColumn id="6407" xr3:uid="{B04092A5-F92F-40AF-AC56-53329D403128}" name="Column6402"/>
    <tableColumn id="6408" xr3:uid="{DDAE9A12-549A-497B-BBA7-B5FA7FF1B235}" name="Column6403"/>
    <tableColumn id="6409" xr3:uid="{3FD43231-0286-4F5A-B163-8201302A644C}" name="Column6404"/>
    <tableColumn id="6410" xr3:uid="{614D2B74-FD41-48CF-815F-63EE027B2609}" name="Column6405"/>
    <tableColumn id="6411" xr3:uid="{425AB582-15A3-4BE0-883B-6503F5D7D8FF}" name="Column6406"/>
    <tableColumn id="6412" xr3:uid="{94743B82-6C65-4728-8C4B-F75A3F6876C1}" name="Column6407"/>
    <tableColumn id="6413" xr3:uid="{93804B37-83DE-4CBC-9C83-913253EFC80B}" name="Column6408"/>
    <tableColumn id="6414" xr3:uid="{D46537B6-4D28-4670-89B7-972BC4D3C431}" name="Column6409"/>
    <tableColumn id="6415" xr3:uid="{5465F535-3EE2-4206-881B-55B589CF59C5}" name="Column6410"/>
    <tableColumn id="6416" xr3:uid="{1D576FC8-D567-461F-9495-A4B034A6B261}" name="Column6411"/>
    <tableColumn id="6417" xr3:uid="{10274790-F2E9-4042-AF9F-AD2E42742E6A}" name="Column6412"/>
    <tableColumn id="6418" xr3:uid="{F0D3F96B-5E11-4114-8389-65DDE9A4C126}" name="Column6413"/>
    <tableColumn id="6419" xr3:uid="{62843642-41CE-44E9-B5D4-6BE644847E52}" name="Column6414"/>
    <tableColumn id="6420" xr3:uid="{6EC5E078-48E3-4350-A589-F8A9CE4EC687}" name="Column6415"/>
    <tableColumn id="6421" xr3:uid="{91C08928-41D4-4147-B8D0-810F7F6AC803}" name="Column6416"/>
    <tableColumn id="6422" xr3:uid="{29476AF3-EC7D-4FE5-9175-E9FE08CF17D6}" name="Column6417"/>
    <tableColumn id="6423" xr3:uid="{2AC23FFE-E0B9-490E-AEE4-4BE4D0429880}" name="Column6418"/>
    <tableColumn id="6424" xr3:uid="{02914927-5C4C-48DF-A46C-72B2171F46AE}" name="Column6419"/>
    <tableColumn id="6425" xr3:uid="{4D7F2417-090C-48EF-B771-C20B9A06B183}" name="Column6420"/>
    <tableColumn id="6426" xr3:uid="{7CAC7EE5-C209-47CD-A015-EF28EE45EC99}" name="Column6421"/>
    <tableColumn id="6427" xr3:uid="{1143D7B3-DBB3-451A-B378-D9ED787F4FEF}" name="Column6422"/>
    <tableColumn id="6428" xr3:uid="{220DADCD-4924-417A-888A-D85BBC2323C3}" name="Column6423"/>
    <tableColumn id="6429" xr3:uid="{5BFE851F-1AAA-4C26-81AD-4E1E08AFF226}" name="Column6424"/>
    <tableColumn id="6430" xr3:uid="{8A1E3BD2-BA0B-476A-BB3A-5BB3092DBDA4}" name="Column6425"/>
    <tableColumn id="6431" xr3:uid="{87A7C52A-D452-40EC-8164-99C869A5FDC5}" name="Column6426"/>
    <tableColumn id="6432" xr3:uid="{211CFA04-B4D7-4F30-B069-EBB4C1F315D5}" name="Column6427"/>
    <tableColumn id="6433" xr3:uid="{2699125E-D4A2-4D45-BFA3-43B110D46907}" name="Column6428"/>
    <tableColumn id="6434" xr3:uid="{8399E40D-0BE6-4114-9A86-0A81ADE156F6}" name="Column6429"/>
    <tableColumn id="6435" xr3:uid="{46C1CBAB-8808-4942-8580-780C2F65B09E}" name="Column6430"/>
    <tableColumn id="6436" xr3:uid="{6AADA1E8-E40A-4575-BA1A-5EA85CF5D344}" name="Column6431"/>
    <tableColumn id="6437" xr3:uid="{FA725006-1752-4368-84D3-D7C32D43400B}" name="Column6432"/>
    <tableColumn id="6438" xr3:uid="{5401D079-DD9D-41B9-8F2D-93CF9520414C}" name="Column6433"/>
    <tableColumn id="6439" xr3:uid="{1D7F571E-E8E6-40C7-8E8C-5C16AA15EE0A}" name="Column6434"/>
    <tableColumn id="6440" xr3:uid="{0131474E-149E-4503-99C4-B79F747B5754}" name="Column6435"/>
    <tableColumn id="6441" xr3:uid="{A13381D7-3EED-4CD6-B102-8C9707D6215C}" name="Column6436"/>
    <tableColumn id="6442" xr3:uid="{DBFB6507-03E1-4DEE-BC0F-BD3584411FBD}" name="Column6437"/>
    <tableColumn id="6443" xr3:uid="{478E7409-1FC3-44FB-9CF1-1AB7434FE588}" name="Column6438"/>
    <tableColumn id="6444" xr3:uid="{871C37BF-2405-404C-997A-7DCCC20748F6}" name="Column6439"/>
    <tableColumn id="6445" xr3:uid="{7F6E3FEC-B07A-404A-A2B5-E8836743A4C0}" name="Column6440"/>
    <tableColumn id="6446" xr3:uid="{999BB63D-9ECB-41F7-BA9F-525FBEE9FE36}" name="Column6441"/>
    <tableColumn id="6447" xr3:uid="{11EB69D2-5EBA-4CA8-883F-5397AD18E0A3}" name="Column6442"/>
    <tableColumn id="6448" xr3:uid="{E864AC78-72C8-4331-BF3C-141FCC03C6FA}" name="Column6443"/>
    <tableColumn id="6449" xr3:uid="{C565F4AE-E029-4DAC-98BF-03A653AF095F}" name="Column6444"/>
    <tableColumn id="6450" xr3:uid="{50201BBF-BE43-4FDD-A614-625CA63AD1FA}" name="Column6445"/>
    <tableColumn id="6451" xr3:uid="{B994FA1D-2194-40BB-97CD-47BF2572C83C}" name="Column6446"/>
    <tableColumn id="6452" xr3:uid="{2F25D2DD-D147-4954-9E22-C9316AC1688F}" name="Column6447"/>
    <tableColumn id="6453" xr3:uid="{3E96339E-CE9A-4396-B50B-ED7A3450560D}" name="Column6448"/>
    <tableColumn id="6454" xr3:uid="{EF92C89A-B8DB-4FAC-8A65-8A2FAB0AAF67}" name="Column6449"/>
    <tableColumn id="6455" xr3:uid="{1FF59438-97AA-46AF-8CD0-81E6DAFFC77A}" name="Column6450"/>
    <tableColumn id="6456" xr3:uid="{473A5E3D-52FF-4CB6-B50A-153AFA9E5DB2}" name="Column6451"/>
    <tableColumn id="6457" xr3:uid="{50EE562D-4782-4D03-BA69-B24B21A886F8}" name="Column6452"/>
    <tableColumn id="6458" xr3:uid="{B636D6E0-5298-47E7-9131-5A6A5B3C465D}" name="Column6453"/>
    <tableColumn id="6459" xr3:uid="{2C846CA9-76DA-4DDB-9DD7-EADD2F4CE658}" name="Column6454"/>
    <tableColumn id="6460" xr3:uid="{3FB4C45D-2560-4124-9FC8-0CE59EB74235}" name="Column6455"/>
    <tableColumn id="6461" xr3:uid="{859D0681-4D34-4B4D-BEFD-F73BCB4DBF4C}" name="Column6456"/>
    <tableColumn id="6462" xr3:uid="{F47876E9-D6E8-4610-8A6F-67088345008A}" name="Column6457"/>
    <tableColumn id="6463" xr3:uid="{4F14CB5A-05E0-4B50-8171-41EF762DE35E}" name="Column6458"/>
    <tableColumn id="6464" xr3:uid="{6C4D9497-2D97-49B3-83FB-FE01D99DEA9C}" name="Column6459"/>
    <tableColumn id="6465" xr3:uid="{6C5A47AC-A692-4DBD-8038-E05CA4A08392}" name="Column6460"/>
    <tableColumn id="6466" xr3:uid="{B4250606-3E55-4485-8FB7-81BA72820580}" name="Column6461"/>
    <tableColumn id="6467" xr3:uid="{AEC87368-C4C0-42F0-8601-1A4F108C6991}" name="Column6462"/>
    <tableColumn id="6468" xr3:uid="{973C0503-BEEE-4AB0-A1A7-5304F41FCE8E}" name="Column6463"/>
    <tableColumn id="6469" xr3:uid="{89CB7109-F592-4D7A-AB3F-593FF065B64C}" name="Column6464"/>
    <tableColumn id="6470" xr3:uid="{7F7F26BE-65E5-40DC-9C28-DC87841EA608}" name="Column6465"/>
    <tableColumn id="6471" xr3:uid="{CDBE5176-654F-49E1-B8DC-9A2DEAB63E6E}" name="Column6466"/>
    <tableColumn id="6472" xr3:uid="{9701760A-B160-4B10-B266-6F9C085A0D52}" name="Column6467"/>
    <tableColumn id="6473" xr3:uid="{CA222ACE-F905-4BBE-AA9D-6FB8F96F6D07}" name="Column6468"/>
    <tableColumn id="6474" xr3:uid="{9683FDC1-60A1-4FDC-BFF7-D79FC2B6ADD9}" name="Column6469"/>
    <tableColumn id="6475" xr3:uid="{CF82FF16-C9E8-42D8-82E4-5A3AF554D6D4}" name="Column6470"/>
    <tableColumn id="6476" xr3:uid="{7520042F-1F1C-4B97-A8A8-E80E665A9755}" name="Column6471"/>
    <tableColumn id="6477" xr3:uid="{DE083D35-F2DB-40B7-94DD-7F84DA43D116}" name="Column6472"/>
    <tableColumn id="6478" xr3:uid="{08373554-09F4-4652-AD63-D9C41ADA577A}" name="Column6473"/>
    <tableColumn id="6479" xr3:uid="{5F4AA8D3-4BD7-4614-BC9B-03BE875EEA72}" name="Column6474"/>
    <tableColumn id="6480" xr3:uid="{52CBCF94-68E3-4D50-BF28-64ACE609221E}" name="Column6475"/>
    <tableColumn id="6481" xr3:uid="{D8AD7B37-D47C-454F-A713-93589133F1C7}" name="Column6476"/>
    <tableColumn id="6482" xr3:uid="{DA966AF9-2259-4DB3-AEC5-65D4497FB2A7}" name="Column6477"/>
    <tableColumn id="6483" xr3:uid="{7ACF2C36-0754-4C63-A5C3-7C5BD0C7FD7E}" name="Column6478"/>
    <tableColumn id="6484" xr3:uid="{A8A0D8BB-2FA9-4670-93E4-6E825945F75D}" name="Column6479"/>
    <tableColumn id="6485" xr3:uid="{781D68B1-9A61-4235-A4A2-6B7F15643E35}" name="Column6480"/>
    <tableColumn id="6486" xr3:uid="{BEC32FE5-175B-4E52-8047-A368A0FB50F8}" name="Column6481"/>
    <tableColumn id="6487" xr3:uid="{A6C44BB9-1D9C-4F39-8879-0505619E67AE}" name="Column6482"/>
    <tableColumn id="6488" xr3:uid="{6EFAF731-1FF2-4A0A-96CB-9D1E3F245771}" name="Column6483"/>
    <tableColumn id="6489" xr3:uid="{0F132C0F-F816-432B-8C81-599197419F5F}" name="Column6484"/>
    <tableColumn id="6490" xr3:uid="{735FFAE5-8C5C-4DD0-B296-08083F5BFB13}" name="Column6485"/>
    <tableColumn id="6491" xr3:uid="{A7B2ED2D-53F9-44C5-B5E6-B4E845D84FDD}" name="Column6486"/>
    <tableColumn id="6492" xr3:uid="{C47CC063-2966-4865-BA11-1ED762A02EBB}" name="Column6487"/>
    <tableColumn id="6493" xr3:uid="{B5AE5A7F-DA0F-4A9F-9892-A803F3A97E46}" name="Column6488"/>
    <tableColumn id="6494" xr3:uid="{D382C411-7D96-48F5-AD67-5D1B689807AD}" name="Column6489"/>
    <tableColumn id="6495" xr3:uid="{33DBA6D4-82E0-4A3E-B8EE-CE7730B9DB9D}" name="Column6490"/>
    <tableColumn id="6496" xr3:uid="{0EA03035-D5C1-45C2-91D6-DA1AE765A59D}" name="Column6491"/>
    <tableColumn id="6497" xr3:uid="{ED4057AA-B305-4232-BD0A-61FBD8F65BF3}" name="Column6492"/>
    <tableColumn id="6498" xr3:uid="{8BAB84C1-2664-41B2-A487-0642F86DEC4B}" name="Column6493"/>
    <tableColumn id="6499" xr3:uid="{8960E267-3C64-4FBE-8F78-088796DF964C}" name="Column6494"/>
    <tableColumn id="6500" xr3:uid="{32BBE140-1B8A-4992-AE43-8861EA5BDD0B}" name="Column6495"/>
    <tableColumn id="6501" xr3:uid="{D97CF706-F58D-41AD-88FB-3D5451B005EC}" name="Column6496"/>
    <tableColumn id="6502" xr3:uid="{3BC9DA91-8A17-4324-9D51-E7770AA4955C}" name="Column6497"/>
    <tableColumn id="6503" xr3:uid="{6052C814-A81E-4CB2-9DCE-5F6F4CFA9EA7}" name="Column6498"/>
    <tableColumn id="6504" xr3:uid="{3E6CFD18-8394-4126-A43E-BEA94265ABE2}" name="Column6499"/>
    <tableColumn id="6505" xr3:uid="{E5A77D85-FFDF-42EC-BA78-4FDDAFC57786}" name="Column6500"/>
    <tableColumn id="6506" xr3:uid="{E1F1505D-85EE-42C6-9207-D7D265FCD726}" name="Column6501"/>
    <tableColumn id="6507" xr3:uid="{6E35E126-02C6-4A78-89FA-A9DAF3D47030}" name="Column6502"/>
    <tableColumn id="6508" xr3:uid="{2E999122-5BB5-4C9F-A915-43B75300C4C8}" name="Column6503"/>
    <tableColumn id="6509" xr3:uid="{7779FC89-FE1A-4609-8EA6-30EEDFEDC760}" name="Column6504"/>
    <tableColumn id="6510" xr3:uid="{AC4F6D93-1558-4DF4-8734-79E6518738A6}" name="Column6505"/>
    <tableColumn id="6511" xr3:uid="{2EF5DB4A-D73D-4B53-BD84-588DBE329A1A}" name="Column6506"/>
    <tableColumn id="6512" xr3:uid="{D3B99FD6-0AA2-42C3-A59D-EA4A7992D13E}" name="Column6507"/>
    <tableColumn id="6513" xr3:uid="{892255A1-54ED-4FDF-BCF9-30B0FBA9EFCB}" name="Column6508"/>
    <tableColumn id="6514" xr3:uid="{16E2F1C6-FB87-4867-A56E-51A5232F3EFA}" name="Column6509"/>
    <tableColumn id="6515" xr3:uid="{0A64FE28-DCB5-4BBD-88F9-E542A469408F}" name="Column6510"/>
    <tableColumn id="6516" xr3:uid="{3E97BDB1-592A-43C9-9E02-68E39865C59E}" name="Column6511"/>
    <tableColumn id="6517" xr3:uid="{47870756-6993-4BBA-9584-7E94487C1FFC}" name="Column6512"/>
    <tableColumn id="6518" xr3:uid="{5A424993-4308-4ABD-9A13-24F93930BD95}" name="Column6513"/>
    <tableColumn id="6519" xr3:uid="{91E023EE-CDA7-45A4-80AD-C8ED09999809}" name="Column6514"/>
    <tableColumn id="6520" xr3:uid="{C4E35FC0-1D9B-4F9D-85D2-0189D35F8AE3}" name="Column6515"/>
    <tableColumn id="6521" xr3:uid="{75822F3E-F03A-4E4F-8B84-09C92D7CA61A}" name="Column6516"/>
    <tableColumn id="6522" xr3:uid="{406A3433-7B4C-4402-BB82-660EEF19A179}" name="Column6517"/>
    <tableColumn id="6523" xr3:uid="{D29D10BB-5B2B-42A9-BDF3-FCED33A4FD1A}" name="Column6518"/>
    <tableColumn id="6524" xr3:uid="{EF6E9853-0D78-437E-A93F-07DFE937A909}" name="Column6519"/>
    <tableColumn id="6525" xr3:uid="{E062BDF4-D175-4C56-B6EA-F86DCE4B8F9A}" name="Column6520"/>
    <tableColumn id="6526" xr3:uid="{6E522657-1A46-455C-810F-66B60590FB68}" name="Column6521"/>
    <tableColumn id="6527" xr3:uid="{7F93BA18-445D-4355-97F6-5E7BF2973CF5}" name="Column6522"/>
    <tableColumn id="6528" xr3:uid="{E3F7EEA6-D4E1-48D9-9FB2-7B5F29483382}" name="Column6523"/>
    <tableColumn id="6529" xr3:uid="{55C3E9A5-A96A-4F57-B5E3-6D2F8CE1EFFC}" name="Column6524"/>
    <tableColumn id="6530" xr3:uid="{6ED16382-A7BA-4310-985F-30AA5C13B5DA}" name="Column6525"/>
    <tableColumn id="6531" xr3:uid="{0CDCF6BA-6500-45F6-BCB9-9C9D49790E97}" name="Column6526"/>
    <tableColumn id="6532" xr3:uid="{E8C50591-A9F1-4FD3-A42C-7E2113FA7B7F}" name="Column6527"/>
    <tableColumn id="6533" xr3:uid="{FB1E0BF0-DF57-47CA-A951-5F316F47FE0E}" name="Column6528"/>
    <tableColumn id="6534" xr3:uid="{E27C91A7-C330-4327-AE28-98E16D3F90CA}" name="Column6529"/>
    <tableColumn id="6535" xr3:uid="{07857C16-5443-4A8C-BEB1-99AE5EABCE7F}" name="Column6530"/>
    <tableColumn id="6536" xr3:uid="{DE5100F2-D299-4A3B-B956-FE0E89BC30EE}" name="Column6531"/>
    <tableColumn id="6537" xr3:uid="{C4422B25-B260-408A-8D63-B3042AE7A540}" name="Column6532"/>
    <tableColumn id="6538" xr3:uid="{F3FFF673-17B4-4679-8110-A26DE3E56690}" name="Column6533"/>
    <tableColumn id="6539" xr3:uid="{3F43A8A3-D781-4C7D-B3AD-763136021B33}" name="Column6534"/>
    <tableColumn id="6540" xr3:uid="{50EB56C9-7D84-4D51-8D57-D6C8795B53D9}" name="Column6535"/>
    <tableColumn id="6541" xr3:uid="{FFE1CC86-D519-480C-92D9-0FB7EB539141}" name="Column6536"/>
    <tableColumn id="6542" xr3:uid="{91266DC1-39D8-4CB7-B10F-136D38F02A95}" name="Column6537"/>
    <tableColumn id="6543" xr3:uid="{C958C273-88A0-4B14-A0CF-C3AEE7F802DC}" name="Column6538"/>
    <tableColumn id="6544" xr3:uid="{387851C7-F513-4C2D-97B3-9241BA0082B5}" name="Column6539"/>
    <tableColumn id="6545" xr3:uid="{F4873946-3FA9-4F00-8096-A5F9629F44A0}" name="Column6540"/>
    <tableColumn id="6546" xr3:uid="{83E91CB2-48CD-4DB8-98AC-8D9EF457BC36}" name="Column6541"/>
    <tableColumn id="6547" xr3:uid="{FCE0DBEF-B45A-46A2-B80C-D1C743B7C4F5}" name="Column6542"/>
    <tableColumn id="6548" xr3:uid="{291BE028-8BD5-46B8-AD3D-9FD545FDDA4F}" name="Column6543"/>
    <tableColumn id="6549" xr3:uid="{5E1F9E9D-6EC8-4166-8550-6E4E2E34EEC9}" name="Column6544"/>
    <tableColumn id="6550" xr3:uid="{A9C71789-51FC-4F75-9D8C-287EDBEFB541}" name="Column6545"/>
    <tableColumn id="6551" xr3:uid="{B080BE54-F81A-490E-BB59-B558A71175BA}" name="Column6546"/>
    <tableColumn id="6552" xr3:uid="{8C6D0FB1-E22F-4447-8181-3C88FCED4478}" name="Column6547"/>
    <tableColumn id="6553" xr3:uid="{5C829669-AE9A-48FE-B98B-0E2F5675B0B6}" name="Column6548"/>
    <tableColumn id="6554" xr3:uid="{07387E78-D1C5-4DDF-ACCF-B106B50E9FC2}" name="Column6549"/>
    <tableColumn id="6555" xr3:uid="{17D5AAC6-BD74-4E70-8AC5-F4242A1BCD03}" name="Column6550"/>
    <tableColumn id="6556" xr3:uid="{F99C2BD1-61FD-4945-AC5F-3540E7315F15}" name="Column6551"/>
    <tableColumn id="6557" xr3:uid="{DBD6988A-55D9-4EAD-BEFA-FF9BD93FE3DA}" name="Column6552"/>
    <tableColumn id="6558" xr3:uid="{1E0ADED3-499A-4F13-BACE-05F8096FD1E0}" name="Column6553"/>
    <tableColumn id="6559" xr3:uid="{4F35D859-35FE-4B26-B13C-3195C37E6AB8}" name="Column6554"/>
    <tableColumn id="6560" xr3:uid="{71FFBFED-EDE8-48D6-98E1-D935B0676D19}" name="Column6555"/>
    <tableColumn id="6561" xr3:uid="{C874BBF5-1D58-44ED-BF3C-0F9D9684F013}" name="Column6556"/>
    <tableColumn id="6562" xr3:uid="{12FFA3F7-BFD3-49EA-8FD0-20BA06DC2FA0}" name="Column6557"/>
    <tableColumn id="6563" xr3:uid="{D22C7B99-A73D-4E95-A689-441FA325235E}" name="Column6558"/>
    <tableColumn id="6564" xr3:uid="{A01E20D3-7CEC-4CEA-B8B0-A2B654E9389C}" name="Column6559"/>
    <tableColumn id="6565" xr3:uid="{D3F0CC46-905B-4268-B962-160A296CFC0C}" name="Column6560"/>
    <tableColumn id="6566" xr3:uid="{2C377BB9-2299-4294-966C-054612C9AC7F}" name="Column6561"/>
    <tableColumn id="6567" xr3:uid="{7C623A80-240A-4DAD-883A-CDCF5F933FE6}" name="Column6562"/>
    <tableColumn id="6568" xr3:uid="{8BB2F63F-E810-408E-B3B4-6A9969973D60}" name="Column6563"/>
    <tableColumn id="6569" xr3:uid="{0437A697-740F-493E-BDDD-A76E6372BF7A}" name="Column6564"/>
    <tableColumn id="6570" xr3:uid="{30AF1184-81DC-4589-8F85-337062469CE6}" name="Column6565"/>
    <tableColumn id="6571" xr3:uid="{F17B7CA1-48DD-4B68-9A4B-C1DAA48558E3}" name="Column6566"/>
    <tableColumn id="6572" xr3:uid="{97AA9D35-A0CB-4CE2-8A7D-72290CFC8B9A}" name="Column6567"/>
    <tableColumn id="6573" xr3:uid="{B0460D87-CC74-4313-B1F1-39A213FFD891}" name="Column6568"/>
    <tableColumn id="6574" xr3:uid="{0D4A1464-ADE8-42B8-BE5C-E43047142A01}" name="Column6569"/>
    <tableColumn id="6575" xr3:uid="{01E6C608-C62F-4185-867B-D7BAA4CE4EE0}" name="Column6570"/>
    <tableColumn id="6576" xr3:uid="{68A84C73-CE4F-4E09-89AF-CFFAF9F90FB3}" name="Column6571"/>
    <tableColumn id="6577" xr3:uid="{3B722756-4A4B-40F2-BAD9-33316C6F6C38}" name="Column6572"/>
    <tableColumn id="6578" xr3:uid="{F3D5A816-FE5C-4810-9CF3-9AE1CC66743E}" name="Column6573"/>
    <tableColumn id="6579" xr3:uid="{4E020819-2F4B-4E33-BEE0-2F4C76393BFD}" name="Column6574"/>
    <tableColumn id="6580" xr3:uid="{6BECFA18-9AB3-4542-A362-9207870B88B5}" name="Column6575"/>
    <tableColumn id="6581" xr3:uid="{861BDFE6-C8FF-4C27-B093-BEC107345A9F}" name="Column6576"/>
    <tableColumn id="6582" xr3:uid="{FA31F567-D28F-4406-B3BA-993EC7C31F90}" name="Column6577"/>
    <tableColumn id="6583" xr3:uid="{97CE3F3B-B742-49EF-B8F1-54E0C0359F75}" name="Column6578"/>
    <tableColumn id="6584" xr3:uid="{8D7E951B-13B1-4797-9DB7-C770DB8735D3}" name="Column6579"/>
    <tableColumn id="6585" xr3:uid="{78A32F08-04FF-44D5-84AF-D9BD47CE1410}" name="Column6580"/>
    <tableColumn id="6586" xr3:uid="{D4437190-D019-4C7E-BCC5-BF1F6F95FE01}" name="Column6581"/>
    <tableColumn id="6587" xr3:uid="{0D7D258F-456D-4430-BAA3-CB5CB6033453}" name="Column6582"/>
    <tableColumn id="6588" xr3:uid="{9E8E8A81-38D3-44E2-BF71-A4CF9E134F32}" name="Column6583"/>
    <tableColumn id="6589" xr3:uid="{FED531B0-A931-475D-89E2-E5E496FF3781}" name="Column6584"/>
    <tableColumn id="6590" xr3:uid="{E35D1D6E-B316-4C25-981E-7E6103848563}" name="Column6585"/>
    <tableColumn id="6591" xr3:uid="{A4812A33-0BEE-48EA-AFFB-B10B7B4849FF}" name="Column6586"/>
    <tableColumn id="6592" xr3:uid="{D03E6788-7C4F-43C8-9D04-340AFA77BC99}" name="Column6587"/>
    <tableColumn id="6593" xr3:uid="{93DA4BAA-D214-45D8-984A-577E4E793C43}" name="Column6588"/>
    <tableColumn id="6594" xr3:uid="{E009B2AF-EEBA-45B9-8041-6BF1052CB59B}" name="Column6589"/>
    <tableColumn id="6595" xr3:uid="{34AED84A-2316-49BD-B485-4BF20F3CEF27}" name="Column6590"/>
    <tableColumn id="6596" xr3:uid="{EF2DEA90-F84B-4F7D-B406-875E4DEEF113}" name="Column6591"/>
    <tableColumn id="6597" xr3:uid="{FECAF4A8-9819-4207-A482-61D069CB01B7}" name="Column6592"/>
    <tableColumn id="6598" xr3:uid="{063DC0E5-914D-4ED4-9CCF-A859341AA64E}" name="Column6593"/>
    <tableColumn id="6599" xr3:uid="{F894DA67-0FDD-4E09-A9E9-9DA9F39B3DA2}" name="Column6594"/>
    <tableColumn id="6600" xr3:uid="{EE2FC8B7-1208-488E-BA60-5ED2BF5A7CAB}" name="Column6595"/>
    <tableColumn id="6601" xr3:uid="{1800E3BD-9867-4F58-BCBD-850804D214A1}" name="Column6596"/>
    <tableColumn id="6602" xr3:uid="{91C42243-25B1-499C-9E06-95D2D1D3447C}" name="Column6597"/>
    <tableColumn id="6603" xr3:uid="{E69CBA8F-2903-4A75-B37D-784E797845AD}" name="Column6598"/>
    <tableColumn id="6604" xr3:uid="{432F256B-5AAF-4A6F-9232-5DEE21EC3C07}" name="Column6599"/>
    <tableColumn id="6605" xr3:uid="{49E5E7AA-AE65-40C8-842E-57F6B64C5AD0}" name="Column6600"/>
    <tableColumn id="6606" xr3:uid="{4CBB5BAC-7EA7-4F68-9707-1E23B5CA2AE0}" name="Column6601"/>
    <tableColumn id="6607" xr3:uid="{0EAAA54E-630D-4BAD-BD09-CE71F9E40DFB}" name="Column6602"/>
    <tableColumn id="6608" xr3:uid="{49819C85-E279-48E8-8055-2C9E51319436}" name="Column6603"/>
    <tableColumn id="6609" xr3:uid="{43789E0D-A1DE-49A6-B7F7-DE4FD6513739}" name="Column6604"/>
    <tableColumn id="6610" xr3:uid="{B9E0D593-97BB-40AB-867C-29A33F0686A0}" name="Column6605"/>
    <tableColumn id="6611" xr3:uid="{1465877C-AD76-45D6-B0D1-0B8FFBC679DB}" name="Column6606"/>
    <tableColumn id="6612" xr3:uid="{3C22C056-756E-4753-9837-773CFEDFB34C}" name="Column6607"/>
    <tableColumn id="6613" xr3:uid="{D73F263C-56BF-4D4E-9858-BDC48B6CA186}" name="Column6608"/>
    <tableColumn id="6614" xr3:uid="{D195C0DD-CFC7-4C84-9411-7F44B36861D9}" name="Column6609"/>
    <tableColumn id="6615" xr3:uid="{D7A53A9E-5D85-42B3-AA8B-70233A542F7F}" name="Column6610"/>
    <tableColumn id="6616" xr3:uid="{575E3993-CF21-454D-8E6A-2D968D36FDEC}" name="Column6611"/>
    <tableColumn id="6617" xr3:uid="{1FF46BEE-B2E5-4CD5-84C2-72F3EE725407}" name="Column6612"/>
    <tableColumn id="6618" xr3:uid="{AB72DC77-E174-4EF0-9658-C67511509037}" name="Column6613"/>
    <tableColumn id="6619" xr3:uid="{7497ACC0-E23E-413E-AE4A-9CAE06CF900A}" name="Column6614"/>
    <tableColumn id="6620" xr3:uid="{AE2EFCB0-1916-42F8-A88B-E7DD2018E650}" name="Column6615"/>
    <tableColumn id="6621" xr3:uid="{530BFFE9-4EED-42EC-9A82-E46A40B53FBA}" name="Column6616"/>
    <tableColumn id="6622" xr3:uid="{FE3B0047-771A-4BC4-BDCD-A4360345F719}" name="Column6617"/>
    <tableColumn id="6623" xr3:uid="{E67CA995-226F-461E-8228-5D1854DCD64F}" name="Column6618"/>
    <tableColumn id="6624" xr3:uid="{C512332C-552A-4A05-8DD0-F46C33D520FA}" name="Column6619"/>
    <tableColumn id="6625" xr3:uid="{1BC06283-4EFC-4CF0-853D-B5FD1081D6D3}" name="Column6620"/>
    <tableColumn id="6626" xr3:uid="{C0804B04-56E0-4E83-BDF7-720C22661A5C}" name="Column6621"/>
    <tableColumn id="6627" xr3:uid="{DCF933E1-934E-43D1-93DF-22265B84D953}" name="Column6622"/>
    <tableColumn id="6628" xr3:uid="{6F375F4A-06A9-418B-A55C-CDE8EBFEF964}" name="Column6623"/>
    <tableColumn id="6629" xr3:uid="{20971851-C048-4780-A053-C4675B35EB2A}" name="Column6624"/>
    <tableColumn id="6630" xr3:uid="{2ABE718A-729F-47F0-A56F-E1741D5B8A93}" name="Column6625"/>
    <tableColumn id="6631" xr3:uid="{93C5488B-D8F5-4424-AD5F-006274288E71}" name="Column6626"/>
    <tableColumn id="6632" xr3:uid="{57894241-7765-4560-A9C7-C3F38FAA4448}" name="Column6627"/>
    <tableColumn id="6633" xr3:uid="{CFF03A1A-B786-422B-BA7D-9FCC2A543CAA}" name="Column6628"/>
    <tableColumn id="6634" xr3:uid="{78DBF418-ABF1-4F75-8000-CB39A005E653}" name="Column6629"/>
    <tableColumn id="6635" xr3:uid="{FFF1C2A4-AFC7-48E2-BF46-2E8D0D81C3CB}" name="Column6630"/>
    <tableColumn id="6636" xr3:uid="{3EAB236C-5A50-4A63-B9B3-42A9F1C69449}" name="Column6631"/>
    <tableColumn id="6637" xr3:uid="{D90667F4-D6DB-44F4-8080-CED930052AEF}" name="Column6632"/>
    <tableColumn id="6638" xr3:uid="{4C9D7D61-4171-4C3F-A105-F5C4F3F16CA9}" name="Column6633"/>
    <tableColumn id="6639" xr3:uid="{244DD42B-08A1-48F1-9BBC-99DF7E0B5739}" name="Column6634"/>
    <tableColumn id="6640" xr3:uid="{6F15FB41-8E76-4D6E-924D-62568644499D}" name="Column6635"/>
    <tableColumn id="6641" xr3:uid="{BC8C0AC2-8EDD-469A-B948-B13561AF8D99}" name="Column6636"/>
    <tableColumn id="6642" xr3:uid="{E8BEF840-25E2-4AD2-A0D0-A8F73385E00A}" name="Column6637"/>
    <tableColumn id="6643" xr3:uid="{F447CF89-1AE1-443B-8E11-3CC603C0ECD5}" name="Column6638"/>
    <tableColumn id="6644" xr3:uid="{4065C985-1308-4054-85D4-53B74D9568C6}" name="Column6639"/>
    <tableColumn id="6645" xr3:uid="{A13DFEC3-F0EF-4D23-BEDE-470F1B26CD1F}" name="Column6640"/>
    <tableColumn id="6646" xr3:uid="{6BD134C7-46F6-4F00-B865-11C44C26C874}" name="Column6641"/>
    <tableColumn id="6647" xr3:uid="{868BA7A0-394C-4F07-8B11-60B005AF1C1D}" name="Column6642"/>
    <tableColumn id="6648" xr3:uid="{F87F3273-5213-4BE3-9182-4D4174B045A5}" name="Column6643"/>
    <tableColumn id="6649" xr3:uid="{280AA80D-1F7B-4264-896D-026A3A7687FA}" name="Column6644"/>
    <tableColumn id="6650" xr3:uid="{799CD83C-F161-47FC-9425-747CE5632CFE}" name="Column6645"/>
    <tableColumn id="6651" xr3:uid="{9C4106C3-19A2-4035-A80D-A283BFDD11F3}" name="Column6646"/>
    <tableColumn id="6652" xr3:uid="{B555EBB2-0988-4D9E-8344-FD10FD6C7511}" name="Column6647"/>
    <tableColumn id="6653" xr3:uid="{A0E5F9F1-839E-4B0F-A3CD-1355437C1C70}" name="Column6648"/>
    <tableColumn id="6654" xr3:uid="{E23321C1-B5C6-4100-8A80-B342E631ACC8}" name="Column6649"/>
    <tableColumn id="6655" xr3:uid="{D3AD09C5-F852-4553-BBF2-F6FF78571BCA}" name="Column6650"/>
    <tableColumn id="6656" xr3:uid="{1CEAC44A-BF0A-4004-BEA3-4F8AFE181E69}" name="Column6651"/>
    <tableColumn id="6657" xr3:uid="{DA2B84E2-642C-4BD2-9322-4FFCC5D930DB}" name="Column6652"/>
    <tableColumn id="6658" xr3:uid="{61F763D3-6C4C-45F5-B9FF-2B60A28EEB25}" name="Column6653"/>
    <tableColumn id="6659" xr3:uid="{00402EF3-E83C-44DF-9F18-78F9956F5304}" name="Column6654"/>
    <tableColumn id="6660" xr3:uid="{2ACD79D6-3CC1-4585-BABE-31AD8BCBF31B}" name="Column6655"/>
    <tableColumn id="6661" xr3:uid="{BCE4CDE5-B1AF-4364-8ECD-0F6DEDDE81E7}" name="Column6656"/>
    <tableColumn id="6662" xr3:uid="{48F6EC81-E0F5-4A96-84C9-3C4A30CD801A}" name="Column6657"/>
    <tableColumn id="6663" xr3:uid="{CD97D623-FC7A-493C-BA11-1E01E7C7A539}" name="Column6658"/>
    <tableColumn id="6664" xr3:uid="{FF25BAA7-E019-429D-9E61-48E33E9B10D6}" name="Column6659"/>
    <tableColumn id="6665" xr3:uid="{5ADC0A22-DE57-4A10-B09C-75CC0ACF2BC8}" name="Column6660"/>
    <tableColumn id="6666" xr3:uid="{8499DF00-69C9-42E4-ACE8-E096A3487960}" name="Column6661"/>
    <tableColumn id="6667" xr3:uid="{5807D91D-E775-4557-A601-0D5D9CC53970}" name="Column6662"/>
    <tableColumn id="6668" xr3:uid="{29BB3743-2341-4175-A010-E2213CBDB649}" name="Column6663"/>
    <tableColumn id="6669" xr3:uid="{E9EDA495-889E-462F-83F0-25B32D2E481A}" name="Column6664"/>
    <tableColumn id="6670" xr3:uid="{257E4ECC-C930-4402-84EC-2A122A7ED386}" name="Column6665"/>
    <tableColumn id="6671" xr3:uid="{F089A928-7265-44AD-8CA0-84D2C1E26554}" name="Column6666"/>
    <tableColumn id="6672" xr3:uid="{71C066E7-5A14-4E5E-B68E-F9375CAF2137}" name="Column6667"/>
    <tableColumn id="6673" xr3:uid="{BF1DDF97-E4ED-4EA9-ABAD-2E2904474AA3}" name="Column6668"/>
    <tableColumn id="6674" xr3:uid="{8715ACF3-0820-497C-B6C1-C1735585082A}" name="Column6669"/>
    <tableColumn id="6675" xr3:uid="{E5D8E247-3DE6-455A-93EC-09717DCF44F1}" name="Column6670"/>
    <tableColumn id="6676" xr3:uid="{EC569FFC-922B-42A1-BC7F-3F10AB826B17}" name="Column6671"/>
    <tableColumn id="6677" xr3:uid="{1036E61E-20AC-4516-B2C9-2E5AE1EFFC63}" name="Column6672"/>
    <tableColumn id="6678" xr3:uid="{BF923F19-D4C1-4B92-918D-792E0C4867C8}" name="Column6673"/>
    <tableColumn id="6679" xr3:uid="{D5D428D0-BD3F-40CB-8EBB-DAABBA7D14F5}" name="Column6674"/>
    <tableColumn id="6680" xr3:uid="{E1657498-BD15-4849-99D4-7D82D4B8C455}" name="Column6675"/>
    <tableColumn id="6681" xr3:uid="{02C72E68-81BA-4E80-AE50-BE7DD2AEACA0}" name="Column6676"/>
    <tableColumn id="6682" xr3:uid="{ABDC78E4-B76F-4F20-AF3C-8C27084E099D}" name="Column6677"/>
    <tableColumn id="6683" xr3:uid="{1232D41C-708E-4CDD-BD72-5B125DB9800D}" name="Column6678"/>
    <tableColumn id="6684" xr3:uid="{D4122410-3B2A-4B1D-81C3-848ADF4E5866}" name="Column6679"/>
    <tableColumn id="6685" xr3:uid="{2E48FB8E-C26E-4C58-B7D2-7757F80B65AB}" name="Column6680"/>
    <tableColumn id="6686" xr3:uid="{09B392F4-5673-4478-A41F-893C3A9CC1BA}" name="Column6681"/>
    <tableColumn id="6687" xr3:uid="{B90BBAFA-62F4-4017-8152-4F5A7E992638}" name="Column6682"/>
    <tableColumn id="6688" xr3:uid="{B69C7B58-419E-4456-889B-E4EDD8D7CB6C}" name="Column6683"/>
    <tableColumn id="6689" xr3:uid="{EBB8E252-1976-42CB-984A-85782BF9B2EE}" name="Column6684"/>
    <tableColumn id="6690" xr3:uid="{9C8C4BFD-FB7F-4474-99E0-257E90B0748A}" name="Column6685"/>
    <tableColumn id="6691" xr3:uid="{2611F244-D50C-4A2A-932C-9DCE04D92300}" name="Column6686"/>
    <tableColumn id="6692" xr3:uid="{A0B2F200-7CD5-41E1-907C-B465A0ACC6BC}" name="Column6687"/>
    <tableColumn id="6693" xr3:uid="{AEBFA97D-4F98-4155-9029-D64C872718BA}" name="Column6688"/>
    <tableColumn id="6694" xr3:uid="{A1645F7B-A6A4-4061-96F2-59D1B09C16DA}" name="Column6689"/>
    <tableColumn id="6695" xr3:uid="{B8B64920-9853-42A7-A5BD-1621D78E8257}" name="Column6690"/>
    <tableColumn id="6696" xr3:uid="{C4FE72A4-CF32-4734-95C2-27909468032F}" name="Column6691"/>
    <tableColumn id="6697" xr3:uid="{4FCEB565-3FB1-4A64-ABB1-4E5F65C081CD}" name="Column6692"/>
    <tableColumn id="6698" xr3:uid="{85276E15-13E7-45A3-9BB8-990CD01E4901}" name="Column6693"/>
    <tableColumn id="6699" xr3:uid="{0D04B924-2405-473E-A517-AF2F29136A43}" name="Column6694"/>
    <tableColumn id="6700" xr3:uid="{1F702364-2A45-4FCB-A72A-EE92777819B5}" name="Column6695"/>
    <tableColumn id="6701" xr3:uid="{8E62D2A9-3B4D-46ED-8BDF-83ABDA4AA227}" name="Column6696"/>
    <tableColumn id="6702" xr3:uid="{3CC5F354-EC40-4154-A455-1B1A02CF2575}" name="Column6697"/>
    <tableColumn id="6703" xr3:uid="{97D7EB87-146E-450F-84EC-88215EBCAB94}" name="Column6698"/>
    <tableColumn id="6704" xr3:uid="{8C6B653B-9A3A-40A0-8056-4AC69390EC94}" name="Column6699"/>
    <tableColumn id="6705" xr3:uid="{06C17B67-A92D-4A59-84B4-24E7C8AB546C}" name="Column6700"/>
    <tableColumn id="6706" xr3:uid="{95136A64-1614-4A5E-A697-9D8DAA6A92DC}" name="Column6701"/>
    <tableColumn id="6707" xr3:uid="{C9A1E345-D1F0-4DE1-B731-5C5711815FE5}" name="Column6702"/>
    <tableColumn id="6708" xr3:uid="{BD8D5065-D302-4E79-87C6-74817010150B}" name="Column6703"/>
    <tableColumn id="6709" xr3:uid="{399A77D7-B7D7-403F-A5AD-2BF8C0C9A09A}" name="Column6704"/>
    <tableColumn id="6710" xr3:uid="{2A2E0FB1-9362-4D35-A845-5E5E9DF1A7CB}" name="Column6705"/>
    <tableColumn id="6711" xr3:uid="{B1B71B5D-FF4C-4A45-9C9E-361C3E6C1B02}" name="Column6706"/>
    <tableColumn id="6712" xr3:uid="{B6D463B9-C808-4527-80C1-C5A2F7F59C34}" name="Column6707"/>
    <tableColumn id="6713" xr3:uid="{541A64CD-508E-4CA0-A138-5D0672F5C96A}" name="Column6708"/>
    <tableColumn id="6714" xr3:uid="{D042D16E-F325-46E6-863D-0269B8B985A6}" name="Column6709"/>
    <tableColumn id="6715" xr3:uid="{6D7DB818-3E61-4622-AA4B-C7625AD08B31}" name="Column6710"/>
    <tableColumn id="6716" xr3:uid="{13B34E42-B679-4CD5-BFF5-5DD426DB06F4}" name="Column6711"/>
    <tableColumn id="6717" xr3:uid="{F91ADC04-151E-411A-8C2B-AF1F720B493D}" name="Column6712"/>
    <tableColumn id="6718" xr3:uid="{1128E7F0-8FCB-4AC3-8EFB-29C8EFA5CAED}" name="Column6713"/>
    <tableColumn id="6719" xr3:uid="{E74D9D5C-F079-4E29-8D16-7AB82D25760F}" name="Column6714"/>
    <tableColumn id="6720" xr3:uid="{B201A2A4-DB79-4164-806C-2ABF01D781A3}" name="Column6715"/>
    <tableColumn id="6721" xr3:uid="{35D64DD0-6745-4D58-97B6-BFE5BBEA0E97}" name="Column6716"/>
    <tableColumn id="6722" xr3:uid="{5E7ED466-D37C-423E-852E-1E70BFAE4F6D}" name="Column6717"/>
    <tableColumn id="6723" xr3:uid="{FE5F7962-2CBE-4BEB-A7E5-06FAB9416191}" name="Column6718"/>
    <tableColumn id="6724" xr3:uid="{03787A68-A81D-4A33-A9FC-CB5A7CAC2179}" name="Column6719"/>
    <tableColumn id="6725" xr3:uid="{C52D9DD9-2F6F-4CD7-87A7-F5EED133B8FB}" name="Column6720"/>
    <tableColumn id="6726" xr3:uid="{F9A5BDD6-7D4D-4713-BA97-5D3C41A8C806}" name="Column6721"/>
    <tableColumn id="6727" xr3:uid="{B3702855-78CD-4A11-87E1-785C70A2C562}" name="Column6722"/>
    <tableColumn id="6728" xr3:uid="{47A6D6D4-587B-4D7A-BE47-8D4BB3D372A8}" name="Column6723"/>
    <tableColumn id="6729" xr3:uid="{9568F7A5-D4D6-40DE-A9EE-C3EFEDD8D441}" name="Column6724"/>
    <tableColumn id="6730" xr3:uid="{F723EB93-A999-42D7-A9D5-D734F3E09250}" name="Column6725"/>
    <tableColumn id="6731" xr3:uid="{8BB5616A-3B09-45E7-85C4-6A00B9F7284B}" name="Column6726"/>
    <tableColumn id="6732" xr3:uid="{B1AD6B5A-BF1E-4AC5-B279-5CB132A4E691}" name="Column6727"/>
    <tableColumn id="6733" xr3:uid="{5DA67CF4-91EC-4506-94F4-0081BDCB99B2}" name="Column6728"/>
    <tableColumn id="6734" xr3:uid="{B1B80B29-45BF-4EB2-8B8E-F907A7946780}" name="Column6729"/>
    <tableColumn id="6735" xr3:uid="{17E6EE4D-D899-4C6F-9BA5-B8C99E70DD0A}" name="Column6730"/>
    <tableColumn id="6736" xr3:uid="{607CAD9A-9133-460F-BF35-B83D77B9C40B}" name="Column6731"/>
    <tableColumn id="6737" xr3:uid="{28654979-F942-4E2C-9FF2-134E0E3912E6}" name="Column6732"/>
    <tableColumn id="6738" xr3:uid="{F9B6B3CD-A246-4673-91FF-3C4603A0A751}" name="Column6733"/>
    <tableColumn id="6739" xr3:uid="{EFE6E24A-6B80-4E11-91D6-E253E3EC7352}" name="Column6734"/>
    <tableColumn id="6740" xr3:uid="{D79BEE07-E637-4629-8310-F3E171121B78}" name="Column6735"/>
    <tableColumn id="6741" xr3:uid="{49D7A0B4-9B23-46E5-A300-15096B01CCAB}" name="Column6736"/>
    <tableColumn id="6742" xr3:uid="{C95CA16B-A9FB-46DD-B6FB-FEB62258C49B}" name="Column6737"/>
    <tableColumn id="6743" xr3:uid="{C3FA0D62-2E2A-4853-8631-55C36307BF7C}" name="Column6738"/>
    <tableColumn id="6744" xr3:uid="{0869DC1A-5AFA-4C17-80B9-3E19D768FA71}" name="Column6739"/>
    <tableColumn id="6745" xr3:uid="{86229028-605B-4183-B704-E94214D4C12F}" name="Column6740"/>
    <tableColumn id="6746" xr3:uid="{3BEEB7BC-0267-45D3-A3E8-E1471ECBBD48}" name="Column6741"/>
    <tableColumn id="6747" xr3:uid="{44AD419C-ACB7-43E3-87C6-92B5983FE4AC}" name="Column6742"/>
    <tableColumn id="6748" xr3:uid="{77FF0981-5E33-4346-8950-9728A26E4743}" name="Column6743"/>
    <tableColumn id="6749" xr3:uid="{B172AC10-8897-422E-829A-F44ADA3305A4}" name="Column6744"/>
    <tableColumn id="6750" xr3:uid="{F0130A61-9859-48F2-ABD4-2022BDC63D15}" name="Column6745"/>
    <tableColumn id="6751" xr3:uid="{A7FBA84A-08FB-4BD7-9372-43ED83882DC3}" name="Column6746"/>
    <tableColumn id="6752" xr3:uid="{2EF3E5F9-136D-4F55-A760-C0F56AD8125D}" name="Column6747"/>
    <tableColumn id="6753" xr3:uid="{56FE46EE-49AB-44E4-A67A-288854AA74AB}" name="Column6748"/>
    <tableColumn id="6754" xr3:uid="{36F9798E-0370-4A9F-873E-632F409DB8B4}" name="Column6749"/>
    <tableColumn id="6755" xr3:uid="{53C9E2DD-D69D-4F5D-9958-8526BFCF53E3}" name="Column6750"/>
    <tableColumn id="6756" xr3:uid="{C721C801-EF6E-4E73-BF3A-D8055502F889}" name="Column6751"/>
    <tableColumn id="6757" xr3:uid="{84CD342F-EA82-4A5F-8B53-4A3AFFE621E4}" name="Column6752"/>
    <tableColumn id="6758" xr3:uid="{762FC2E4-F073-42BA-A5DB-26BF1B4B18A9}" name="Column6753"/>
    <tableColumn id="6759" xr3:uid="{6E58BC8C-3F37-406C-AB93-1A8AEE5A6C81}" name="Column6754"/>
    <tableColumn id="6760" xr3:uid="{E636115F-2F77-4622-A770-93F1C2BF9D04}" name="Column6755"/>
    <tableColumn id="6761" xr3:uid="{895D0FEC-75F0-4A74-A447-28B9A6A6EECF}" name="Column6756"/>
    <tableColumn id="6762" xr3:uid="{00C26A10-0637-4312-B5D6-5A5AE8122DB4}" name="Column6757"/>
    <tableColumn id="6763" xr3:uid="{92D92138-6D05-4198-B66C-8CFB0C3B5FF9}" name="Column6758"/>
    <tableColumn id="6764" xr3:uid="{8AE7B73A-330B-432D-89E7-FEA7EB2DC361}" name="Column6759"/>
    <tableColumn id="6765" xr3:uid="{84D09A93-68DE-4995-8A0D-EE5D31B66168}" name="Column6760"/>
    <tableColumn id="6766" xr3:uid="{A104EE10-7751-4A60-896F-30DCA464FCDC}" name="Column6761"/>
    <tableColumn id="6767" xr3:uid="{1900339E-CB9D-4780-BC3C-2E1804D28982}" name="Column6762"/>
    <tableColumn id="6768" xr3:uid="{9C222C35-0BD1-4B93-A4A9-E0703D719237}" name="Column6763"/>
    <tableColumn id="6769" xr3:uid="{FCA229B8-5183-4133-9DC4-46DD2040EE5D}" name="Column6764"/>
    <tableColumn id="6770" xr3:uid="{B7E481A7-EA62-48B8-AC76-28604B0B29E4}" name="Column6765"/>
    <tableColumn id="6771" xr3:uid="{741BF871-07A2-40EE-B4C1-151079BB2F55}" name="Column6766"/>
    <tableColumn id="6772" xr3:uid="{B51842C5-66C0-4083-9022-D889019A0B34}" name="Column6767"/>
    <tableColumn id="6773" xr3:uid="{B5D3C90D-6A6C-4E56-87EA-37A07DEEFA96}" name="Column6768"/>
    <tableColumn id="6774" xr3:uid="{F21AB5D1-6136-4003-B611-0DA4DD7E1574}" name="Column6769"/>
    <tableColumn id="6775" xr3:uid="{0E564FBE-E17C-4F74-B8E4-CA5815E0C0B7}" name="Column6770"/>
    <tableColumn id="6776" xr3:uid="{72A45B17-EF64-4CD3-B13F-F9C6720081DF}" name="Column6771"/>
    <tableColumn id="6777" xr3:uid="{1DC99C38-F8B8-4043-BAC0-850610B26776}" name="Column6772"/>
    <tableColumn id="6778" xr3:uid="{D280E47F-3911-44F9-8FD3-D64A2E32FEF8}" name="Column6773"/>
    <tableColumn id="6779" xr3:uid="{0E6284BA-C9D3-490F-82D9-84FE06151305}" name="Column6774"/>
    <tableColumn id="6780" xr3:uid="{03DF7259-E7C1-4112-9302-F94DE2519E30}" name="Column6775"/>
    <tableColumn id="6781" xr3:uid="{620FC54D-F484-47BF-93D7-E34018659436}" name="Column6776"/>
    <tableColumn id="6782" xr3:uid="{B441B1E2-168A-4A7D-94F3-ABFAA0663713}" name="Column6777"/>
    <tableColumn id="6783" xr3:uid="{84637D33-9C8D-463E-AAF4-7AA03BEBF9FB}" name="Column6778"/>
    <tableColumn id="6784" xr3:uid="{07AAA8BB-467D-4BA8-B87E-0C64F0F42EC5}" name="Column6779"/>
    <tableColumn id="6785" xr3:uid="{10A7B688-9D42-4175-A4E6-47EEF5F9AE60}" name="Column6780"/>
    <tableColumn id="6786" xr3:uid="{F2176791-7C77-4C04-9883-047209F17DBA}" name="Column6781"/>
    <tableColumn id="6787" xr3:uid="{E6720BEB-6E23-4030-9A00-02B1AB7F27C0}" name="Column6782"/>
    <tableColumn id="6788" xr3:uid="{AF1F8B5A-25AF-44E4-A00A-05F7DA7B1F33}" name="Column6783"/>
    <tableColumn id="6789" xr3:uid="{2DE7ADE6-09E4-4C65-8CBA-35AEA9AF4979}" name="Column6784"/>
    <tableColumn id="6790" xr3:uid="{7C21DEE7-3679-417E-80E9-4BBD32847117}" name="Column6785"/>
    <tableColumn id="6791" xr3:uid="{12A8559D-856C-4880-BCA4-8F7920D032A3}" name="Column6786"/>
    <tableColumn id="6792" xr3:uid="{A82C65C1-10FD-4484-B4C2-E661D8DF3ED8}" name="Column6787"/>
    <tableColumn id="6793" xr3:uid="{8494606C-EB0C-478C-A846-67E67E601A02}" name="Column6788"/>
    <tableColumn id="6794" xr3:uid="{826DEC36-CF02-4682-80A7-FFDABD569188}" name="Column6789"/>
    <tableColumn id="6795" xr3:uid="{DA203C76-CE25-4765-9D75-AAC36116A71B}" name="Column6790"/>
    <tableColumn id="6796" xr3:uid="{1B91FB9D-CA18-4BBF-8630-82CB7E1564A7}" name="Column6791"/>
    <tableColumn id="6797" xr3:uid="{33E2AB68-437B-4F69-A5A6-9201EE29A632}" name="Column6792"/>
    <tableColumn id="6798" xr3:uid="{47D9AD7D-EA91-41B0-83D3-D05A7E26F4F7}" name="Column6793"/>
    <tableColumn id="6799" xr3:uid="{331B9E7F-8939-4354-A1A0-6B9F10C62514}" name="Column6794"/>
    <tableColumn id="6800" xr3:uid="{6C26A396-2F83-4417-B552-C7F9B5306DF0}" name="Column6795"/>
    <tableColumn id="6801" xr3:uid="{6954CECD-7E19-4938-91AB-7871E4C6ADEE}" name="Column6796"/>
    <tableColumn id="6802" xr3:uid="{91BE0C19-B879-40EC-9A95-1B4B885D3DEA}" name="Column6797"/>
    <tableColumn id="6803" xr3:uid="{59003CBA-49BE-41A1-AE9D-DCDA13EED344}" name="Column6798"/>
    <tableColumn id="6804" xr3:uid="{17CAF343-CF2A-4C45-BCA9-6D12401286FC}" name="Column6799"/>
    <tableColumn id="6805" xr3:uid="{72EFDCA9-6067-457C-B712-7BC94554813F}" name="Column6800"/>
    <tableColumn id="6806" xr3:uid="{7D6BA26F-D587-4AAD-8A4B-A6FCA1FC070F}" name="Column6801"/>
    <tableColumn id="6807" xr3:uid="{F50C0A71-A52E-4CCF-A9FF-015FC0E3CE24}" name="Column6802"/>
    <tableColumn id="6808" xr3:uid="{236AF8BF-FCDE-4E42-B1D0-B2D493CA4A00}" name="Column6803"/>
    <tableColumn id="6809" xr3:uid="{CC0921E7-3673-4619-B253-899F214C9CE7}" name="Column6804"/>
    <tableColumn id="6810" xr3:uid="{1237B8D5-25A9-4E30-BA33-635BDC26FD1E}" name="Column6805"/>
    <tableColumn id="6811" xr3:uid="{051970C2-BE83-440F-B2BC-07854464EB32}" name="Column6806"/>
    <tableColumn id="6812" xr3:uid="{46B87D35-010F-44CB-89E9-494D356E63D4}" name="Column6807"/>
    <tableColumn id="6813" xr3:uid="{0EC21B5D-B6AC-4450-989A-47B4775B8F1D}" name="Column6808"/>
    <tableColumn id="6814" xr3:uid="{CC2BDA76-37BE-4CCF-8494-A6D64C35E0C4}" name="Column6809"/>
    <tableColumn id="6815" xr3:uid="{6131E4FF-FDE4-43CB-A62A-9BD700F421E9}" name="Column6810"/>
    <tableColumn id="6816" xr3:uid="{FC035C14-9081-4E08-8F43-46175709B377}" name="Column6811"/>
    <tableColumn id="6817" xr3:uid="{9265B918-8852-4D77-A819-ACB8C2890F23}" name="Column6812"/>
    <tableColumn id="6818" xr3:uid="{8B8B1B20-97B8-4E36-81B1-6AD383BB7E00}" name="Column6813"/>
    <tableColumn id="6819" xr3:uid="{A6137D6A-0919-4CEC-8927-B07E95B3EFB9}" name="Column6814"/>
    <tableColumn id="6820" xr3:uid="{ECD9DA5D-6F79-42E1-A724-F0E3EDA2D64B}" name="Column6815"/>
    <tableColumn id="6821" xr3:uid="{1B9123AA-CBC8-4FBC-B488-00C8490E1BC4}" name="Column6816"/>
    <tableColumn id="6822" xr3:uid="{4232A9AF-E204-4526-968C-107BC4B93FE1}" name="Column6817"/>
    <tableColumn id="6823" xr3:uid="{FD2C5E34-B78B-4997-9B62-A6D5519E56C9}" name="Column6818"/>
    <tableColumn id="6824" xr3:uid="{3CCCB8BE-371D-4948-B2EC-A8F482ED8C46}" name="Column6819"/>
    <tableColumn id="6825" xr3:uid="{F099D84A-162C-40D0-8E75-F1CD4F9FFDDD}" name="Column6820"/>
    <tableColumn id="6826" xr3:uid="{A1EDAF31-E809-43BD-BF4B-C4FA496250E8}" name="Column6821"/>
    <tableColumn id="6827" xr3:uid="{27052F21-0BFE-41A4-B40F-A5C72F68A01F}" name="Column6822"/>
    <tableColumn id="6828" xr3:uid="{3596BA08-E103-482E-8CE3-B3458648E042}" name="Column6823"/>
    <tableColumn id="6829" xr3:uid="{91686C4E-738E-4FE4-9449-94BCF42AB105}" name="Column6824"/>
    <tableColumn id="6830" xr3:uid="{C52FF060-2A9A-43E4-8D5E-80079BE21E74}" name="Column6825"/>
    <tableColumn id="6831" xr3:uid="{3E27BF95-0C19-4AC7-A5F3-B1CFD06E147D}" name="Column6826"/>
    <tableColumn id="6832" xr3:uid="{EAC1A06C-BD73-45D8-813C-A89AE5D96D38}" name="Column6827"/>
    <tableColumn id="6833" xr3:uid="{5C54243D-5142-458B-ACDB-7BFBDD7232CD}" name="Column6828"/>
    <tableColumn id="6834" xr3:uid="{DE3B4D3F-BC81-4988-821A-254D7E2BC7D9}" name="Column6829"/>
    <tableColumn id="6835" xr3:uid="{5D7E2473-438B-43D8-8AAF-400D0E08FB7B}" name="Column6830"/>
    <tableColumn id="6836" xr3:uid="{FABB6A41-5917-401D-BFE3-5378F12F8F96}" name="Column6831"/>
    <tableColumn id="6837" xr3:uid="{CAE50246-79D6-4FAC-BD44-74D6701B8BB1}" name="Column6832"/>
    <tableColumn id="6838" xr3:uid="{6F9A4F68-9A68-4D3B-BD84-E24E2652E7D6}" name="Column6833"/>
    <tableColumn id="6839" xr3:uid="{399F9DD0-ACFF-4814-81D1-4C9653822E88}" name="Column6834"/>
    <tableColumn id="6840" xr3:uid="{0DD32E63-1DBE-4A60-9CAE-9B67468B5FF4}" name="Column6835"/>
    <tableColumn id="6841" xr3:uid="{C104846D-EFFA-4AFE-93D4-8B45962A7DD2}" name="Column6836"/>
    <tableColumn id="6842" xr3:uid="{85AAC03B-ECFC-4BE4-8367-A8DD9808C5A9}" name="Column6837"/>
    <tableColumn id="6843" xr3:uid="{D11A231B-38C0-4F46-97A9-DBC1D0B3695E}" name="Column6838"/>
    <tableColumn id="6844" xr3:uid="{47E069BA-2C59-46C8-AFAD-9D677BCDFCCE}" name="Column6839"/>
    <tableColumn id="6845" xr3:uid="{3AED247C-CC14-4B13-813C-5215263A825D}" name="Column6840"/>
    <tableColumn id="6846" xr3:uid="{D05FEA26-EA69-4DBB-821B-98C99C5C3DF4}" name="Column6841"/>
    <tableColumn id="6847" xr3:uid="{A40209E8-35A0-4CC1-B1FE-3C3ADEF18C04}" name="Column6842"/>
    <tableColumn id="6848" xr3:uid="{AF14CE7F-6188-4E75-A208-85C682DDFB85}" name="Column6843"/>
    <tableColumn id="6849" xr3:uid="{1BF756E9-8E7A-4BD0-B224-8124FDB8C36C}" name="Column6844"/>
    <tableColumn id="6850" xr3:uid="{DBB1F477-ED8A-4DCE-94B9-EDDA326D6B45}" name="Column6845"/>
    <tableColumn id="6851" xr3:uid="{176B2551-162F-4CF6-8852-6B1D4B91EE94}" name="Column6846"/>
    <tableColumn id="6852" xr3:uid="{4EE93C9C-E423-4C12-B6A7-C5AC89902718}" name="Column6847"/>
    <tableColumn id="6853" xr3:uid="{7935453D-D213-4BB7-B1C2-C687D2230AE0}" name="Column6848"/>
    <tableColumn id="6854" xr3:uid="{307400F9-0AA8-4BFC-86E9-0A9023009012}" name="Column6849"/>
    <tableColumn id="6855" xr3:uid="{FC151A8D-9BDF-4D41-9664-C70979906B66}" name="Column6850"/>
    <tableColumn id="6856" xr3:uid="{B43987A0-8C94-4CE0-A304-A41327F4BDE0}" name="Column6851"/>
    <tableColumn id="6857" xr3:uid="{D44614F4-2B77-4D07-B24A-CEEE1DA47ADE}" name="Column6852"/>
    <tableColumn id="6858" xr3:uid="{65A80158-358A-47D2-831A-E8B462C89E84}" name="Column6853"/>
    <tableColumn id="6859" xr3:uid="{71CC41C4-E97D-400C-B3C2-120C41464720}" name="Column6854"/>
    <tableColumn id="6860" xr3:uid="{235EB1F0-B2A6-43E7-8208-A75669B2CDD7}" name="Column6855"/>
    <tableColumn id="6861" xr3:uid="{FA5A89E6-A243-45E7-B348-73A8B9916536}" name="Column6856"/>
    <tableColumn id="6862" xr3:uid="{463C04EC-7185-4EBD-8FAC-FCC2F554E958}" name="Column6857"/>
    <tableColumn id="6863" xr3:uid="{02B130A5-A4F6-4406-B2AD-30D4AD0A3247}" name="Column6858"/>
    <tableColumn id="6864" xr3:uid="{805435B2-456A-4C03-B78B-2EE4BA3C2F16}" name="Column6859"/>
    <tableColumn id="6865" xr3:uid="{D19996AA-7ACD-45C2-857C-27FA73964620}" name="Column6860"/>
    <tableColumn id="6866" xr3:uid="{AAB8BAA1-ED47-4975-8028-8A07C1D4A948}" name="Column6861"/>
    <tableColumn id="6867" xr3:uid="{114A0AC4-4C18-45A7-BD24-40802FD376B2}" name="Column6862"/>
    <tableColumn id="6868" xr3:uid="{9CB81EF6-FD10-4541-89BD-3FE0202C6553}" name="Column6863"/>
    <tableColumn id="6869" xr3:uid="{43424B59-C4C2-43FD-B07B-EE0B95952668}" name="Column6864"/>
    <tableColumn id="6870" xr3:uid="{74D840B9-FFEA-45A9-BD55-D54D58BA4DA3}" name="Column6865"/>
    <tableColumn id="6871" xr3:uid="{8B91D264-04B6-499F-B03A-85DD38956B63}" name="Column6866"/>
    <tableColumn id="6872" xr3:uid="{0CB988EF-6C90-482B-BABE-3B0011A065DB}" name="Column6867"/>
    <tableColumn id="6873" xr3:uid="{9EFF82F7-9FD2-4FB5-BFEB-E7ED8D41DFA6}" name="Column6868"/>
    <tableColumn id="6874" xr3:uid="{280FB745-2705-4482-AB4E-F41DA392237F}" name="Column6869"/>
    <tableColumn id="6875" xr3:uid="{D3D719F6-5CAE-41A2-BAF6-6FD271B87067}" name="Column6870"/>
    <tableColumn id="6876" xr3:uid="{30B8605D-C64E-4742-9D20-DABD2BE61718}" name="Column6871"/>
    <tableColumn id="6877" xr3:uid="{56AEEB4B-C928-437A-92B8-FC146846816E}" name="Column6872"/>
    <tableColumn id="6878" xr3:uid="{60D261F7-6FE0-4E5A-A648-1F775809EA5C}" name="Column6873"/>
    <tableColumn id="6879" xr3:uid="{2FE69597-08A7-4A47-8E1C-58D8A26563FE}" name="Column6874"/>
    <tableColumn id="6880" xr3:uid="{95AB8894-711C-46B7-AACE-93CFD27E1A06}" name="Column6875"/>
    <tableColumn id="6881" xr3:uid="{96B4A737-CFF2-4C8B-A616-9722B9C306AB}" name="Column6876"/>
    <tableColumn id="6882" xr3:uid="{7BA4A26B-31D9-4E64-ABF9-CD2005EC5718}" name="Column6877"/>
    <tableColumn id="6883" xr3:uid="{CC77C8C5-F5C1-4C32-A017-2EE2257E978B}" name="Column6878"/>
    <tableColumn id="6884" xr3:uid="{0935718D-5E1A-4FB2-82AB-506E885A1F8F}" name="Column6879"/>
    <tableColumn id="6885" xr3:uid="{561EEEA2-140B-4AD0-A97C-409F7C674131}" name="Column6880"/>
    <tableColumn id="6886" xr3:uid="{FA07ECBD-9006-4491-B0EF-33ABC30C5F25}" name="Column6881"/>
    <tableColumn id="6887" xr3:uid="{862026C1-B89A-47DC-848F-190EF52372B6}" name="Column6882"/>
    <tableColumn id="6888" xr3:uid="{EEFF5981-F739-4243-9735-DD5EE7A0A4C6}" name="Column6883"/>
    <tableColumn id="6889" xr3:uid="{BCEBEC80-5426-456F-BA2A-E7AC0CAC294D}" name="Column6884"/>
    <tableColumn id="6890" xr3:uid="{FA79C9FC-E669-4025-A50E-D527DDF54051}" name="Column6885"/>
    <tableColumn id="6891" xr3:uid="{F200B369-2C74-4064-8314-3B4F27080C26}" name="Column6886"/>
    <tableColumn id="6892" xr3:uid="{7DAE0ED6-7CDC-4197-8D01-6F07F14C60E7}" name="Column6887"/>
    <tableColumn id="6893" xr3:uid="{91502620-748C-4F49-A4DB-F26480735626}" name="Column6888"/>
    <tableColumn id="6894" xr3:uid="{5E7DF692-E44F-4700-894E-474BA2E9579E}" name="Column6889"/>
    <tableColumn id="6895" xr3:uid="{F0094563-F310-48F9-A3F8-CFC6FC1504DA}" name="Column6890"/>
    <tableColumn id="6896" xr3:uid="{70002676-E9B7-43F4-A39D-36902B271993}" name="Column6891"/>
    <tableColumn id="6897" xr3:uid="{00753F62-AD2A-47E9-8C48-815BF44F890F}" name="Column6892"/>
    <tableColumn id="6898" xr3:uid="{6194AF32-ECC3-4FF3-8207-6F9969EA4F4E}" name="Column6893"/>
    <tableColumn id="6899" xr3:uid="{AA31B6D0-A4A2-447F-994F-41DB95C058BE}" name="Column6894"/>
    <tableColumn id="6900" xr3:uid="{5C3E521D-F866-44C0-9F90-ABBFF16A0C38}" name="Column6895"/>
    <tableColumn id="6901" xr3:uid="{7C139D8C-9D70-47DA-9010-C0AE8B9A9F6E}" name="Column6896"/>
    <tableColumn id="6902" xr3:uid="{40DFD66A-276B-46D7-B75C-24FFDFDE21C3}" name="Column6897"/>
    <tableColumn id="6903" xr3:uid="{17BB49C7-D4FF-417E-A701-942D579635A8}" name="Column6898"/>
    <tableColumn id="6904" xr3:uid="{FC04EBDC-058E-46EA-BBB9-DB5536AD770B}" name="Column6899"/>
    <tableColumn id="6905" xr3:uid="{CE339CB3-DA81-43FE-8487-9B4D2CA1964B}" name="Column6900"/>
    <tableColumn id="6906" xr3:uid="{DDEE5CB4-D3CC-4A00-9B5F-3555FB5CA47E}" name="Column6901"/>
    <tableColumn id="6907" xr3:uid="{414BC296-6F63-4F86-87D8-97A07722726C}" name="Column6902"/>
    <tableColumn id="6908" xr3:uid="{4944332B-913B-4F73-B2E5-654C490E91F8}" name="Column6903"/>
    <tableColumn id="6909" xr3:uid="{DD799607-CA6D-48C8-95E6-4532534608D2}" name="Column6904"/>
    <tableColumn id="6910" xr3:uid="{DA60AD5D-3AC5-4464-A57A-4F4CB5786A60}" name="Column6905"/>
    <tableColumn id="6911" xr3:uid="{A8766D50-0B39-4463-AE58-6F57C1F9E2EC}" name="Column6906"/>
    <tableColumn id="6912" xr3:uid="{A9260E86-6C75-4E27-A31D-982E19C053F3}" name="Column6907"/>
    <tableColumn id="6913" xr3:uid="{9D1A108B-DF3E-4145-855F-87C28494B891}" name="Column6908"/>
    <tableColumn id="6914" xr3:uid="{2C92B0DF-D2BE-4BA0-97EA-2D095474B057}" name="Column6909"/>
    <tableColumn id="6915" xr3:uid="{EB57C879-64D5-47B4-935C-96F8917C6F13}" name="Column6910"/>
    <tableColumn id="6916" xr3:uid="{3BD9C0C3-0520-40D9-A79D-05F4A5C0E203}" name="Column6911"/>
    <tableColumn id="6917" xr3:uid="{95184F4A-3AB5-4FC7-B3CD-0C29A3F0A973}" name="Column6912"/>
    <tableColumn id="6918" xr3:uid="{6AB2E000-A077-4C5D-8CA4-0CE7E5AF646B}" name="Column6913"/>
    <tableColumn id="6919" xr3:uid="{76F2BB3C-37DF-436B-B47C-0C0AC65DE34E}" name="Column6914"/>
    <tableColumn id="6920" xr3:uid="{3BDE120D-8293-4FFB-8943-F855EB7CBCC0}" name="Column6915"/>
    <tableColumn id="6921" xr3:uid="{4BBA8606-2A65-4740-B4FE-6AEA053A313D}" name="Column6916"/>
    <tableColumn id="6922" xr3:uid="{7117594B-CA17-4B3F-8A0B-44BA7F90905C}" name="Column6917"/>
    <tableColumn id="6923" xr3:uid="{4F75FCB8-4600-4190-BDA3-F42D9F105C49}" name="Column6918"/>
    <tableColumn id="6924" xr3:uid="{2CB1A881-C85C-4849-BC54-0FB0C9342575}" name="Column6919"/>
    <tableColumn id="6925" xr3:uid="{315CFD53-36F5-4866-BE84-EF4C9783DEB4}" name="Column6920"/>
    <tableColumn id="6926" xr3:uid="{32ABFB4A-CE88-4C4C-B68B-F58A9AA6882C}" name="Column6921"/>
    <tableColumn id="6927" xr3:uid="{1D6DADB7-F825-4CBE-976E-43513BD6D051}" name="Column6922"/>
    <tableColumn id="6928" xr3:uid="{2FD66108-E6A7-487B-B0E4-159EA38A33CA}" name="Column6923"/>
    <tableColumn id="6929" xr3:uid="{BE4E766C-085C-4C2B-A940-6DF01619D2FA}" name="Column6924"/>
    <tableColumn id="6930" xr3:uid="{53D28B0C-8B92-437F-841B-2C5F58C12E56}" name="Column6925"/>
    <tableColumn id="6931" xr3:uid="{5E47A884-BA3E-4C6C-BBCA-C8C24FDE02F3}" name="Column6926"/>
    <tableColumn id="6932" xr3:uid="{AA76DE02-1818-4661-B2A5-255FEA7FD30D}" name="Column6927"/>
    <tableColumn id="6933" xr3:uid="{71378BAA-3019-4B87-8310-F20C774A4376}" name="Column6928"/>
    <tableColumn id="6934" xr3:uid="{6C2D7B8E-09DD-4B50-BF2E-E2ABC57B4ACD}" name="Column6929"/>
    <tableColumn id="6935" xr3:uid="{D45432AB-55AC-4D13-9CF7-3171D1D076D8}" name="Column6930"/>
    <tableColumn id="6936" xr3:uid="{9FCB01BB-809A-4CDC-984A-35C82D68E2AB}" name="Column6931"/>
    <tableColumn id="6937" xr3:uid="{D14FC811-045C-4F23-8366-197F05785B8F}" name="Column6932"/>
    <tableColumn id="6938" xr3:uid="{02F85A5C-1DB8-409D-96D6-7201164FA92C}" name="Column6933"/>
    <tableColumn id="6939" xr3:uid="{C4BC341E-3309-4B0A-BE2A-625D42A6968A}" name="Column6934"/>
    <tableColumn id="6940" xr3:uid="{81DD6908-45B9-42EE-9437-40512E93EE22}" name="Column6935"/>
    <tableColumn id="6941" xr3:uid="{3E5D0957-641A-4CF7-AD21-91710681F4C7}" name="Column6936"/>
    <tableColumn id="6942" xr3:uid="{BC82FB45-8DDC-418D-91DB-2ED4E72B955A}" name="Column6937"/>
    <tableColumn id="6943" xr3:uid="{CD3CFBDD-4B61-499C-8AE6-3702BA7FED76}" name="Column6938"/>
    <tableColumn id="6944" xr3:uid="{4BEBD971-3CC3-400D-BBD7-FB7C41E2C55C}" name="Column6939"/>
    <tableColumn id="6945" xr3:uid="{FB1F2F52-9CBA-48D0-94EA-26DB16C80E90}" name="Column6940"/>
    <tableColumn id="6946" xr3:uid="{D31074D9-8DB2-42FC-AC34-44FD5DC8F148}" name="Column6941"/>
    <tableColumn id="6947" xr3:uid="{9E4DA480-F682-4A7A-9D09-912BA5E6194F}" name="Column6942"/>
    <tableColumn id="6948" xr3:uid="{2DC003FB-A8C4-4F9B-8897-7911EB482519}" name="Column6943"/>
    <tableColumn id="6949" xr3:uid="{2718C69B-3A72-453A-9254-F0BCA322EF0F}" name="Column6944"/>
    <tableColumn id="6950" xr3:uid="{20945FE3-F077-4F4F-B08B-82E7FC5CCD07}" name="Column6945"/>
    <tableColumn id="6951" xr3:uid="{9B3E69B1-D98A-45BC-AA05-A519E11630CB}" name="Column6946"/>
    <tableColumn id="6952" xr3:uid="{50E95E4E-F0B2-4581-B90F-446DB7BB83FC}" name="Column6947"/>
    <tableColumn id="6953" xr3:uid="{EB38CE7A-6DC5-4DAF-89DD-636432E23F71}" name="Column6948"/>
    <tableColumn id="6954" xr3:uid="{4E0B8CE6-1745-4B78-AB31-AF9710737767}" name="Column6949"/>
    <tableColumn id="6955" xr3:uid="{A8DC8677-0D93-4304-96DF-B3D25F1B1B28}" name="Column6950"/>
    <tableColumn id="6956" xr3:uid="{608A3AF6-4B2F-4907-B3D3-8E0CCB52703D}" name="Column6951"/>
    <tableColumn id="6957" xr3:uid="{7C4EB752-AF18-41F7-B82D-A86A33DF956B}" name="Column6952"/>
    <tableColumn id="6958" xr3:uid="{8B5C1F23-9ABE-4B7D-A400-B5E2BAEFDE01}" name="Column6953"/>
    <tableColumn id="6959" xr3:uid="{ABDE7120-A974-4726-81AA-7A4991B5B526}" name="Column6954"/>
    <tableColumn id="6960" xr3:uid="{2DB6F84C-0689-490E-8D36-48B4545015D6}" name="Column6955"/>
    <tableColumn id="6961" xr3:uid="{656567E7-872A-4878-B558-2A671BE40C54}" name="Column6956"/>
    <tableColumn id="6962" xr3:uid="{0B6DAC53-EE58-4F87-BAC6-1C2F35B9656E}" name="Column6957"/>
    <tableColumn id="6963" xr3:uid="{822FEDAD-9DD3-49BF-8E24-44DBA907F082}" name="Column6958"/>
    <tableColumn id="6964" xr3:uid="{0ADB0581-E6CC-4EC2-9F97-8708A4B77AC5}" name="Column6959"/>
    <tableColumn id="6965" xr3:uid="{98B5D8E2-BA83-4E71-A05E-657646DD67B5}" name="Column6960"/>
    <tableColumn id="6966" xr3:uid="{8D727088-321C-4D1D-8C4B-22EEC225389D}" name="Column6961"/>
    <tableColumn id="6967" xr3:uid="{33FBC60B-493A-4B8C-9980-41AAD531DFEC}" name="Column6962"/>
    <tableColumn id="6968" xr3:uid="{DA2E1143-7638-45AC-8BBA-D1E7D8AAB290}" name="Column6963"/>
    <tableColumn id="6969" xr3:uid="{A35E72B9-4847-48A7-A160-604E89A3D7F2}" name="Column6964"/>
    <tableColumn id="6970" xr3:uid="{AF4D78F9-A2AB-414F-ADC3-AFF0244E4DA1}" name="Column6965"/>
    <tableColumn id="6971" xr3:uid="{29F53579-1D1A-4082-A713-D5776D4E6AA1}" name="Column6966"/>
    <tableColumn id="6972" xr3:uid="{C1BD906C-0AF9-4D21-ABA3-170FFF171CA0}" name="Column6967"/>
    <tableColumn id="6973" xr3:uid="{8719726C-9CD1-40B3-845F-19D34317E228}" name="Column6968"/>
    <tableColumn id="6974" xr3:uid="{42CD3630-EB26-4957-A7F3-C188587751D8}" name="Column6969"/>
    <tableColumn id="6975" xr3:uid="{1B898B33-255B-49F2-A035-F3C818E5D2B3}" name="Column6970"/>
    <tableColumn id="6976" xr3:uid="{8631EDF7-17E3-45D3-920A-B1154B9A715A}" name="Column6971"/>
    <tableColumn id="6977" xr3:uid="{33C8393D-A15E-4330-91E8-C41D2186223C}" name="Column6972"/>
    <tableColumn id="6978" xr3:uid="{2FA26733-48C3-4E8F-ACD9-C602978D882B}" name="Column6973"/>
    <tableColumn id="6979" xr3:uid="{8E5C6866-08D3-4836-8404-E988AAD2AD39}" name="Column6974"/>
    <tableColumn id="6980" xr3:uid="{E84AF125-FA31-4DBA-B8DC-79C3A7845D21}" name="Column6975"/>
    <tableColumn id="6981" xr3:uid="{BA00E131-5A0C-41C6-A289-556BF88861F0}" name="Column6976"/>
    <tableColumn id="6982" xr3:uid="{6E629BC2-7DD1-4C4D-9B73-379B92B25672}" name="Column6977"/>
    <tableColumn id="6983" xr3:uid="{70D92F58-573A-4F72-8AAD-1F4326934983}" name="Column6978"/>
    <tableColumn id="6984" xr3:uid="{E83C37CE-CD28-45BC-A2A9-2EABA6C0F7BA}" name="Column6979"/>
    <tableColumn id="6985" xr3:uid="{AB9CB5D3-0BD5-4A3B-B61F-6711922E17F1}" name="Column6980"/>
    <tableColumn id="6986" xr3:uid="{B7184738-0082-44C1-A094-5EB870A0CE7A}" name="Column6981"/>
    <tableColumn id="6987" xr3:uid="{6DF0126C-ED39-4F34-9420-14195D0752C4}" name="Column6982"/>
    <tableColumn id="6988" xr3:uid="{FAD91F70-ED60-4EFD-9F94-3C78A3D8A895}" name="Column6983"/>
    <tableColumn id="6989" xr3:uid="{A1991683-2525-4B34-AC9F-CE75A36D6CD7}" name="Column6984"/>
    <tableColumn id="6990" xr3:uid="{CFF999CD-F250-42B5-80EB-B31AA9D7231C}" name="Column6985"/>
    <tableColumn id="6991" xr3:uid="{0D05E2C1-5AD7-40E3-A682-2DE3CDB24C06}" name="Column6986"/>
    <tableColumn id="6992" xr3:uid="{4DB08DA0-15FC-49F2-A265-8ACC59DAAE5C}" name="Column6987"/>
    <tableColumn id="6993" xr3:uid="{EA9C31E5-E936-4C47-8105-33B4325B2CA3}" name="Column6988"/>
    <tableColumn id="6994" xr3:uid="{7780ACC6-E523-45A4-9BB8-8A8D662134A7}" name="Column6989"/>
    <tableColumn id="6995" xr3:uid="{5BD364D6-76A3-4161-8F7D-95FAD097C4DD}" name="Column6990"/>
    <tableColumn id="6996" xr3:uid="{8BBF6124-1E84-41E6-A3D5-511C26FD3D63}" name="Column6991"/>
    <tableColumn id="6997" xr3:uid="{ABF7C57A-86B1-4A37-86B3-B19AF32F4FF2}" name="Column6992"/>
    <tableColumn id="6998" xr3:uid="{F69D8F34-73A8-42F4-8191-9C30184B0117}" name="Column6993"/>
    <tableColumn id="6999" xr3:uid="{31955638-BB82-4871-A57B-B06D0ED34A4F}" name="Column6994"/>
    <tableColumn id="7000" xr3:uid="{B6B3388F-84FD-4B40-8933-D6598949AC24}" name="Column6995"/>
    <tableColumn id="7001" xr3:uid="{2A6329DC-435F-474B-BED1-5C28E0471CC7}" name="Column6996"/>
    <tableColumn id="7002" xr3:uid="{8BEE8AB0-6AE4-42B0-BF18-543B646BA095}" name="Column6997"/>
    <tableColumn id="7003" xr3:uid="{236C68C4-22AC-41E1-9AF1-C86A6BC6AB4C}" name="Column6998"/>
    <tableColumn id="7004" xr3:uid="{106DC27D-2E55-4EE3-B937-851B1C401452}" name="Column6999"/>
    <tableColumn id="7005" xr3:uid="{A21D08D5-B4C4-4218-A59D-DFB2049A340E}" name="Column7000"/>
    <tableColumn id="7006" xr3:uid="{A7FA798C-419D-4473-8F86-3CEB5C4B3DDE}" name="Column7001"/>
    <tableColumn id="7007" xr3:uid="{772F026E-5599-437D-AEDA-4653E8B7C0D6}" name="Column7002"/>
    <tableColumn id="7008" xr3:uid="{52E07CF5-BF6F-4B54-AEF7-557E8BB59E99}" name="Column7003"/>
    <tableColumn id="7009" xr3:uid="{689FA3FF-A67D-4B20-9376-5630AE483236}" name="Column7004"/>
    <tableColumn id="7010" xr3:uid="{BBA5CDCF-0DBB-486C-A379-B367C77D9791}" name="Column7005"/>
    <tableColumn id="7011" xr3:uid="{AAA94F86-599B-470C-BFD4-6C504A4A8D98}" name="Column7006"/>
    <tableColumn id="7012" xr3:uid="{44077936-3490-47DA-BAA3-A43E84017A03}" name="Column7007"/>
    <tableColumn id="7013" xr3:uid="{1C9352D5-4B64-46FB-8403-85DEBE4C095C}" name="Column7008"/>
    <tableColumn id="7014" xr3:uid="{F8B6CE33-B0F9-4596-9247-D87894FB7FAD}" name="Column7009"/>
    <tableColumn id="7015" xr3:uid="{725081B4-DF29-48C0-8932-9A975745A6C2}" name="Column7010"/>
    <tableColumn id="7016" xr3:uid="{A2FF4014-1257-47D5-A652-1F2B17756F39}" name="Column7011"/>
    <tableColumn id="7017" xr3:uid="{40E8A15D-5965-49CB-A629-32235150534F}" name="Column7012"/>
    <tableColumn id="7018" xr3:uid="{BA369538-0180-4CFD-A30B-D68CF1AC6983}" name="Column7013"/>
    <tableColumn id="7019" xr3:uid="{42AD7563-59BB-48EB-9DDC-017B13FFF9CB}" name="Column7014"/>
    <tableColumn id="7020" xr3:uid="{28E8F903-3691-4AB6-91A2-C4C07D352C04}" name="Column7015"/>
    <tableColumn id="7021" xr3:uid="{8993448F-B719-4CD5-86F1-A0F4115D1C84}" name="Column7016"/>
    <tableColumn id="7022" xr3:uid="{178E1CF7-DA79-46C9-B835-D7DCC0B56C7B}" name="Column7017"/>
    <tableColumn id="7023" xr3:uid="{4219A03E-66A3-4446-BAF4-4670D4FF006B}" name="Column7018"/>
    <tableColumn id="7024" xr3:uid="{185CB415-C1F6-4010-8DCC-AA954431EFC8}" name="Column7019"/>
    <tableColumn id="7025" xr3:uid="{103C7563-E6D3-4277-A9CB-2E5AF996293F}" name="Column7020"/>
    <tableColumn id="7026" xr3:uid="{B718344E-DA8D-4D93-92E5-D6F43022E30B}" name="Column7021"/>
    <tableColumn id="7027" xr3:uid="{D3ACABBE-601C-4E11-8A40-798D1B478B77}" name="Column7022"/>
    <tableColumn id="7028" xr3:uid="{78C84868-0A6D-45CF-8B6D-77405B22EE67}" name="Column7023"/>
    <tableColumn id="7029" xr3:uid="{82C7E736-8A8B-4B11-9B98-46DFA154AC0D}" name="Column7024"/>
    <tableColumn id="7030" xr3:uid="{4F4E102C-94FC-429C-B3D6-1F4BFBA9E428}" name="Column7025"/>
    <tableColumn id="7031" xr3:uid="{B9FFA7B5-3D9D-4208-9A46-5DB99C4B6E19}" name="Column7026"/>
    <tableColumn id="7032" xr3:uid="{4D6B4D99-FC79-45C9-873B-4F87C718CCA9}" name="Column7027"/>
    <tableColumn id="7033" xr3:uid="{F4633621-3C26-46D7-AA49-B9AA68B998F0}" name="Column7028"/>
    <tableColumn id="7034" xr3:uid="{CDD8F3EE-15E7-4B08-85F4-910697D4AF1C}" name="Column7029"/>
    <tableColumn id="7035" xr3:uid="{93047EB7-5B33-4C64-84B5-BFD4D50D72C7}" name="Column7030"/>
    <tableColumn id="7036" xr3:uid="{D9FD39B8-C611-429E-8E4B-3098CE9CBEE9}" name="Column7031"/>
    <tableColumn id="7037" xr3:uid="{49A8B909-37EC-4F9F-B5FE-FA801531D6A6}" name="Column7032"/>
    <tableColumn id="7038" xr3:uid="{1E55296D-AA3C-4FA8-9419-1BE8EF01A6FB}" name="Column7033"/>
    <tableColumn id="7039" xr3:uid="{470B703C-0636-47B5-9401-FA1821636120}" name="Column7034"/>
    <tableColumn id="7040" xr3:uid="{D86D8616-5F0F-4017-9A4B-508D6E6817AE}" name="Column7035"/>
    <tableColumn id="7041" xr3:uid="{6F235736-5CF9-4B93-85DD-9E81ECA9C002}" name="Column7036"/>
    <tableColumn id="7042" xr3:uid="{DAAC3372-5238-45C0-9A21-553238DDBBE0}" name="Column7037"/>
    <tableColumn id="7043" xr3:uid="{C5A7FE22-EABE-4DCE-8792-CA318610DDAD}" name="Column7038"/>
    <tableColumn id="7044" xr3:uid="{06291480-1F7E-4DA9-8DE7-3A2699C1CDB0}" name="Column7039"/>
    <tableColumn id="7045" xr3:uid="{8245FAE1-F68B-4713-BFC0-33D3B3928646}" name="Column7040"/>
    <tableColumn id="7046" xr3:uid="{91376868-A5E9-4757-AF20-41F851657374}" name="Column7041"/>
    <tableColumn id="7047" xr3:uid="{ACB3568C-221D-4156-9951-35992C9491E0}" name="Column7042"/>
    <tableColumn id="7048" xr3:uid="{161945EB-CBC0-40D6-B713-8EF10C5E8CCA}" name="Column7043"/>
    <tableColumn id="7049" xr3:uid="{12B3D7B7-E125-46C0-8EDD-CD25EF431B53}" name="Column7044"/>
    <tableColumn id="7050" xr3:uid="{C42703B8-0581-4281-8194-DD4E7F9352AA}" name="Column7045"/>
    <tableColumn id="7051" xr3:uid="{8D4ACD1E-B99A-499F-9E9E-A46E63973640}" name="Column7046"/>
    <tableColumn id="7052" xr3:uid="{55059C48-4F1A-4E62-93CA-74DA81961A0D}" name="Column7047"/>
    <tableColumn id="7053" xr3:uid="{C553E8A3-F270-46DB-B400-9B1FB26A6741}" name="Column7048"/>
    <tableColumn id="7054" xr3:uid="{32388FA8-447D-45E5-B989-C0060EDE8432}" name="Column7049"/>
    <tableColumn id="7055" xr3:uid="{00D7A112-C8D1-4556-82F3-1ECDC182AD19}" name="Column7050"/>
    <tableColumn id="7056" xr3:uid="{0FCFC420-B296-4C49-A5DF-06390B7AA326}" name="Column7051"/>
    <tableColumn id="7057" xr3:uid="{AD16D80A-221C-4F15-9E9A-EE61A2FB6FFC}" name="Column7052"/>
    <tableColumn id="7058" xr3:uid="{3A3B2717-559C-4151-871E-D4D18F2787F6}" name="Column7053"/>
    <tableColumn id="7059" xr3:uid="{879F055D-6405-403F-A037-E2B0A5FD25CA}" name="Column7054"/>
    <tableColumn id="7060" xr3:uid="{5D997DE7-F5B1-46CC-B1FD-4F98B2CD959B}" name="Column7055"/>
    <tableColumn id="7061" xr3:uid="{80C77B76-5491-4E55-8BDA-9EAFC748D285}" name="Column7056"/>
    <tableColumn id="7062" xr3:uid="{9FF09CAA-DC41-4F61-BC31-3166FE9DFE44}" name="Column7057"/>
    <tableColumn id="7063" xr3:uid="{963D8EC6-C2EE-463A-9B5D-68FD43FCF525}" name="Column7058"/>
    <tableColumn id="7064" xr3:uid="{70C40DD4-B343-4960-9BBC-2FF4D839E547}" name="Column7059"/>
    <tableColumn id="7065" xr3:uid="{2EA8297D-E3E5-4B83-8AC9-2445326F52DA}" name="Column7060"/>
    <tableColumn id="7066" xr3:uid="{72972BAA-8BFC-4DD5-9D04-358E9D2461D9}" name="Column7061"/>
    <tableColumn id="7067" xr3:uid="{7321482F-941E-4F32-AD0F-083EB5A05F65}" name="Column7062"/>
    <tableColumn id="7068" xr3:uid="{E1EADC22-489E-4335-BF94-2DEB574DBF74}" name="Column7063"/>
    <tableColumn id="7069" xr3:uid="{7B95F022-6560-4D1D-932A-49CFCF32AEE8}" name="Column7064"/>
    <tableColumn id="7070" xr3:uid="{DAB3EE0E-A666-46F6-859D-D99EC5E11D4A}" name="Column7065"/>
    <tableColumn id="7071" xr3:uid="{240C0295-124B-4942-BA7C-FEF676C6DFAB}" name="Column7066"/>
    <tableColumn id="7072" xr3:uid="{7DD81682-600F-47CD-AE3D-3BF0F4DF4E5F}" name="Column7067"/>
    <tableColumn id="7073" xr3:uid="{97CEEA88-5109-481B-92BC-122FFDFB768F}" name="Column7068"/>
    <tableColumn id="7074" xr3:uid="{5EC594EB-DE42-44B3-B428-578D940CBFD8}" name="Column7069"/>
    <tableColumn id="7075" xr3:uid="{E9B1BE9C-CF18-4537-93BF-176159E119C0}" name="Column7070"/>
    <tableColumn id="7076" xr3:uid="{51F780AE-8BE5-4780-A163-158913793315}" name="Column7071"/>
    <tableColumn id="7077" xr3:uid="{58F09953-32F1-4CEB-AE0C-58B3B6620A29}" name="Column7072"/>
    <tableColumn id="7078" xr3:uid="{AE2D3AF6-04D1-4752-965B-51F88CBC4C1A}" name="Column7073"/>
    <tableColumn id="7079" xr3:uid="{D9CCF380-1BC4-45CF-AC18-3672986D3912}" name="Column7074"/>
    <tableColumn id="7080" xr3:uid="{255F38F9-E4A9-4038-94C5-867E79DD9CB7}" name="Column7075"/>
    <tableColumn id="7081" xr3:uid="{1272278E-8832-4D34-BFFE-15CAD28B5ED0}" name="Column7076"/>
    <tableColumn id="7082" xr3:uid="{99606DEE-A34B-40D9-BBAA-59B5358138F8}" name="Column7077"/>
    <tableColumn id="7083" xr3:uid="{86784BEA-CB98-456A-8EB1-77F962E2006F}" name="Column7078"/>
    <tableColumn id="7084" xr3:uid="{A5B19688-8A7D-407E-BE78-15F135281EEB}" name="Column7079"/>
    <tableColumn id="7085" xr3:uid="{5C446D55-1769-4E01-89FA-A424CDB0FB0D}" name="Column7080"/>
    <tableColumn id="7086" xr3:uid="{A1685F5C-DF46-4B60-9BE0-3D82ABEF16A9}" name="Column7081"/>
    <tableColumn id="7087" xr3:uid="{A2742A6A-99EC-4DB5-8CCD-ED7B3FFB5CD1}" name="Column7082"/>
    <tableColumn id="7088" xr3:uid="{5C85CD02-C28F-479A-8416-F0903CFF631B}" name="Column7083"/>
    <tableColumn id="7089" xr3:uid="{7A131095-833A-415F-BCEA-76FF05E8B101}" name="Column7084"/>
    <tableColumn id="7090" xr3:uid="{968E72F3-F900-487F-8655-11150E63D173}" name="Column7085"/>
    <tableColumn id="7091" xr3:uid="{BE708908-A659-42BF-861A-670931DAAD18}" name="Column7086"/>
    <tableColumn id="7092" xr3:uid="{DFF5136A-4CCC-419C-A619-BC1CFE8D12C1}" name="Column7087"/>
    <tableColumn id="7093" xr3:uid="{DF3ADDB5-AC4D-4DAA-9531-70A716F391A6}" name="Column7088"/>
    <tableColumn id="7094" xr3:uid="{9799E74E-0CEA-4A10-B214-579C0366FED3}" name="Column7089"/>
    <tableColumn id="7095" xr3:uid="{A02CC057-4523-4899-8B67-4D9CEF850F54}" name="Column7090"/>
    <tableColumn id="7096" xr3:uid="{41C8EAE2-43D6-4964-A694-9976752AD8D4}" name="Column7091"/>
    <tableColumn id="7097" xr3:uid="{7577DF6A-7E9E-437F-971F-ED9619CDC762}" name="Column7092"/>
    <tableColumn id="7098" xr3:uid="{54CEA15C-A209-4286-95E0-F8E070BAA17A}" name="Column7093"/>
    <tableColumn id="7099" xr3:uid="{5609D877-D3D9-4CAA-AE0E-79AD7E209B4D}" name="Column7094"/>
    <tableColumn id="7100" xr3:uid="{EA6FF4EB-4DCD-4B85-AEC6-28A163C81EA8}" name="Column7095"/>
    <tableColumn id="7101" xr3:uid="{606E8E72-CCD7-43C2-BF7A-04731C7317BE}" name="Column7096"/>
    <tableColumn id="7102" xr3:uid="{A1E4B949-4095-4CB0-A251-3D3DFDB4E666}" name="Column7097"/>
    <tableColumn id="7103" xr3:uid="{126F47EC-3FC4-4D73-818C-A2625D652A53}" name="Column7098"/>
    <tableColumn id="7104" xr3:uid="{99522DF4-078D-4BA4-83F7-D59FC5A22F37}" name="Column7099"/>
    <tableColumn id="7105" xr3:uid="{0BAB5244-C2A7-42D6-9D38-FF6EBDB235B1}" name="Column7100"/>
    <tableColumn id="7106" xr3:uid="{E3EFE0E7-0E43-481B-AF6E-D79CFFDE50AE}" name="Column7101"/>
    <tableColumn id="7107" xr3:uid="{05EA8266-DBBD-4B51-8015-0CE3C2041F66}" name="Column7102"/>
    <tableColumn id="7108" xr3:uid="{742F3A53-0E84-470E-A46D-10120DE91B16}" name="Column7103"/>
    <tableColumn id="7109" xr3:uid="{A2664F2E-8963-412A-92AA-C15D77372896}" name="Column7104"/>
    <tableColumn id="7110" xr3:uid="{E2A18EF5-941B-4E23-8A4D-84DC72F6C99B}" name="Column7105"/>
    <tableColumn id="7111" xr3:uid="{125FC916-D9A7-4C31-9BF2-12598A353FAD}" name="Column7106"/>
    <tableColumn id="7112" xr3:uid="{31492DFC-65CF-4A11-B741-94DAFE15125F}" name="Column7107"/>
    <tableColumn id="7113" xr3:uid="{7221D5CF-C3CE-4AEE-B2D7-89C3A18A4515}" name="Column7108"/>
    <tableColumn id="7114" xr3:uid="{C753CE0D-1D70-417D-A745-E90D11F5D901}" name="Column7109"/>
    <tableColumn id="7115" xr3:uid="{A06A573C-A359-42CA-A6E0-3DD835CEBA0D}" name="Column7110"/>
    <tableColumn id="7116" xr3:uid="{B2A278EF-C875-4123-ADF2-4B6D9FB6AF16}" name="Column7111"/>
    <tableColumn id="7117" xr3:uid="{4593C354-359A-4737-B2A2-4500FD658AD3}" name="Column7112"/>
    <tableColumn id="7118" xr3:uid="{1FFD0D0E-86BB-45B1-8DC4-0C0ACEEB2E19}" name="Column7113"/>
    <tableColumn id="7119" xr3:uid="{EBF24389-277B-4CEF-A5A7-F047C34E98A8}" name="Column7114"/>
    <tableColumn id="7120" xr3:uid="{4E370152-550A-49F9-ACD2-61F872F051B1}" name="Column7115"/>
    <tableColumn id="7121" xr3:uid="{CDA4499E-DFE1-4822-9A51-04F397C39A02}" name="Column7116"/>
    <tableColumn id="7122" xr3:uid="{E45872A2-BE03-4E2F-9F01-2AD151854F44}" name="Column7117"/>
    <tableColumn id="7123" xr3:uid="{27B7DC7B-40BC-48F5-A28C-5D214A27AFF6}" name="Column7118"/>
    <tableColumn id="7124" xr3:uid="{6C9BAFB7-38C0-4A17-B19A-72A12301C4DA}" name="Column7119"/>
    <tableColumn id="7125" xr3:uid="{63934616-DEF3-450E-B287-735A8924764E}" name="Column7120"/>
    <tableColumn id="7126" xr3:uid="{B9392A8E-86D3-4014-BDDB-458575C3E67F}" name="Column7121"/>
    <tableColumn id="7127" xr3:uid="{E7A894AD-7FB5-4E4C-8230-63402961E168}" name="Column7122"/>
    <tableColumn id="7128" xr3:uid="{71239C0E-01AA-451E-89EA-983D7DAFBE0B}" name="Column7123"/>
    <tableColumn id="7129" xr3:uid="{25546BA0-98F9-43FE-88C8-69360892705B}" name="Column7124"/>
    <tableColumn id="7130" xr3:uid="{02CC5472-8117-40F9-A403-D25A4841A871}" name="Column7125"/>
    <tableColumn id="7131" xr3:uid="{1AFF36D6-EBDF-45F5-98E4-D2C917FEB3CF}" name="Column7126"/>
    <tableColumn id="7132" xr3:uid="{3637EAF6-2318-4A4F-ACB7-20C6019F505B}" name="Column7127"/>
    <tableColumn id="7133" xr3:uid="{0178FA46-F9D6-404E-8765-818282CFD289}" name="Column7128"/>
    <tableColumn id="7134" xr3:uid="{5F6628F6-0584-4F9D-9BDE-6F3D444A6198}" name="Column7129"/>
    <tableColumn id="7135" xr3:uid="{EA816463-7B0A-4EA7-B1A6-E39AAC259C85}" name="Column7130"/>
    <tableColumn id="7136" xr3:uid="{569C14BF-84EE-43F0-8B93-7B3644383A0D}" name="Column7131"/>
    <tableColumn id="7137" xr3:uid="{C7EB6F3F-4D05-4A60-A35F-F3616D40B063}" name="Column7132"/>
    <tableColumn id="7138" xr3:uid="{4F07776D-B2D6-4E30-8896-E06CEE847694}" name="Column7133"/>
    <tableColumn id="7139" xr3:uid="{F4C356F0-86EB-49E4-953D-953D13F351C0}" name="Column7134"/>
    <tableColumn id="7140" xr3:uid="{C878AB97-A43F-4414-860A-8A796C0B571C}" name="Column7135"/>
    <tableColumn id="7141" xr3:uid="{119B58EC-8C04-4FB7-9728-C9E2323FD7D3}" name="Column7136"/>
    <tableColumn id="7142" xr3:uid="{3DC5F00F-70CF-432A-AF82-3E1CC7E0FDDD}" name="Column7137"/>
    <tableColumn id="7143" xr3:uid="{EFADE054-1C11-4613-9AE9-5F8F3573E9CE}" name="Column7138"/>
    <tableColumn id="7144" xr3:uid="{DCCC2656-0011-4A43-A8B5-2A8EC0FA1DB8}" name="Column7139"/>
    <tableColumn id="7145" xr3:uid="{19560D09-C993-4751-96B0-176CE2368D5E}" name="Column7140"/>
    <tableColumn id="7146" xr3:uid="{7797A853-BFE8-47AD-9D80-B5ADCFF9903B}" name="Column7141"/>
    <tableColumn id="7147" xr3:uid="{7591E0BD-E838-4E64-AD74-B02964979547}" name="Column7142"/>
    <tableColumn id="7148" xr3:uid="{A51CCAB6-A642-4EA0-866A-0992E8127C43}" name="Column7143"/>
    <tableColumn id="7149" xr3:uid="{32D2F452-E6EF-4F04-82A5-01694357D865}" name="Column7144"/>
    <tableColumn id="7150" xr3:uid="{ED588788-F7A8-47FF-A441-02A8E1F03237}" name="Column7145"/>
    <tableColumn id="7151" xr3:uid="{B68766CA-85EC-4B80-9A61-092751ED3637}" name="Column7146"/>
    <tableColumn id="7152" xr3:uid="{690DA980-1DFB-4E12-B339-2AD76140E3B5}" name="Column7147"/>
    <tableColumn id="7153" xr3:uid="{B62A8CFF-3D41-4BB3-9F02-0329E8F7E734}" name="Column7148"/>
    <tableColumn id="7154" xr3:uid="{6A8F96D8-C173-400A-8AB5-F85F236F2F94}" name="Column7149"/>
    <tableColumn id="7155" xr3:uid="{B08BA260-6069-481F-A31F-EFEADD08641E}" name="Column7150"/>
    <tableColumn id="7156" xr3:uid="{CF50EB0C-A549-43EB-8231-42984898FF11}" name="Column7151"/>
    <tableColumn id="7157" xr3:uid="{3D50D4E3-2363-4AF1-AE1B-DE4711253E2B}" name="Column7152"/>
    <tableColumn id="7158" xr3:uid="{3B615827-AE20-4D1C-A91F-8D873920A7B6}" name="Column7153"/>
    <tableColumn id="7159" xr3:uid="{23B69B7E-3ED8-43E4-A192-9CFF044C812E}" name="Column7154"/>
    <tableColumn id="7160" xr3:uid="{886BDF78-9772-4EB4-9CA9-99DEA44AC9C3}" name="Column7155"/>
    <tableColumn id="7161" xr3:uid="{4E699EED-EE24-41F4-A097-B124F3CF2D91}" name="Column7156"/>
    <tableColumn id="7162" xr3:uid="{27276322-4A2E-4A0F-AA30-404133835A81}" name="Column7157"/>
    <tableColumn id="7163" xr3:uid="{588A7040-8748-4797-AB71-0F16E4463FE9}" name="Column7158"/>
    <tableColumn id="7164" xr3:uid="{F35B57D5-674C-4560-B13A-5EB589BC2426}" name="Column7159"/>
    <tableColumn id="7165" xr3:uid="{3CC68F3E-A80E-4C49-B806-96237CF5D666}" name="Column7160"/>
    <tableColumn id="7166" xr3:uid="{966DF2E7-1E47-4E4F-A6A8-222F712B308E}" name="Column7161"/>
    <tableColumn id="7167" xr3:uid="{087DA092-D5A8-480D-8869-54BEC60A0C80}" name="Column7162"/>
    <tableColumn id="7168" xr3:uid="{9CC8FA4B-CDE4-4463-AAA8-1B5EB7F27520}" name="Column7163"/>
    <tableColumn id="7169" xr3:uid="{AB4EBD8F-2E5E-4993-BC6C-1555EE397278}" name="Column7164"/>
    <tableColumn id="7170" xr3:uid="{99060AA6-B0D6-473A-82B6-4E794174EC39}" name="Column7165"/>
    <tableColumn id="7171" xr3:uid="{422C0524-02E8-43A1-9B83-F1C6727CB069}" name="Column7166"/>
    <tableColumn id="7172" xr3:uid="{BCC92FD0-8F62-4B84-A213-0527BCF4C4B4}" name="Column7167"/>
    <tableColumn id="7173" xr3:uid="{D14E985E-8883-4C23-AAFE-8B2642A79101}" name="Column7168"/>
    <tableColumn id="7174" xr3:uid="{725015DA-280E-4D92-BA88-E8CE50002C9C}" name="Column7169"/>
    <tableColumn id="7175" xr3:uid="{1D0A8E2B-EB5C-4562-9093-9671A3CB2903}" name="Column7170"/>
    <tableColumn id="7176" xr3:uid="{1BF6381D-F3B2-4D94-BF29-990B4A671372}" name="Column7171"/>
    <tableColumn id="7177" xr3:uid="{5761DC53-0831-4D09-A3A3-6E42D356F1C1}" name="Column7172"/>
    <tableColumn id="7178" xr3:uid="{B55E3A95-9DF4-4217-9E04-9C017F127135}" name="Column7173"/>
    <tableColumn id="7179" xr3:uid="{8FBB4645-FD1D-4C42-B974-21FAEF64B491}" name="Column7174"/>
    <tableColumn id="7180" xr3:uid="{C1145954-9D04-4F5E-8D18-72F42073AD80}" name="Column7175"/>
    <tableColumn id="7181" xr3:uid="{A29C6815-59FF-41CD-9E23-D01C419E4DE6}" name="Column7176"/>
    <tableColumn id="7182" xr3:uid="{10F71CAA-31E0-408B-85C3-F47DFF3A6940}" name="Column7177"/>
    <tableColumn id="7183" xr3:uid="{DEF980E6-E9F4-49F6-A333-7B54EE33060C}" name="Column7178"/>
    <tableColumn id="7184" xr3:uid="{272D8E60-C556-41FB-B9E8-2048E3AACA0F}" name="Column7179"/>
    <tableColumn id="7185" xr3:uid="{D9F158DF-FEB1-4130-80AF-A93648C580AE}" name="Column7180"/>
    <tableColumn id="7186" xr3:uid="{4E3A33B9-8A60-40B2-95DB-C6ECBC9FE67D}" name="Column7181"/>
    <tableColumn id="7187" xr3:uid="{47364FBD-7632-4A46-A634-48F247D0A22A}" name="Column7182"/>
    <tableColumn id="7188" xr3:uid="{4D73ED13-7551-4DD4-9C3E-0497AB2136C8}" name="Column7183"/>
    <tableColumn id="7189" xr3:uid="{3416E4F6-C8AB-449D-ACEF-BF5D25CA6FD1}" name="Column7184"/>
    <tableColumn id="7190" xr3:uid="{D09C0639-EF8C-435A-9060-B087DCCF70A2}" name="Column7185"/>
    <tableColumn id="7191" xr3:uid="{A74B3B59-D73F-4DDD-92B8-2F069A96AC86}" name="Column7186"/>
    <tableColumn id="7192" xr3:uid="{3CB69797-6028-4FFE-9024-490D8659E684}" name="Column7187"/>
    <tableColumn id="7193" xr3:uid="{354C2A74-C41B-4025-B932-198BE4C0493F}" name="Column7188"/>
    <tableColumn id="7194" xr3:uid="{DE1A1371-A369-4BBC-8A5A-EC240D60EAB3}" name="Column7189"/>
    <tableColumn id="7195" xr3:uid="{5188A23E-6084-4FE0-9FE8-761A7256A6FC}" name="Column7190"/>
    <tableColumn id="7196" xr3:uid="{76C625CF-B7C5-4301-B0F1-A69AF5E27FA1}" name="Column7191"/>
    <tableColumn id="7197" xr3:uid="{8244F378-D64A-4E4F-8175-E7DB54BE3FD8}" name="Column7192"/>
    <tableColumn id="7198" xr3:uid="{81749FDF-12B3-49DD-B856-4E62F85B2300}" name="Column7193"/>
    <tableColumn id="7199" xr3:uid="{59EFE8EA-BC8E-429E-A000-4F6897469B12}" name="Column7194"/>
    <tableColumn id="7200" xr3:uid="{E4CA5360-DD37-4A77-B363-D8495742CCE1}" name="Column7195"/>
    <tableColumn id="7201" xr3:uid="{C05FF437-9E3F-410D-B6A0-A8404250EB12}" name="Column7196"/>
    <tableColumn id="7202" xr3:uid="{FC579EE0-B77F-4538-8A1E-D965888AF497}" name="Column7197"/>
    <tableColumn id="7203" xr3:uid="{7ACD07AD-D9CE-4DF5-A05F-4546540BF078}" name="Column7198"/>
    <tableColumn id="7204" xr3:uid="{D7D6857A-B199-4274-99B3-9F5207EADF4D}" name="Column7199"/>
    <tableColumn id="7205" xr3:uid="{52F16BD3-50D2-48CF-8874-D58E92F54AC2}" name="Column7200"/>
    <tableColumn id="7206" xr3:uid="{BA81499D-B6D0-4340-BC80-CBC18F439894}" name="Column7201"/>
    <tableColumn id="7207" xr3:uid="{C0ED64C5-A711-48DE-9D0D-EAACBDAB6082}" name="Column7202"/>
    <tableColumn id="7208" xr3:uid="{4BD6F1F1-343E-4ED8-A6E9-7D57D8831AEC}" name="Column7203"/>
    <tableColumn id="7209" xr3:uid="{109A3929-1D01-4CF0-AAB3-170938BF246E}" name="Column7204"/>
    <tableColumn id="7210" xr3:uid="{6BC3D567-B1B7-4C75-A759-893E7B90C53B}" name="Column7205"/>
    <tableColumn id="7211" xr3:uid="{2A18AD31-704B-431F-A002-7E83842B4F00}" name="Column7206"/>
    <tableColumn id="7212" xr3:uid="{37905E8F-83CF-4ABD-8FCD-BCF8FD3503B8}" name="Column7207"/>
    <tableColumn id="7213" xr3:uid="{A4256B40-30B7-4CD5-A288-7851C093F2CF}" name="Column7208"/>
    <tableColumn id="7214" xr3:uid="{D5C41F57-1BCC-466A-A6EE-8429B1692A10}" name="Column7209"/>
    <tableColumn id="7215" xr3:uid="{52F89A57-0B62-4410-89FD-E07DD03A8AA5}" name="Column7210"/>
    <tableColumn id="7216" xr3:uid="{003A653D-E57B-4DFE-9B95-4966A94A92DA}" name="Column7211"/>
    <tableColumn id="7217" xr3:uid="{CA3F669C-ED65-4E3B-8438-223A6F7F4E45}" name="Column7212"/>
    <tableColumn id="7218" xr3:uid="{924476C4-8E60-45BF-8363-F2A626B86EFD}" name="Column7213"/>
    <tableColumn id="7219" xr3:uid="{97581928-2FDD-4CB3-A62B-2D1F47EB81DD}" name="Column7214"/>
    <tableColumn id="7220" xr3:uid="{EACF0D45-F2BC-4892-8157-689A55B1FE51}" name="Column7215"/>
    <tableColumn id="7221" xr3:uid="{0FCD8A91-A093-45F7-AEE6-F924399619A4}" name="Column7216"/>
    <tableColumn id="7222" xr3:uid="{D7476BB1-2756-4E59-99B4-6198074A4B11}" name="Column7217"/>
    <tableColumn id="7223" xr3:uid="{145D7C6D-81F3-4CB8-95A5-0773C495F060}" name="Column7218"/>
    <tableColumn id="7224" xr3:uid="{D152DAAF-558D-461D-9DF7-7EC99AC73495}" name="Column7219"/>
    <tableColumn id="7225" xr3:uid="{43EE848E-B726-4A4F-B381-5F8FC7C237F4}" name="Column7220"/>
    <tableColumn id="7226" xr3:uid="{C5A3B7DD-C31A-4140-82DF-99ED429FFE68}" name="Column7221"/>
    <tableColumn id="7227" xr3:uid="{DE09AAEC-35E8-402A-8664-1AFE8D974A46}" name="Column7222"/>
    <tableColumn id="7228" xr3:uid="{B51F6781-3A31-4707-A0BB-860AA7596BCA}" name="Column7223"/>
    <tableColumn id="7229" xr3:uid="{7F746ECA-D7F4-4FBE-A691-188DC8A8CEFF}" name="Column7224"/>
    <tableColumn id="7230" xr3:uid="{DA28A69D-8944-47FB-AA55-1875B9842074}" name="Column7225"/>
    <tableColumn id="7231" xr3:uid="{0973BC5B-10B2-456B-8188-DA015C5A9B7F}" name="Column7226"/>
    <tableColumn id="7232" xr3:uid="{5AA01380-894A-4155-BE5E-689A36CBE2FE}" name="Column7227"/>
    <tableColumn id="7233" xr3:uid="{42D41D91-4FC1-43D7-B014-73AEB62D540B}" name="Column7228"/>
    <tableColumn id="7234" xr3:uid="{0C56CC8B-159C-4B64-842B-183DC8F11FD6}" name="Column7229"/>
    <tableColumn id="7235" xr3:uid="{02B18766-5128-4CCA-B579-5A4DAF1D055B}" name="Column7230"/>
    <tableColumn id="7236" xr3:uid="{AEBC5CD0-4D96-4105-AB90-CD5896737D74}" name="Column7231"/>
    <tableColumn id="7237" xr3:uid="{53A2AE91-FC0D-4121-83F0-0F11FDE87C04}" name="Column7232"/>
    <tableColumn id="7238" xr3:uid="{2D1AFE41-AADB-49A3-9ADA-5D559CDC5B99}" name="Column7233"/>
    <tableColumn id="7239" xr3:uid="{77303078-E4DF-4528-8881-22E93D719D84}" name="Column7234"/>
    <tableColumn id="7240" xr3:uid="{096E63FD-7880-4983-96F5-074E44633D75}" name="Column7235"/>
    <tableColumn id="7241" xr3:uid="{73D49520-C000-4AEA-9075-DE57C21F3C60}" name="Column7236"/>
    <tableColumn id="7242" xr3:uid="{57FA98EC-9512-4454-98C2-0924EF0401F5}" name="Column7237"/>
    <tableColumn id="7243" xr3:uid="{FEF62E8A-7C19-42BC-8EA6-D9B4D39245A9}" name="Column7238"/>
    <tableColumn id="7244" xr3:uid="{3E519DBC-751D-48D6-8424-5344D0F806D7}" name="Column7239"/>
    <tableColumn id="7245" xr3:uid="{ADCECB6C-4892-4A14-A978-33A886AC619E}" name="Column7240"/>
    <tableColumn id="7246" xr3:uid="{38A4F01D-AFB0-4A01-988E-294A672B6112}" name="Column7241"/>
    <tableColumn id="7247" xr3:uid="{2B433359-7A30-4645-A5C0-5EC1FC99E8A2}" name="Column7242"/>
    <tableColumn id="7248" xr3:uid="{9336C829-53CF-4277-899A-2F46D466CFB2}" name="Column7243"/>
    <tableColumn id="7249" xr3:uid="{713A02E9-E076-4BE4-8B17-A316E3B77E8C}" name="Column7244"/>
    <tableColumn id="7250" xr3:uid="{B3136789-4B26-457C-ABE0-A8B23680A362}" name="Column7245"/>
    <tableColumn id="7251" xr3:uid="{DD50DC6D-DA80-43DD-B8CE-79A291EF6006}" name="Column7246"/>
    <tableColumn id="7252" xr3:uid="{51785811-0283-45E6-9C32-B8659062B2F2}" name="Column7247"/>
    <tableColumn id="7253" xr3:uid="{22FFCB03-11DF-41FF-BFE4-8594ABDB9273}" name="Column7248"/>
    <tableColumn id="7254" xr3:uid="{FCF77E1F-2595-47E2-BBE6-5E069BA1BF64}" name="Column7249"/>
    <tableColumn id="7255" xr3:uid="{5F2140FA-7885-45AD-921B-6485F11E26E1}" name="Column7250"/>
    <tableColumn id="7256" xr3:uid="{D9FDEE3D-722E-4500-9DFA-159279EC0BC6}" name="Column7251"/>
    <tableColumn id="7257" xr3:uid="{4C9EBB7A-EBD2-4866-9AD8-CB21128C7370}" name="Column7252"/>
    <tableColumn id="7258" xr3:uid="{29E6FF42-81A9-464C-AEBF-752EEA040558}" name="Column7253"/>
    <tableColumn id="7259" xr3:uid="{0461B071-0B14-44B0-BE79-EB7EB5CB712B}" name="Column7254"/>
    <tableColumn id="7260" xr3:uid="{02F75C6C-D958-40C0-B746-244FFF51A833}" name="Column7255"/>
    <tableColumn id="7261" xr3:uid="{53E33738-6AF3-4527-8B8C-9495E20F9A50}" name="Column7256"/>
    <tableColumn id="7262" xr3:uid="{C8D12381-FD7C-46C6-9C8D-46A5D80B6B9C}" name="Column7257"/>
    <tableColumn id="7263" xr3:uid="{9DC0727D-AD03-4C2E-854D-8889DFEAC610}" name="Column7258"/>
    <tableColumn id="7264" xr3:uid="{382CBED7-C2B7-4191-94C3-E5D9587D6386}" name="Column7259"/>
    <tableColumn id="7265" xr3:uid="{3B887D09-73C3-4921-B459-7D34036567AC}" name="Column7260"/>
    <tableColumn id="7266" xr3:uid="{DAF4E885-2317-4391-8256-2AF5697E4BE9}" name="Column7261"/>
    <tableColumn id="7267" xr3:uid="{082019CA-B6CC-44D8-B880-1CF9C69DF190}" name="Column7262"/>
    <tableColumn id="7268" xr3:uid="{98316AC3-3246-4E28-808F-3283624135E5}" name="Column7263"/>
    <tableColumn id="7269" xr3:uid="{ABBCBCD6-3254-4E47-B6ED-6BB2916605DC}" name="Column7264"/>
    <tableColumn id="7270" xr3:uid="{4FEBF794-780F-4623-A19D-F43EC623DC7C}" name="Column7265"/>
    <tableColumn id="7271" xr3:uid="{D850288D-EEF0-4648-894C-B28C28DD6228}" name="Column7266"/>
    <tableColumn id="7272" xr3:uid="{990FD534-75E3-47B9-ACCD-E9E0CFECF47F}" name="Column7267"/>
    <tableColumn id="7273" xr3:uid="{F37E25AA-087A-4DAF-A7A0-AD19BF8E35A0}" name="Column7268"/>
    <tableColumn id="7274" xr3:uid="{FEE6D0A4-5887-4EF1-9D9C-F7E2CFA0F155}" name="Column7269"/>
    <tableColumn id="7275" xr3:uid="{722D6467-C577-41C4-8C0F-994C19A0A00B}" name="Column7270"/>
    <tableColumn id="7276" xr3:uid="{23986B76-F60D-433B-B660-08435C77EF6A}" name="Column7271"/>
    <tableColumn id="7277" xr3:uid="{69891BB0-A5E9-401C-A7CB-B7A3B18EE518}" name="Column7272"/>
    <tableColumn id="7278" xr3:uid="{0B57B294-E0A0-4327-860B-0E0048C14C93}" name="Column7273"/>
    <tableColumn id="7279" xr3:uid="{36A6E304-F37B-4328-ADFC-4E0EE1FE9D9E}" name="Column7274"/>
    <tableColumn id="7280" xr3:uid="{35EE78B3-E35B-48C5-8FE3-682151C5F648}" name="Column7275"/>
    <tableColumn id="7281" xr3:uid="{A001803C-4479-4B70-92EF-8BF48FFCF6D9}" name="Column7276"/>
    <tableColumn id="7282" xr3:uid="{E4710EE7-E895-4CAF-89FA-16CBF444631B}" name="Column7277"/>
    <tableColumn id="7283" xr3:uid="{147F4D6B-892C-4703-8F9B-C758743D771F}" name="Column7278"/>
    <tableColumn id="7284" xr3:uid="{627CF98F-69BA-45C1-A6C4-A1C6E62B54F4}" name="Column7279"/>
    <tableColumn id="7285" xr3:uid="{C6684DF0-E682-4B00-884E-B5488217A3C7}" name="Column7280"/>
    <tableColumn id="7286" xr3:uid="{432AC1AC-ED59-4524-B744-814DFF3EA080}" name="Column7281"/>
    <tableColumn id="7287" xr3:uid="{2EA713A2-6FB5-4E13-BAE6-4F24754C9D67}" name="Column7282"/>
    <tableColumn id="7288" xr3:uid="{0F3249D9-8C9A-46C6-AB07-78BA7FCFA361}" name="Column7283"/>
    <tableColumn id="7289" xr3:uid="{15371013-0B79-4EFA-9DD1-F0CDFD28F753}" name="Column7284"/>
    <tableColumn id="7290" xr3:uid="{39182BA3-94D5-4835-B38C-E0DB9A01F120}" name="Column7285"/>
    <tableColumn id="7291" xr3:uid="{7166723B-8A6F-426D-B7DB-E3F02E859E4F}" name="Column7286"/>
    <tableColumn id="7292" xr3:uid="{326CEE65-4865-4201-9BB2-9CA828F33A19}" name="Column7287"/>
    <tableColumn id="7293" xr3:uid="{AB9586B6-5403-4AB3-A532-ACA8C52B390F}" name="Column7288"/>
    <tableColumn id="7294" xr3:uid="{0AA50447-2C64-4F93-A94A-67564817A7E2}" name="Column7289"/>
    <tableColumn id="7295" xr3:uid="{1C9C7C73-8DC1-4F76-84DA-8998684ED6A9}" name="Column7290"/>
    <tableColumn id="7296" xr3:uid="{73971D50-B841-4381-A9F6-E2AFAEE03A2F}" name="Column7291"/>
    <tableColumn id="7297" xr3:uid="{5465104D-7471-4A6C-B244-559F1BFBBCAD}" name="Column7292"/>
    <tableColumn id="7298" xr3:uid="{B755E137-F770-4A04-990A-54B0DF843C58}" name="Column7293"/>
    <tableColumn id="7299" xr3:uid="{BAE33C9F-E262-45A2-8149-A2DEF2627062}" name="Column7294"/>
    <tableColumn id="7300" xr3:uid="{A7A5CFFB-1E79-4368-A74A-A14DD68F2CF0}" name="Column7295"/>
    <tableColumn id="7301" xr3:uid="{72ABB336-A106-4EEE-87E2-5664F43D8ABF}" name="Column7296"/>
    <tableColumn id="7302" xr3:uid="{40B5E25E-FD35-4D11-AC5B-F7C3EC699FD4}" name="Column7297"/>
    <tableColumn id="7303" xr3:uid="{0151ACB1-A1C5-4D46-ABA6-2DD828941B43}" name="Column7298"/>
    <tableColumn id="7304" xr3:uid="{1356CBF7-2983-491B-AAAA-8AA4C6FCF5D7}" name="Column7299"/>
    <tableColumn id="7305" xr3:uid="{C1DCA4CC-B1E5-4039-BEA3-2D93AC2B343E}" name="Column7300"/>
    <tableColumn id="7306" xr3:uid="{2B5F97DD-16E3-47F9-A847-C86FB73631EF}" name="Column7301"/>
    <tableColumn id="7307" xr3:uid="{5960E886-5816-4A71-A7CC-6B5C25DD66E7}" name="Column7302"/>
    <tableColumn id="7308" xr3:uid="{1BE5A5AA-2D35-4A30-B25A-1704FADA2C58}" name="Column7303"/>
    <tableColumn id="7309" xr3:uid="{46FCC88E-BD4E-4DBD-A613-DA08D67A4DF1}" name="Column7304"/>
    <tableColumn id="7310" xr3:uid="{B577DA27-818F-407E-A919-C4D1DD990EF0}" name="Column7305"/>
    <tableColumn id="7311" xr3:uid="{06C187D9-2743-4511-9E8B-A0A4A2E4BDEA}" name="Column7306"/>
    <tableColumn id="7312" xr3:uid="{5CA29D3A-E222-4535-ADE6-A8D2D04629D7}" name="Column7307"/>
    <tableColumn id="7313" xr3:uid="{1BDDCEB8-D664-4F7A-87E9-2618435AB801}" name="Column7308"/>
    <tableColumn id="7314" xr3:uid="{D8B51A1D-3C46-496C-BC80-2D69A8805277}" name="Column7309"/>
    <tableColumn id="7315" xr3:uid="{0B805518-6172-43F7-AF3E-09222C8749AA}" name="Column7310"/>
    <tableColumn id="7316" xr3:uid="{BA2B3991-60F4-4D6D-A98C-5A32D657F47F}" name="Column7311"/>
    <tableColumn id="7317" xr3:uid="{6BA1379D-98C8-4697-AF57-DD1463FE5179}" name="Column7312"/>
    <tableColumn id="7318" xr3:uid="{51C16506-F1E5-4F6A-B4AB-F29EC85EC2BA}" name="Column7313"/>
    <tableColumn id="7319" xr3:uid="{0B89E071-1CF6-4577-8A3F-88A8BEE94EF7}" name="Column7314"/>
    <tableColumn id="7320" xr3:uid="{A9F1D7D0-FDA4-428B-9574-203EB49B183E}" name="Column7315"/>
    <tableColumn id="7321" xr3:uid="{A981A52F-D2E7-4F0F-8329-FCEBAAC4BEBD}" name="Column7316"/>
    <tableColumn id="7322" xr3:uid="{7E4EDC7D-DD9B-4A66-96F3-2F496DEE31DF}" name="Column7317"/>
    <tableColumn id="7323" xr3:uid="{9FCABBC0-AB25-4938-ADA7-0A101D51DC2D}" name="Column7318"/>
    <tableColumn id="7324" xr3:uid="{3699416D-448C-48C5-ADCD-EA5251F0EB35}" name="Column7319"/>
    <tableColumn id="7325" xr3:uid="{A0B7AE8F-386A-4579-B169-1016A8716F7C}" name="Column7320"/>
    <tableColumn id="7326" xr3:uid="{2D20332D-E6DE-448F-8259-28672EC89817}" name="Column7321"/>
    <tableColumn id="7327" xr3:uid="{77653E29-EE1D-4C8F-9AD9-C658168E836F}" name="Column7322"/>
    <tableColumn id="7328" xr3:uid="{B1B5C1A9-613D-43B0-BD01-1AA763F827F0}" name="Column7323"/>
    <tableColumn id="7329" xr3:uid="{BDC208E0-F63C-4052-9585-3AD25B5BDA85}" name="Column7324"/>
    <tableColumn id="7330" xr3:uid="{2E265A7B-D2D9-4A94-97BF-9CA96D9E8CB6}" name="Column7325"/>
    <tableColumn id="7331" xr3:uid="{1D797089-6523-49D7-A93E-57161D06A563}" name="Column7326"/>
    <tableColumn id="7332" xr3:uid="{59A24494-0BAB-408F-BB23-D9B49A2F1B37}" name="Column7327"/>
    <tableColumn id="7333" xr3:uid="{AB878B2B-B5A1-4D70-8861-1BDD8E16CCF0}" name="Column7328"/>
    <tableColumn id="7334" xr3:uid="{4FECF03E-1607-48CD-A54E-5A5DCD6C5642}" name="Column7329"/>
    <tableColumn id="7335" xr3:uid="{CF77E966-475C-4594-8FF3-8E86FFFE326F}" name="Column7330"/>
    <tableColumn id="7336" xr3:uid="{A4B231C0-3A1B-40F7-BD90-3580ED0F4581}" name="Column7331"/>
    <tableColumn id="7337" xr3:uid="{82F4B15D-F3B2-4F73-B309-82D64F9E162A}" name="Column7332"/>
    <tableColumn id="7338" xr3:uid="{CCE68717-152C-459F-94CF-6D99E277CE13}" name="Column7333"/>
    <tableColumn id="7339" xr3:uid="{B0A7BBFC-A6F6-480B-879E-A75089CC6888}" name="Column7334"/>
    <tableColumn id="7340" xr3:uid="{5AF54FB7-C30D-4A97-A84B-703E57C54D7A}" name="Column7335"/>
    <tableColumn id="7341" xr3:uid="{3D181926-2A53-4134-941B-1A91B91FBB32}" name="Column7336"/>
    <tableColumn id="7342" xr3:uid="{F3A70F54-616B-46F0-834F-EA953109D639}" name="Column7337"/>
    <tableColumn id="7343" xr3:uid="{AC12C654-0159-41B1-8D84-DE40EAF687DE}" name="Column7338"/>
    <tableColumn id="7344" xr3:uid="{F1BD2319-7E3D-4E97-8D0E-463B36A929D9}" name="Column7339"/>
    <tableColumn id="7345" xr3:uid="{D629BD7B-6BA0-4CC5-8B48-943D582495F9}" name="Column7340"/>
    <tableColumn id="7346" xr3:uid="{A7B8963D-4391-45D0-B0B1-48D2551FFE89}" name="Column7341"/>
    <tableColumn id="7347" xr3:uid="{F3D415A0-EF14-4848-BA25-0E722DA51F3F}" name="Column7342"/>
    <tableColumn id="7348" xr3:uid="{0A682AFE-6767-4062-8052-E64C6023E5C7}" name="Column7343"/>
    <tableColumn id="7349" xr3:uid="{9F52E24C-DF23-4E19-9CDE-42DBE0FA1CA9}" name="Column7344"/>
    <tableColumn id="7350" xr3:uid="{FC500A46-1667-42BD-8013-9B45C51B03DF}" name="Column7345"/>
    <tableColumn id="7351" xr3:uid="{2C6662A9-7CFA-473C-A7AB-AAFE30055389}" name="Column7346"/>
    <tableColumn id="7352" xr3:uid="{715835C5-DDE1-48C3-A884-B4004A337173}" name="Column7347"/>
    <tableColumn id="7353" xr3:uid="{F2087144-E64C-4B1E-B6B5-4CBB62A306F0}" name="Column7348"/>
    <tableColumn id="7354" xr3:uid="{D1807231-E104-4AC5-BF1E-886FC51CFC43}" name="Column7349"/>
    <tableColumn id="7355" xr3:uid="{A8689A55-2A85-4EA1-8DAB-806275987AC1}" name="Column7350"/>
    <tableColumn id="7356" xr3:uid="{A22BF9E6-44EB-4906-9531-507E22675337}" name="Column7351"/>
    <tableColumn id="7357" xr3:uid="{BA1E9C7D-2EEF-42F4-83F4-1D004347F171}" name="Column7352"/>
    <tableColumn id="7358" xr3:uid="{912C13C9-2036-46C9-9ACD-059290C0FBDA}" name="Column7353"/>
    <tableColumn id="7359" xr3:uid="{5D29F269-6C9F-4FB3-B7B4-E372CE87EBB1}" name="Column7354"/>
    <tableColumn id="7360" xr3:uid="{D8E0BC35-2643-4BF5-93CE-23C03DECD4D2}" name="Column7355"/>
    <tableColumn id="7361" xr3:uid="{B1BCAA9A-83A6-4009-8564-85D478098467}" name="Column7356"/>
    <tableColumn id="7362" xr3:uid="{63A0AF11-D41F-4932-A443-1A8E4037A4B0}" name="Column7357"/>
    <tableColumn id="7363" xr3:uid="{AD1E5E01-A2B6-4685-93B3-D1C3D8962B12}" name="Column7358"/>
    <tableColumn id="7364" xr3:uid="{F277D9B4-14EA-4CD6-882A-CE8C2190D9DB}" name="Column7359"/>
    <tableColumn id="7365" xr3:uid="{2BB664AD-8C7D-42A1-8F6D-8A9C3F8B4528}" name="Column7360"/>
    <tableColumn id="7366" xr3:uid="{4C1E48F6-45FC-4E4A-8D31-893DF672AA4A}" name="Column7361"/>
    <tableColumn id="7367" xr3:uid="{CB32DBDC-3306-4A1C-8046-137BA5C37278}" name="Column7362"/>
    <tableColumn id="7368" xr3:uid="{6FB33538-7B70-4DFE-8D3D-E1AA6E743991}" name="Column7363"/>
    <tableColumn id="7369" xr3:uid="{2A14B6E9-8230-4B53-B539-33C52CC1FF0A}" name="Column7364"/>
    <tableColumn id="7370" xr3:uid="{B36ACC4E-3EDC-4F07-8B2F-99161F2B14AB}" name="Column7365"/>
    <tableColumn id="7371" xr3:uid="{60433F89-05B4-4B15-8B9D-A57E1C596F8F}" name="Column7366"/>
    <tableColumn id="7372" xr3:uid="{33B25C50-CA09-40C9-9F85-D67253A6FBC7}" name="Column7367"/>
    <tableColumn id="7373" xr3:uid="{63B72068-7DB3-48CB-81F6-CDD0EDD77989}" name="Column7368"/>
    <tableColumn id="7374" xr3:uid="{FBB3F5BC-EA4D-4164-A00C-97031E27888A}" name="Column7369"/>
    <tableColumn id="7375" xr3:uid="{54C49A3A-EBD1-473C-82D1-D8AF8A999585}" name="Column7370"/>
    <tableColumn id="7376" xr3:uid="{E2F9B7DA-6472-46EB-88F3-6A4EA36AA933}" name="Column7371"/>
    <tableColumn id="7377" xr3:uid="{7FCDD21C-B6FB-4357-906A-13A05CF03D03}" name="Column7372"/>
    <tableColumn id="7378" xr3:uid="{B7FC260F-7BFC-46F0-AF83-334C6FCD1A0F}" name="Column7373"/>
    <tableColumn id="7379" xr3:uid="{036C150F-BAD0-4FC3-BA05-114853D44224}" name="Column7374"/>
    <tableColumn id="7380" xr3:uid="{1C96D6AA-1E66-44BE-8679-02CE7574963A}" name="Column7375"/>
    <tableColumn id="7381" xr3:uid="{EB99DABE-9636-474B-85C6-49E7B7D54EF1}" name="Column7376"/>
    <tableColumn id="7382" xr3:uid="{AA386B3C-4B63-4267-A182-B48A99628F5F}" name="Column7377"/>
    <tableColumn id="7383" xr3:uid="{DE341B89-6EB6-4043-B5C5-5CEAA4C7113C}" name="Column7378"/>
    <tableColumn id="7384" xr3:uid="{683E14F7-9197-4FD5-8AC6-3CA895BD9DFD}" name="Column7379"/>
    <tableColumn id="7385" xr3:uid="{8FC590E5-9E12-4230-AB28-54F166629221}" name="Column7380"/>
    <tableColumn id="7386" xr3:uid="{F5AE0FB5-A56A-4748-BEAF-3F3FE8FC7E47}" name="Column7381"/>
    <tableColumn id="7387" xr3:uid="{6E52E40B-27E5-48BE-BB55-BA08CEC2B9A5}" name="Column7382"/>
    <tableColumn id="7388" xr3:uid="{4D8652DE-FD67-40CC-A033-ED83F056E9C3}" name="Column7383"/>
    <tableColumn id="7389" xr3:uid="{D2F6E0A4-229E-4522-A7FA-07C3C27978FE}" name="Column7384"/>
    <tableColumn id="7390" xr3:uid="{F5CEED7F-13A1-4A53-8D4A-2DE319479F88}" name="Column7385"/>
    <tableColumn id="7391" xr3:uid="{42736D8C-0DD8-410C-B031-10AB71D3C3C8}" name="Column7386"/>
    <tableColumn id="7392" xr3:uid="{AA463FFF-9281-4565-96A3-A6637B823FFA}" name="Column7387"/>
    <tableColumn id="7393" xr3:uid="{3846E4E8-E661-4FA1-85C3-7C53709540A1}" name="Column7388"/>
    <tableColumn id="7394" xr3:uid="{3C396E0E-E587-4C1F-96B5-E7830515CC5B}" name="Column7389"/>
    <tableColumn id="7395" xr3:uid="{377C70B8-22C1-4A77-B92E-359405A2642D}" name="Column7390"/>
    <tableColumn id="7396" xr3:uid="{1D311737-A6F1-4174-8A1D-AC5D1DBDCC2E}" name="Column7391"/>
    <tableColumn id="7397" xr3:uid="{CF490A9A-EA84-401E-B259-BD2E3DCB983A}" name="Column7392"/>
    <tableColumn id="7398" xr3:uid="{55655336-76E3-4AC3-9B36-C503FDDE46F0}" name="Column7393"/>
    <tableColumn id="7399" xr3:uid="{07A2CD86-D53C-4815-BDB2-D4A7D80D4462}" name="Column7394"/>
    <tableColumn id="7400" xr3:uid="{6C0F6C29-15CF-4139-A860-A33DEC9D16F1}" name="Column7395"/>
    <tableColumn id="7401" xr3:uid="{E48ECE9F-B08F-4447-9034-28464DFB9241}" name="Column7396"/>
    <tableColumn id="7402" xr3:uid="{B7087F0F-08F0-4BB6-A401-C2DEC85A0910}" name="Column7397"/>
    <tableColumn id="7403" xr3:uid="{5B8870FB-D2F0-4B53-8BBB-F8A3073324C5}" name="Column7398"/>
    <tableColumn id="7404" xr3:uid="{83AC471B-7C07-4F3E-9FC4-7C7CD1E6F1CE}" name="Column7399"/>
    <tableColumn id="7405" xr3:uid="{594F0D5D-7922-4D7A-B349-1ACF0561FBCB}" name="Column7400"/>
    <tableColumn id="7406" xr3:uid="{8A791CAC-E520-4CBF-B431-971FBB168243}" name="Column7401"/>
    <tableColumn id="7407" xr3:uid="{5A69CDB6-DDA7-4663-9B3E-3B59C746481B}" name="Column7402"/>
    <tableColumn id="7408" xr3:uid="{45C7BAD8-916A-4D0C-B791-63DDE934A7EF}" name="Column7403"/>
    <tableColumn id="7409" xr3:uid="{6DD0BE15-E7CE-413D-A9FA-2E3372FF7E0B}" name="Column7404"/>
    <tableColumn id="7410" xr3:uid="{97BCD650-8AB0-4DCD-B0F7-69EC0C7FC606}" name="Column7405"/>
    <tableColumn id="7411" xr3:uid="{281F0F4E-21F3-489A-896E-9949F32D4938}" name="Column7406"/>
    <tableColumn id="7412" xr3:uid="{FCD8A74C-151A-49DD-8DBD-AF8D293AEDC5}" name="Column7407"/>
    <tableColumn id="7413" xr3:uid="{D07378A1-0AEE-436F-940E-30FCC8D840AF}" name="Column7408"/>
    <tableColumn id="7414" xr3:uid="{3806C97F-3471-4B0E-9B38-70B2C4356580}" name="Column7409"/>
    <tableColumn id="7415" xr3:uid="{75F56C87-3D04-45F3-A193-6EB2F42A1F26}" name="Column7410"/>
    <tableColumn id="7416" xr3:uid="{C1FBCA01-3B02-49B3-BD0D-20E3039A1B09}" name="Column7411"/>
    <tableColumn id="7417" xr3:uid="{07FCF65D-AFFB-452E-B012-D04D6DF3B6FA}" name="Column7412"/>
    <tableColumn id="7418" xr3:uid="{732AB7D7-43BF-4DC7-BFAE-35699A63CDBB}" name="Column7413"/>
    <tableColumn id="7419" xr3:uid="{05F930B4-4F62-4D29-9EC1-BC4A2A58532B}" name="Column7414"/>
    <tableColumn id="7420" xr3:uid="{6527AB57-3E45-41A5-A744-67823C5135AF}" name="Column7415"/>
    <tableColumn id="7421" xr3:uid="{937B31B0-DF49-440C-A61C-C92503445EDE}" name="Column7416"/>
    <tableColumn id="7422" xr3:uid="{0B14DF5E-2E4F-458E-BB40-DC2B3A15E4D9}" name="Column7417"/>
    <tableColumn id="7423" xr3:uid="{C9906815-912D-48B1-8AFA-CC15A838BC46}" name="Column7418"/>
    <tableColumn id="7424" xr3:uid="{7E26FC40-7558-4BAE-9BFA-8147669F8583}" name="Column7419"/>
    <tableColumn id="7425" xr3:uid="{3CA0FDDB-5396-42A9-89CC-20DF9F69F97D}" name="Column7420"/>
    <tableColumn id="7426" xr3:uid="{84E09195-C2BA-4DE9-895F-19D28930C48F}" name="Column7421"/>
    <tableColumn id="7427" xr3:uid="{EED185E7-5FB7-4DC7-A6CE-26733F2AB561}" name="Column7422"/>
    <tableColumn id="7428" xr3:uid="{A3D32DDC-F7C0-4E61-9E82-1038FE0A38EA}" name="Column7423"/>
    <tableColumn id="7429" xr3:uid="{0EF0FA9A-B9BC-4C3A-AE87-0B4C5B699AC1}" name="Column7424"/>
    <tableColumn id="7430" xr3:uid="{115A2B08-9669-46A7-BD7A-A978B6B6AEC9}" name="Column7425"/>
    <tableColumn id="7431" xr3:uid="{8D3BDC3F-162A-4C0D-BC81-771C2B6D7E37}" name="Column7426"/>
    <tableColumn id="7432" xr3:uid="{0CFC6E98-842F-4673-8BDC-5D86C992AD3F}" name="Column7427"/>
    <tableColumn id="7433" xr3:uid="{922F6E3A-97CD-4B5F-9EDB-95523959BADC}" name="Column7428"/>
    <tableColumn id="7434" xr3:uid="{26CFDE51-FEA3-4722-82AB-CD31B2AB3909}" name="Column7429"/>
    <tableColumn id="7435" xr3:uid="{357C274F-462A-44EC-A8F9-6D8A61A223D9}" name="Column7430"/>
    <tableColumn id="7436" xr3:uid="{517D28A5-342A-42D1-9689-5FED478450E9}" name="Column7431"/>
    <tableColumn id="7437" xr3:uid="{6C39EB71-88A8-4F4B-82EA-C6405F17BDDC}" name="Column7432"/>
    <tableColumn id="7438" xr3:uid="{8625500D-55C8-4D10-85E1-5F5A9C5FBC23}" name="Column7433"/>
    <tableColumn id="7439" xr3:uid="{879128A3-248C-464B-B10D-1B3AA690D7AC}" name="Column7434"/>
    <tableColumn id="7440" xr3:uid="{CCEEDBBE-4762-40B3-A7AC-3F76E5D9B1A4}" name="Column7435"/>
    <tableColumn id="7441" xr3:uid="{36F2F6B4-C785-479B-8DEC-28B5D900BF23}" name="Column7436"/>
    <tableColumn id="7442" xr3:uid="{64CA96BF-FB87-4C21-8356-4DF0458E9AD5}" name="Column7437"/>
    <tableColumn id="7443" xr3:uid="{4D7DBAB2-867B-4C01-B39A-4C250E8DCB08}" name="Column7438"/>
    <tableColumn id="7444" xr3:uid="{3D9CF5CC-8A28-40F5-B519-46135A6F5D19}" name="Column7439"/>
    <tableColumn id="7445" xr3:uid="{3B017AA5-5436-43A6-A71F-2CD0A2741A8A}" name="Column7440"/>
    <tableColumn id="7446" xr3:uid="{C46D4D36-6AFD-4BB7-9881-D037C044AC4B}" name="Column7441"/>
    <tableColumn id="7447" xr3:uid="{94FCC582-3990-4322-83DB-A795C6CB31EE}" name="Column7442"/>
    <tableColumn id="7448" xr3:uid="{F0A2590E-A345-4417-9BD7-4DD591A67EA4}" name="Column7443"/>
    <tableColumn id="7449" xr3:uid="{681D6806-3935-49D0-B157-5AB946019186}" name="Column7444"/>
    <tableColumn id="7450" xr3:uid="{66912D93-E922-4B3B-A01B-C4A126BD6E3E}" name="Column7445"/>
    <tableColumn id="7451" xr3:uid="{57BA1AC8-F550-4934-A70E-6D698F82A3D2}" name="Column7446"/>
    <tableColumn id="7452" xr3:uid="{A2879328-55D4-431C-BFBB-B786985521E2}" name="Column7447"/>
    <tableColumn id="7453" xr3:uid="{F49670A5-C8F0-4673-8668-E0DAEA944AD9}" name="Column7448"/>
    <tableColumn id="7454" xr3:uid="{9B6A46D1-63C4-48CF-B033-1CD330ABC7CB}" name="Column7449"/>
    <tableColumn id="7455" xr3:uid="{E90038C5-CD5B-4CAB-A0FD-66AF762B33E1}" name="Column7450"/>
    <tableColumn id="7456" xr3:uid="{8065E6FB-AAB8-4ABD-B010-208DAE53DBDB}" name="Column7451"/>
    <tableColumn id="7457" xr3:uid="{B1C006BD-4B06-4AF7-9772-7804BF6BF4EE}" name="Column7452"/>
    <tableColumn id="7458" xr3:uid="{0C759101-126C-4A07-968D-9CF1E25D2AF5}" name="Column7453"/>
    <tableColumn id="7459" xr3:uid="{2773C1C4-C37B-43E7-A04A-594B927658E6}" name="Column7454"/>
    <tableColumn id="7460" xr3:uid="{15B62CFD-471E-4FBA-80C0-4A987239FE98}" name="Column7455"/>
    <tableColumn id="7461" xr3:uid="{3D92B410-A60F-4235-987F-AACB98AA94BE}" name="Column7456"/>
    <tableColumn id="7462" xr3:uid="{F90BDDAA-EA51-49A2-9F1F-8AEF06311FD2}" name="Column7457"/>
    <tableColumn id="7463" xr3:uid="{6DE91DDA-722C-4C16-9C18-A847F5515008}" name="Column7458"/>
    <tableColumn id="7464" xr3:uid="{EC9B31E7-3B75-4CE9-B00F-8D50642F2442}" name="Column7459"/>
    <tableColumn id="7465" xr3:uid="{B58A32B0-1B4D-45EE-A091-184656CB1D7A}" name="Column7460"/>
    <tableColumn id="7466" xr3:uid="{385557AE-A31A-4B9C-A7CF-9FCC948F88F5}" name="Column7461"/>
    <tableColumn id="7467" xr3:uid="{43860B21-D946-4EDC-A7E1-81AF08B2C68D}" name="Column7462"/>
    <tableColumn id="7468" xr3:uid="{3CD34CFE-CA79-4EAE-BA26-30FC58DD3ADA}" name="Column7463"/>
    <tableColumn id="7469" xr3:uid="{F0346C12-FAE7-4157-AB9A-E993E77E6E1E}" name="Column7464"/>
    <tableColumn id="7470" xr3:uid="{A7AAC9FC-F4CF-42C2-9784-7FE57757D522}" name="Column7465"/>
    <tableColumn id="7471" xr3:uid="{52934D7B-279C-4E83-B67C-414F20B0BEC8}" name="Column7466"/>
    <tableColumn id="7472" xr3:uid="{F865BC53-D91D-42C6-BAEC-4AB5BB75D365}" name="Column7467"/>
    <tableColumn id="7473" xr3:uid="{E7F59167-A87E-41FC-9759-6D76D7CF859A}" name="Column7468"/>
    <tableColumn id="7474" xr3:uid="{2A683F77-9B38-4CDB-BED4-762CA60EBFEA}" name="Column7469"/>
    <tableColumn id="7475" xr3:uid="{75ECA629-1D1A-4B92-A2B2-F111D5A74145}" name="Column7470"/>
    <tableColumn id="7476" xr3:uid="{349BB202-64CA-4791-A072-FA94BC313BC9}" name="Column7471"/>
    <tableColumn id="7477" xr3:uid="{684AB4BF-91FD-4FA8-8500-B4EC456158A1}" name="Column7472"/>
    <tableColumn id="7478" xr3:uid="{B2C5D5A4-155C-4303-A8FC-D82DEADA9EB2}" name="Column7473"/>
    <tableColumn id="7479" xr3:uid="{788E7490-5112-4C06-9FA4-34428FF7D8E5}" name="Column7474"/>
    <tableColumn id="7480" xr3:uid="{9E7B4D92-D02A-4FE6-8382-C096965C5986}" name="Column7475"/>
    <tableColumn id="7481" xr3:uid="{4941200F-3EE6-4F0E-80D0-6794F1A15D72}" name="Column7476"/>
    <tableColumn id="7482" xr3:uid="{A6708878-EA85-4F4D-AC13-93D0A83A9634}" name="Column7477"/>
    <tableColumn id="7483" xr3:uid="{BDF82961-FE8F-4D4D-A3F7-48FDD1E643AB}" name="Column7478"/>
    <tableColumn id="7484" xr3:uid="{66792BCA-2DDA-4686-AFD1-07122569B5DE}" name="Column7479"/>
    <tableColumn id="7485" xr3:uid="{4A92CA31-533B-4476-B360-85C259BEA8D3}" name="Column7480"/>
    <tableColumn id="7486" xr3:uid="{6141B4F7-1211-41BB-8BAD-B56CF3A6CB35}" name="Column7481"/>
    <tableColumn id="7487" xr3:uid="{0FB58B7C-E9AD-4993-8E87-9E36067FFBD1}" name="Column7482"/>
    <tableColumn id="7488" xr3:uid="{C18046C8-8BB1-4E77-B969-F328F632E416}" name="Column7483"/>
    <tableColumn id="7489" xr3:uid="{784628A1-62EE-4FB6-BB9C-30E3040D9D99}" name="Column7484"/>
    <tableColumn id="7490" xr3:uid="{C49B0B27-8FFA-43B2-8A12-1B1116898499}" name="Column7485"/>
    <tableColumn id="7491" xr3:uid="{B5B2C482-0D9C-4355-9232-160DB236B58F}" name="Column7486"/>
    <tableColumn id="7492" xr3:uid="{C74BB0CD-774A-48BA-9F7F-280A6E4A0878}" name="Column7487"/>
    <tableColumn id="7493" xr3:uid="{255CA377-2C30-4A85-8232-8076AA3D1C5D}" name="Column7488"/>
    <tableColumn id="7494" xr3:uid="{40546AF5-51C5-49B0-83AD-92B60A4033F3}" name="Column7489"/>
    <tableColumn id="7495" xr3:uid="{4CDE86B6-9A0F-4F7E-A07E-2814A4FB2C34}" name="Column7490"/>
    <tableColumn id="7496" xr3:uid="{62E85FBF-5BFF-4824-A099-C630CE919F38}" name="Column7491"/>
    <tableColumn id="7497" xr3:uid="{13774B2C-4F99-4957-8331-F68765FC3823}" name="Column7492"/>
    <tableColumn id="7498" xr3:uid="{97F0FAA5-A7F6-4386-A425-1A6E39812117}" name="Column7493"/>
    <tableColumn id="7499" xr3:uid="{96F97E92-C65C-42E6-9611-8DDF0395C718}" name="Column7494"/>
    <tableColumn id="7500" xr3:uid="{7C7DA0CF-9C6B-48CA-BD7F-9CA6F8B45581}" name="Column7495"/>
    <tableColumn id="7501" xr3:uid="{B3A1F94C-0BA7-41B8-BFC2-4A20CACB5CB3}" name="Column7496"/>
    <tableColumn id="7502" xr3:uid="{99889251-7F88-4F95-9176-6140CBB3A67B}" name="Column7497"/>
    <tableColumn id="7503" xr3:uid="{811F7ED6-C13F-4A13-9600-8B296253137B}" name="Column7498"/>
    <tableColumn id="7504" xr3:uid="{9DEEF7F8-0648-40F6-88E9-47320CBA2719}" name="Column7499"/>
    <tableColumn id="7505" xr3:uid="{ABD46918-CF62-4512-9A80-192D7329F317}" name="Column7500"/>
    <tableColumn id="7506" xr3:uid="{319BAEE1-3D5B-403B-8C00-5BF8EB7EB2BA}" name="Column7501"/>
    <tableColumn id="7507" xr3:uid="{8B6E38C6-34FF-4194-918E-1BCBC140C6F6}" name="Column7502"/>
    <tableColumn id="7508" xr3:uid="{38CC981A-865F-4D09-B72B-45EA29EEF9E5}" name="Column7503"/>
    <tableColumn id="7509" xr3:uid="{D1B14C63-5F0E-41AA-A03C-518BC6F4DBE1}" name="Column7504"/>
    <tableColumn id="7510" xr3:uid="{40487FC4-A94C-4F6C-9B1D-94C1627F09BE}" name="Column7505"/>
    <tableColumn id="7511" xr3:uid="{F291F2B5-2BEA-47E1-A282-5FDB30EE5AC9}" name="Column7506"/>
    <tableColumn id="7512" xr3:uid="{5396A753-B0AD-4E19-862D-DC06B5A1418F}" name="Column7507"/>
    <tableColumn id="7513" xr3:uid="{0A56FD49-ABDF-45A1-9DFB-B3AE3F89CC1D}" name="Column7508"/>
    <tableColumn id="7514" xr3:uid="{4CA1CA8C-90C8-4D59-B7D8-D64264AEE6E0}" name="Column7509"/>
    <tableColumn id="7515" xr3:uid="{A1CA2CBA-614F-4DD6-9195-3CBBD6FB4F2D}" name="Column7510"/>
    <tableColumn id="7516" xr3:uid="{A88D387B-74FB-48C1-8EB0-801E80384FDA}" name="Column7511"/>
    <tableColumn id="7517" xr3:uid="{A8671972-7AC3-49A3-8EB2-4C1D53025BC6}" name="Column7512"/>
    <tableColumn id="7518" xr3:uid="{71D6A01F-3CC1-4234-A35D-E955F26B81FD}" name="Column7513"/>
    <tableColumn id="7519" xr3:uid="{A38B32E7-39B1-4811-A76C-A2DF083AD1E6}" name="Column7514"/>
    <tableColumn id="7520" xr3:uid="{586CA731-07B5-4AB0-BC62-CF5BF8341F80}" name="Column7515"/>
    <tableColumn id="7521" xr3:uid="{52CA424D-B3FF-4D67-9AC8-8D44EC3B3AE2}" name="Column7516"/>
    <tableColumn id="7522" xr3:uid="{C47D06A7-073D-4E7B-A95B-B8FF7E572BEE}" name="Column7517"/>
    <tableColumn id="7523" xr3:uid="{5F387A39-A271-4076-9094-FA7C42B79DBD}" name="Column7518"/>
    <tableColumn id="7524" xr3:uid="{2AC11FE0-3ADE-44D1-BFAC-C0BB47933920}" name="Column7519"/>
    <tableColumn id="7525" xr3:uid="{5368B356-23B8-452D-89C8-1A1C51150E92}" name="Column7520"/>
    <tableColumn id="7526" xr3:uid="{1A9D8800-FBFC-4A30-BB3D-1E782428186E}" name="Column7521"/>
    <tableColumn id="7527" xr3:uid="{74A12DDB-1DD2-4500-A152-76A91465E470}" name="Column7522"/>
    <tableColumn id="7528" xr3:uid="{1BACDE7E-8329-4BEC-A466-14BBD4C865FF}" name="Column7523"/>
    <tableColumn id="7529" xr3:uid="{287F14C6-F257-41DB-A081-DEE6D091405E}" name="Column7524"/>
    <tableColumn id="7530" xr3:uid="{2D3C0389-4A4B-4830-96B1-0062C6D7564B}" name="Column7525"/>
    <tableColumn id="7531" xr3:uid="{1453F1F4-4C0B-49B9-AA74-5F2ED9A78B89}" name="Column7526"/>
    <tableColumn id="7532" xr3:uid="{5426C448-FF10-4E8C-84E5-D8F1920EF0FD}" name="Column7527"/>
    <tableColumn id="7533" xr3:uid="{D42BEB88-A36A-47EA-AA21-46DE93AF0F70}" name="Column7528"/>
    <tableColumn id="7534" xr3:uid="{0F70C1ED-E39C-4FF9-8437-41E466D389F8}" name="Column7529"/>
    <tableColumn id="7535" xr3:uid="{A9F6FA87-E8B9-484D-AA93-1C51F5E448FC}" name="Column7530"/>
    <tableColumn id="7536" xr3:uid="{D79B2A7F-ED60-4BAE-9D70-B446C3AED0ED}" name="Column7531"/>
    <tableColumn id="7537" xr3:uid="{C94D7F50-8B3B-4B1E-86B2-C6D7E8116BD6}" name="Column7532"/>
    <tableColumn id="7538" xr3:uid="{354446CB-0F97-495E-ABF6-373F448D15D8}" name="Column7533"/>
    <tableColumn id="7539" xr3:uid="{FF4C8E83-A8BC-43F5-BADF-5A6FFF84214F}" name="Column7534"/>
    <tableColumn id="7540" xr3:uid="{93E2977F-15C7-40A5-8EED-6EC792AE5486}" name="Column7535"/>
    <tableColumn id="7541" xr3:uid="{B7B7D1B0-5473-48F9-80F4-55F6EAB4C53A}" name="Column7536"/>
    <tableColumn id="7542" xr3:uid="{197D2F73-D545-4B5B-B699-E308DFA98FE2}" name="Column7537"/>
    <tableColumn id="7543" xr3:uid="{B0B1CB67-B559-46AA-9F70-67AEEDE3102E}" name="Column7538"/>
    <tableColumn id="7544" xr3:uid="{67EF87DD-1233-4717-BFBD-94E96B2BB13C}" name="Column7539"/>
    <tableColumn id="7545" xr3:uid="{1C110F47-8CF6-4D0C-A1D8-5347F7BA9A4E}" name="Column7540"/>
    <tableColumn id="7546" xr3:uid="{62BD7858-3CB2-478D-BF0A-B1854D0C2C0D}" name="Column7541"/>
    <tableColumn id="7547" xr3:uid="{CD03725E-BC68-4ABF-B6E4-C3FFE8F3F28B}" name="Column7542"/>
    <tableColumn id="7548" xr3:uid="{8408145E-6AA6-4A18-96D7-F71495A5305C}" name="Column7543"/>
    <tableColumn id="7549" xr3:uid="{51EDD07B-81EC-4874-9DDD-BBCA80A96D9F}" name="Column7544"/>
    <tableColumn id="7550" xr3:uid="{2AAB3336-7B9B-4C57-AA23-E07C6A939283}" name="Column7545"/>
    <tableColumn id="7551" xr3:uid="{513D8188-36E0-4E13-9A04-544CFFE155CB}" name="Column7546"/>
    <tableColumn id="7552" xr3:uid="{C6E84513-FF8D-42A7-B04A-F2D06B78B95A}" name="Column7547"/>
    <tableColumn id="7553" xr3:uid="{DBA6FF86-B289-49DB-BFCF-F1507889BCA8}" name="Column7548"/>
    <tableColumn id="7554" xr3:uid="{2C80F4EA-6A86-40AC-9A45-007CD49DE997}" name="Column7549"/>
    <tableColumn id="7555" xr3:uid="{00F6E3C1-27F3-4435-956C-B9DA2DF8F753}" name="Column7550"/>
    <tableColumn id="7556" xr3:uid="{B490099F-3D3F-4A86-8E34-4E27B747927F}" name="Column7551"/>
    <tableColumn id="7557" xr3:uid="{48D9510B-E07A-4C25-A747-F9B03B46618F}" name="Column7552"/>
    <tableColumn id="7558" xr3:uid="{A8EA7033-8A7E-4399-8788-3470E5EDEC01}" name="Column7553"/>
    <tableColumn id="7559" xr3:uid="{262C9FDE-7022-4EE5-9B0A-97A4A4DF28E5}" name="Column7554"/>
    <tableColumn id="7560" xr3:uid="{E296F002-AF2E-4CD8-8DBC-A07B3D20CCBB}" name="Column7555"/>
    <tableColumn id="7561" xr3:uid="{A054E5CF-530C-4BEE-AE67-BF157FAB9FE7}" name="Column7556"/>
    <tableColumn id="7562" xr3:uid="{CC1F26AE-A3FC-4B77-84B3-43CF3CE712F1}" name="Column7557"/>
    <tableColumn id="7563" xr3:uid="{12CB9A4E-ECDA-48FA-97C3-1CC6A49EBF84}" name="Column7558"/>
    <tableColumn id="7564" xr3:uid="{CB474162-A740-4EBA-A6C4-6E6E7697C36B}" name="Column7559"/>
    <tableColumn id="7565" xr3:uid="{E5215BC1-1552-4CE1-A2FE-2D57085F38B0}" name="Column7560"/>
    <tableColumn id="7566" xr3:uid="{53664199-1A64-41F7-8469-3538FF5DA422}" name="Column7561"/>
    <tableColumn id="7567" xr3:uid="{246B0639-699F-4ECC-9DF7-F745D2839515}" name="Column7562"/>
    <tableColumn id="7568" xr3:uid="{711054F7-7AE4-4A29-AFFC-9581D86A05BA}" name="Column7563"/>
    <tableColumn id="7569" xr3:uid="{13F6680C-F073-4B71-B31C-D49FF6D48B4E}" name="Column7564"/>
    <tableColumn id="7570" xr3:uid="{EEA88E40-1E98-47F6-B505-3AAC8E751194}" name="Column7565"/>
    <tableColumn id="7571" xr3:uid="{3396A1E6-825B-4CF7-BD60-331C19E9ED1D}" name="Column7566"/>
    <tableColumn id="7572" xr3:uid="{6CF543E2-CFE5-4FBB-A996-A25F8C89C25A}" name="Column7567"/>
    <tableColumn id="7573" xr3:uid="{A49864F6-152E-4365-AABF-4BC5D255D8DB}" name="Column7568"/>
    <tableColumn id="7574" xr3:uid="{5A9B6E75-4A0F-4DE8-9B1A-A438720A3660}" name="Column7569"/>
    <tableColumn id="7575" xr3:uid="{CFA67829-2BB1-4D65-A409-5EFF055B1318}" name="Column7570"/>
    <tableColumn id="7576" xr3:uid="{3603F2B1-E58C-4862-82D2-4913A34F6AB4}" name="Column7571"/>
    <tableColumn id="7577" xr3:uid="{A9DEB99E-8846-4B93-BC82-9FAD8F39B1E1}" name="Column7572"/>
    <tableColumn id="7578" xr3:uid="{4A10F2EE-CA24-4959-9DEF-BB7350A683D3}" name="Column7573"/>
    <tableColumn id="7579" xr3:uid="{79AC2306-D239-4CFC-A249-581E46539B0E}" name="Column7574"/>
    <tableColumn id="7580" xr3:uid="{19E1E053-EC0A-43E7-898D-0BD06DFAD0D3}" name="Column7575"/>
    <tableColumn id="7581" xr3:uid="{0299AA05-B698-43D0-B0C3-5E54A502163C}" name="Column7576"/>
    <tableColumn id="7582" xr3:uid="{5E4C8E6B-6D08-4BC9-85FA-A27AAB397507}" name="Column7577"/>
    <tableColumn id="7583" xr3:uid="{09501792-CC0A-4794-8C9D-3F76347D49C0}" name="Column7578"/>
    <tableColumn id="7584" xr3:uid="{AB9084A7-2F2B-4627-9B9A-3F70134868D4}" name="Column7579"/>
    <tableColumn id="7585" xr3:uid="{D08DA9EC-94A6-4CB2-A0C9-8C0A8987B8ED}" name="Column7580"/>
    <tableColumn id="7586" xr3:uid="{B9436763-E067-4DBB-BE4E-9C068E42EF76}" name="Column7581"/>
    <tableColumn id="7587" xr3:uid="{DCE4AFE9-7DA1-4E83-B42B-29514397E79E}" name="Column7582"/>
    <tableColumn id="7588" xr3:uid="{E04B214E-F4F7-4C67-B436-37DBC8F661C0}" name="Column7583"/>
    <tableColumn id="7589" xr3:uid="{C06E32FF-D03D-4038-8D34-8C4E6FE8005D}" name="Column7584"/>
    <tableColumn id="7590" xr3:uid="{5E293046-3C69-485B-AC5C-3124128E46E9}" name="Column7585"/>
    <tableColumn id="7591" xr3:uid="{8C348C85-6877-4300-BD77-58858D7F0C17}" name="Column7586"/>
    <tableColumn id="7592" xr3:uid="{FEB2C2E5-1722-4A43-9FFF-86CAECCCDB4D}" name="Column7587"/>
    <tableColumn id="7593" xr3:uid="{10F6A63D-331A-4971-915A-3A8BF2BCD6A2}" name="Column7588"/>
    <tableColumn id="7594" xr3:uid="{3884F53D-1059-4188-ACE2-9E3E28E64D73}" name="Column7589"/>
    <tableColumn id="7595" xr3:uid="{C5D627FB-ADCE-4445-B4D6-49BD64798653}" name="Column7590"/>
    <tableColumn id="7596" xr3:uid="{403A006A-E3DA-4C27-B391-7EF9F1289031}" name="Column7591"/>
    <tableColumn id="7597" xr3:uid="{855A5384-D8F5-434A-9FC7-1E84D7144767}" name="Column7592"/>
    <tableColumn id="7598" xr3:uid="{76D369C4-33DE-4D24-AAEF-4AC3E98A5B56}" name="Column7593"/>
    <tableColumn id="7599" xr3:uid="{8F63E6F8-951B-4885-841B-A3EC5D284486}" name="Column7594"/>
    <tableColumn id="7600" xr3:uid="{66C965E0-DF40-45BE-832A-993C31BAB7D0}" name="Column7595"/>
    <tableColumn id="7601" xr3:uid="{EA105503-F91B-4B63-A2F7-1775FD2C80F4}" name="Column7596"/>
    <tableColumn id="7602" xr3:uid="{80DD53C5-71A8-4E6D-A878-0382EFE5F98C}" name="Column7597"/>
    <tableColumn id="7603" xr3:uid="{E377CB29-9310-4943-8FEC-34278458F93D}" name="Column7598"/>
    <tableColumn id="7604" xr3:uid="{F072D692-258E-4DA4-920C-9FB64BFB9ED7}" name="Column7599"/>
    <tableColumn id="7605" xr3:uid="{2B970B90-9446-4A28-A583-0DA4A6A5C469}" name="Column7600"/>
    <tableColumn id="7606" xr3:uid="{D302B36A-0D68-47E3-9773-47142A918166}" name="Column7601"/>
    <tableColumn id="7607" xr3:uid="{A8153EF5-1AC0-4A63-B11A-C871FBC1C462}" name="Column7602"/>
    <tableColumn id="7608" xr3:uid="{C2A58CFF-A426-46B0-BA24-37839F29186D}" name="Column7603"/>
    <tableColumn id="7609" xr3:uid="{E122F5EC-6652-4B11-AB75-46E7CB14715E}" name="Column7604"/>
    <tableColumn id="7610" xr3:uid="{1D91701A-D1F3-489E-AE1B-10D924A17D89}" name="Column7605"/>
    <tableColumn id="7611" xr3:uid="{D0C6FE3E-4A20-4A9A-80E2-AABE6A40F1B2}" name="Column7606"/>
    <tableColumn id="7612" xr3:uid="{1166BB0B-DE32-4BD0-AFEC-5B89C73F9EC4}" name="Column7607"/>
    <tableColumn id="7613" xr3:uid="{28608C2A-80A6-44FC-915F-33715E31DB90}" name="Column7608"/>
    <tableColumn id="7614" xr3:uid="{EB9E1AFD-B100-4EA0-8A95-E0BEC9D27BCC}" name="Column7609"/>
    <tableColumn id="7615" xr3:uid="{066ED652-0979-4C4C-95CF-F0D5F2E6DAAB}" name="Column7610"/>
    <tableColumn id="7616" xr3:uid="{B68946E4-5323-4E64-8272-EA9746BA1690}" name="Column7611"/>
    <tableColumn id="7617" xr3:uid="{A7836703-1384-4E5F-A50E-9DF94453E13A}" name="Column7612"/>
    <tableColumn id="7618" xr3:uid="{350EAD28-3751-439E-BE77-E24A51EB332E}" name="Column7613"/>
    <tableColumn id="7619" xr3:uid="{B5250925-66D9-45BF-832C-1267907EF4A0}" name="Column7614"/>
    <tableColumn id="7620" xr3:uid="{F5163CEC-4999-479D-BD32-74D0E1D92779}" name="Column7615"/>
    <tableColumn id="7621" xr3:uid="{489F9FA0-16BA-4A7C-B362-84D864546411}" name="Column7616"/>
    <tableColumn id="7622" xr3:uid="{B9A88C4C-E58C-49A6-9CE8-5E3BA20987AC}" name="Column7617"/>
    <tableColumn id="7623" xr3:uid="{F81348FE-189B-40D6-A95D-9C92CB689581}" name="Column7618"/>
    <tableColumn id="7624" xr3:uid="{64806F5E-2AF6-4C95-AB86-4C7E5E2EA9E8}" name="Column7619"/>
    <tableColumn id="7625" xr3:uid="{88E96EA1-EC14-49E0-BE11-2A83AD6046E6}" name="Column7620"/>
    <tableColumn id="7626" xr3:uid="{A36CBE0D-01AC-4DF5-9047-7EA6521ABF4C}" name="Column7621"/>
    <tableColumn id="7627" xr3:uid="{AE03F94F-E02D-499F-AF2F-E07AB6EF8108}" name="Column7622"/>
    <tableColumn id="7628" xr3:uid="{EE0E06FC-85CB-4D6D-BED7-510C128D2292}" name="Column7623"/>
    <tableColumn id="7629" xr3:uid="{5145D8C7-9B1A-42EA-A754-C465BD1DE024}" name="Column7624"/>
    <tableColumn id="7630" xr3:uid="{54975AA0-59FD-42CC-BD11-07A40C0AD405}" name="Column7625"/>
    <tableColumn id="7631" xr3:uid="{FEBAB910-AE25-4707-8EA8-4E1B51271848}" name="Column7626"/>
    <tableColumn id="7632" xr3:uid="{0B1197D6-26CF-453F-8CC1-8E711B5C6D3F}" name="Column7627"/>
    <tableColumn id="7633" xr3:uid="{04D4CC7F-26C2-4214-B8BA-F65A96518253}" name="Column7628"/>
    <tableColumn id="7634" xr3:uid="{4D482F45-403C-41C6-A3BD-2489FECF7AD8}" name="Column7629"/>
    <tableColumn id="7635" xr3:uid="{CBB34463-C4D4-42F0-A6ED-4808EBF5374B}" name="Column7630"/>
    <tableColumn id="7636" xr3:uid="{3849D32B-4A52-4D8B-939E-F3F72092718A}" name="Column7631"/>
    <tableColumn id="7637" xr3:uid="{1507434F-B2EA-4A2E-BC85-492B28B763CB}" name="Column7632"/>
    <tableColumn id="7638" xr3:uid="{588EBE32-3C80-443A-8491-A269C3166752}" name="Column7633"/>
    <tableColumn id="7639" xr3:uid="{A3C46447-9121-4569-81F5-770DC3CF46E4}" name="Column7634"/>
    <tableColumn id="7640" xr3:uid="{E7FA5ECA-9D52-42DE-97E2-C84722CA688B}" name="Column7635"/>
    <tableColumn id="7641" xr3:uid="{D8DAEE86-6C2F-4400-BBCD-50B1B366E569}" name="Column7636"/>
    <tableColumn id="7642" xr3:uid="{74D7A6DA-546E-4371-AB69-FC1D0367C5F1}" name="Column7637"/>
    <tableColumn id="7643" xr3:uid="{1897AB4A-EAAE-488F-918C-3C6DB7FFBD34}" name="Column7638"/>
    <tableColumn id="7644" xr3:uid="{66BAAE56-9B75-43D1-B752-5E7AE4E497DF}" name="Column7639"/>
    <tableColumn id="7645" xr3:uid="{4E335AF3-7E11-4673-B1B9-CD3A27C637D7}" name="Column7640"/>
    <tableColumn id="7646" xr3:uid="{0F14813B-F852-4551-B353-464BE7496169}" name="Column7641"/>
    <tableColumn id="7647" xr3:uid="{6D141FBA-A88E-4652-9D6F-92F48F7F7E17}" name="Column7642"/>
    <tableColumn id="7648" xr3:uid="{36378032-BECE-4EEC-A4B4-DF2357C6369B}" name="Column7643"/>
    <tableColumn id="7649" xr3:uid="{B4DC2AB6-B169-4D3C-B751-CCC7FCE4BB8A}" name="Column7644"/>
    <tableColumn id="7650" xr3:uid="{79283C87-1DF6-4006-B8DE-78FA3A77DF4B}" name="Column7645"/>
    <tableColumn id="7651" xr3:uid="{57F8F7EC-0B82-4D3B-B22D-DB1A68863FEC}" name="Column7646"/>
    <tableColumn id="7652" xr3:uid="{9D1E68F1-DFA8-43BE-8A04-BF1E15366622}" name="Column7647"/>
    <tableColumn id="7653" xr3:uid="{A1C6FC3A-B575-4620-AAE1-84C2CD5DA62B}" name="Column7648"/>
    <tableColumn id="7654" xr3:uid="{A93FB5C9-F1E7-48C2-9D5A-EC1B2F2E5786}" name="Column7649"/>
    <tableColumn id="7655" xr3:uid="{516912B7-9545-47D5-976E-7B34B55A648A}" name="Column7650"/>
    <tableColumn id="7656" xr3:uid="{FBA86324-A508-4284-9B9A-B0221AE7E9BA}" name="Column7651"/>
    <tableColumn id="7657" xr3:uid="{24DB5C79-F84B-4E62-B392-03E6CB9291E0}" name="Column7652"/>
    <tableColumn id="7658" xr3:uid="{736D019A-2D69-4240-A694-5BD88B051F72}" name="Column7653"/>
    <tableColumn id="7659" xr3:uid="{A0E1FC5B-89F5-4C7F-A923-847F148F037E}" name="Column7654"/>
    <tableColumn id="7660" xr3:uid="{43C42063-AAF4-4A31-9ED8-3337FF308FBB}" name="Column7655"/>
    <tableColumn id="7661" xr3:uid="{5F245B0E-8FF7-457D-86A2-7E43C2F487AE}" name="Column7656"/>
    <tableColumn id="7662" xr3:uid="{52E58DF8-DA25-4983-A761-A3309A0E1382}" name="Column7657"/>
    <tableColumn id="7663" xr3:uid="{7959ABAF-CFA0-4AEA-A8E2-68AB9C21C657}" name="Column7658"/>
    <tableColumn id="7664" xr3:uid="{C66DA68A-BE0B-43A1-8DEF-01D228CCFA45}" name="Column7659"/>
    <tableColumn id="7665" xr3:uid="{E5341D9E-9502-4643-8462-469F6488C09E}" name="Column7660"/>
    <tableColumn id="7666" xr3:uid="{ECDDE4EF-5B1C-4C91-AC0C-398A69944ABC}" name="Column7661"/>
    <tableColumn id="7667" xr3:uid="{0B04EA2C-11F0-4D44-9BB0-32C45D0FC657}" name="Column7662"/>
    <tableColumn id="7668" xr3:uid="{17466128-FC88-4610-9288-35359BCD07D9}" name="Column7663"/>
    <tableColumn id="7669" xr3:uid="{12B6EF58-4177-4A28-ACEA-8AAC210AEA7F}" name="Column7664"/>
    <tableColumn id="7670" xr3:uid="{E03834AF-FF18-4B2F-A253-AAC8C9513686}" name="Column7665"/>
    <tableColumn id="7671" xr3:uid="{E5973603-5950-492D-8430-3D91BFCBCA04}" name="Column7666"/>
    <tableColumn id="7672" xr3:uid="{5806F8D5-DF5A-4406-A0D1-2ACFFDF62E92}" name="Column7667"/>
    <tableColumn id="7673" xr3:uid="{0CC3D0D6-508C-4B01-82DB-C15D814B904F}" name="Column7668"/>
    <tableColumn id="7674" xr3:uid="{92F9D389-C628-45FB-BBE9-7E43FAAF3DC7}" name="Column7669"/>
    <tableColumn id="7675" xr3:uid="{6DE1448B-FA47-45F1-96EB-5DAAB8195261}" name="Column7670"/>
    <tableColumn id="7676" xr3:uid="{7F8565C5-281C-43B4-B38A-6E5AB7459452}" name="Column7671"/>
    <tableColumn id="7677" xr3:uid="{5F646474-40E0-4B11-BAB0-D65959D68D3A}" name="Column7672"/>
    <tableColumn id="7678" xr3:uid="{C6536E61-C24C-452A-AF7C-EBAD8B02FA8E}" name="Column7673"/>
    <tableColumn id="7679" xr3:uid="{88BCDF81-CBFD-4FFA-83A2-299F1F65078E}" name="Column7674"/>
    <tableColumn id="7680" xr3:uid="{916C59CE-875D-4056-8288-D996F122F200}" name="Column7675"/>
    <tableColumn id="7681" xr3:uid="{3EBA163A-FB04-46FA-A195-F80C56738A75}" name="Column7676"/>
    <tableColumn id="7682" xr3:uid="{3F254652-AFB8-44BA-B92C-9AECDB8A02CA}" name="Column7677"/>
    <tableColumn id="7683" xr3:uid="{EEA47B48-9E43-4854-BD35-A77620DE171F}" name="Column7678"/>
    <tableColumn id="7684" xr3:uid="{EB29E735-3699-4792-B8D4-EA7EF2D78BFF}" name="Column7679"/>
    <tableColumn id="7685" xr3:uid="{3EBE6636-4059-4052-8D95-9CD0183BD1DC}" name="Column7680"/>
    <tableColumn id="7686" xr3:uid="{38FA1426-3950-4E4E-8D0D-7B7519E13CE1}" name="Column7681"/>
    <tableColumn id="7687" xr3:uid="{3A83FBC3-9BAD-4E07-8A96-EEAD72604616}" name="Column7682"/>
    <tableColumn id="7688" xr3:uid="{FE6B49DB-19FC-4983-8F57-1FCC5E51E1A3}" name="Column7683"/>
    <tableColumn id="7689" xr3:uid="{176A76B3-FD6D-450B-AC1D-2B623F9703A9}" name="Column7684"/>
    <tableColumn id="7690" xr3:uid="{39307657-4F2D-4A93-BC58-0459C22C3575}" name="Column7685"/>
    <tableColumn id="7691" xr3:uid="{D2654214-6915-42BB-8129-0077CAFEBB2D}" name="Column7686"/>
    <tableColumn id="7692" xr3:uid="{FB36D5AC-C51D-472A-92FB-15E576BA746A}" name="Column7687"/>
    <tableColumn id="7693" xr3:uid="{EE6E0B48-F084-47BD-A4C8-B9248F422910}" name="Column7688"/>
    <tableColumn id="7694" xr3:uid="{F8E2904D-6ABF-4FEB-85C2-A630311983EF}" name="Column7689"/>
    <tableColumn id="7695" xr3:uid="{E929E8F7-C84C-41B0-A0E6-248329072E47}" name="Column7690"/>
    <tableColumn id="7696" xr3:uid="{4E720758-A2C1-48FE-B72E-82AC5AF08295}" name="Column7691"/>
    <tableColumn id="7697" xr3:uid="{95149D4E-92D4-4FCA-9E51-E92DFB889B95}" name="Column7692"/>
    <tableColumn id="7698" xr3:uid="{6E3B7B9B-4C5F-49D4-91E1-B6F46FD556A7}" name="Column7693"/>
    <tableColumn id="7699" xr3:uid="{146E836F-667B-4373-8A2C-F0C54868C46A}" name="Column7694"/>
    <tableColumn id="7700" xr3:uid="{CD296E7B-DEF9-406D-BFAF-ECD651251D70}" name="Column7695"/>
    <tableColumn id="7701" xr3:uid="{A25003B5-7F19-4650-9625-7CB08BF3C625}" name="Column7696"/>
    <tableColumn id="7702" xr3:uid="{19AE2439-8CA1-4E4C-8DE8-8541005B5B0C}" name="Column7697"/>
    <tableColumn id="7703" xr3:uid="{2CC569AA-DBEE-4B38-B3DB-45930C6D8098}" name="Column7698"/>
    <tableColumn id="7704" xr3:uid="{8673575A-1C27-4FF9-9CFA-C3FC4F6E349F}" name="Column7699"/>
    <tableColumn id="7705" xr3:uid="{3A414EE1-41B9-4632-A96F-A7C8910ED4BC}" name="Column7700"/>
    <tableColumn id="7706" xr3:uid="{FD1E3A4D-6EBA-42A0-8422-C0E217DC13D6}" name="Column7701"/>
    <tableColumn id="7707" xr3:uid="{49F9D7E0-B989-4D77-9523-53B95866E70D}" name="Column7702"/>
    <tableColumn id="7708" xr3:uid="{CA22E18E-27A4-422C-97AF-6CB097ECB5A7}" name="Column7703"/>
    <tableColumn id="7709" xr3:uid="{05683623-D6F6-4B53-AF9A-616EDA89E156}" name="Column7704"/>
    <tableColumn id="7710" xr3:uid="{14572958-E719-4124-A1C4-2A3908782733}" name="Column7705"/>
    <tableColumn id="7711" xr3:uid="{F6C8E171-40D9-4F21-AB9D-EFBB94EC3374}" name="Column7706"/>
    <tableColumn id="7712" xr3:uid="{BCC112EC-B142-4991-BCDB-592ECD58BFF4}" name="Column7707"/>
    <tableColumn id="7713" xr3:uid="{6DE05C2E-D357-4075-AE9C-D69F92392E98}" name="Column7708"/>
    <tableColumn id="7714" xr3:uid="{DA9DEB5D-05A9-4086-B545-AB116F78542F}" name="Column7709"/>
    <tableColumn id="7715" xr3:uid="{4400635C-19C0-4E0A-8D81-2E0934F73696}" name="Column7710"/>
    <tableColumn id="7716" xr3:uid="{613795E7-AAA8-43F4-A501-3E9C5549A0E0}" name="Column7711"/>
    <tableColumn id="7717" xr3:uid="{0ED09DA0-0B8F-4F08-851F-5406EC0E83B1}" name="Column7712"/>
    <tableColumn id="7718" xr3:uid="{355AE85E-8D75-415F-8F07-40DB318151A0}" name="Column7713"/>
    <tableColumn id="7719" xr3:uid="{09E64D9D-C0D9-446E-9B1E-5A7779A62822}" name="Column7714"/>
    <tableColumn id="7720" xr3:uid="{2E74E116-E6B1-459B-9A62-526CC74961A4}" name="Column7715"/>
    <tableColumn id="7721" xr3:uid="{971742AE-549F-447E-848C-B46221C7138C}" name="Column7716"/>
    <tableColumn id="7722" xr3:uid="{42A54474-6F3D-46D1-82DC-581D3E55A6B0}" name="Column7717"/>
    <tableColumn id="7723" xr3:uid="{51050460-EF44-493F-9744-3CAB57E9D328}" name="Column7718"/>
    <tableColumn id="7724" xr3:uid="{54C8B5D2-59A5-4BD9-BD43-0AD5F5774E5D}" name="Column7719"/>
    <tableColumn id="7725" xr3:uid="{BBD8FFA4-8E4D-4469-B2E2-46DE0B6545C6}" name="Column7720"/>
    <tableColumn id="7726" xr3:uid="{0008242B-7279-482F-B227-5045F515BAA9}" name="Column7721"/>
    <tableColumn id="7727" xr3:uid="{F0A10F9D-8E89-48E4-83D8-6D4445A6993F}" name="Column7722"/>
    <tableColumn id="7728" xr3:uid="{3CC8F4D2-385B-4E72-AC59-4B514FD1AF60}" name="Column7723"/>
    <tableColumn id="7729" xr3:uid="{B9DABE36-C068-4318-A9D8-1D8880C52562}" name="Column7724"/>
    <tableColumn id="7730" xr3:uid="{AF2FCA95-5230-4FFD-95C7-14C637033EE1}" name="Column7725"/>
    <tableColumn id="7731" xr3:uid="{4EBEBFAD-2927-44E3-B90A-64DA4E98DFDC}" name="Column7726"/>
    <tableColumn id="7732" xr3:uid="{25AFB35A-9BAD-46F8-A5C6-1F354786420A}" name="Column7727"/>
    <tableColumn id="7733" xr3:uid="{E85A5983-E8AB-488F-84BE-75D7CBB01B9A}" name="Column7728"/>
    <tableColumn id="7734" xr3:uid="{5D1A79D5-F817-408B-AFA2-61CBB12977D0}" name="Column7729"/>
    <tableColumn id="7735" xr3:uid="{45EFD142-5745-403A-9DC3-232D9E511EE7}" name="Column7730"/>
    <tableColumn id="7736" xr3:uid="{D09AF46E-5B8A-4ED5-A21D-B56E61E1BDCF}" name="Column7731"/>
    <tableColumn id="7737" xr3:uid="{764929A5-AAB3-4ED2-905F-6E56309C52E6}" name="Column7732"/>
    <tableColumn id="7738" xr3:uid="{AC6117BC-1575-479F-873D-C4DBEF244FDB}" name="Column7733"/>
    <tableColumn id="7739" xr3:uid="{E56DA88B-BE6B-45B5-9BE3-EAD554F77C5A}" name="Column7734"/>
    <tableColumn id="7740" xr3:uid="{52057325-7DF9-4A8C-83DA-41EFEE48EBDC}" name="Column7735"/>
    <tableColumn id="7741" xr3:uid="{B2E3EFB0-7489-4615-8DBA-61C54BC84C77}" name="Column7736"/>
    <tableColumn id="7742" xr3:uid="{2559800B-66D9-4751-A9E4-A4E036E21BE5}" name="Column7737"/>
    <tableColumn id="7743" xr3:uid="{F4E2F58C-BBE3-40D9-8A0F-E8CA6EE39A78}" name="Column7738"/>
    <tableColumn id="7744" xr3:uid="{CF9C2D12-45D6-4B22-ACF5-1D72578F7522}" name="Column7739"/>
    <tableColumn id="7745" xr3:uid="{6FDAF9CD-BECE-48BB-8F09-A046DE50B780}" name="Column7740"/>
    <tableColumn id="7746" xr3:uid="{444FF07C-1B88-4D7F-B075-9C62B85FCCCD}" name="Column7741"/>
    <tableColumn id="7747" xr3:uid="{A960DAB9-8A03-48E2-9E68-D59928632592}" name="Column7742"/>
    <tableColumn id="7748" xr3:uid="{EF4AA0A9-EC4E-4B06-AF5D-6B102D6FE503}" name="Column7743"/>
    <tableColumn id="7749" xr3:uid="{8C3D6C67-BB1D-4E27-AF22-A8E3C582284C}" name="Column7744"/>
    <tableColumn id="7750" xr3:uid="{9E196368-B6A5-4367-9008-9C39CCB75BB8}" name="Column7745"/>
    <tableColumn id="7751" xr3:uid="{87D96FB4-67F6-4D56-B197-54265CDFC5A2}" name="Column7746"/>
    <tableColumn id="7752" xr3:uid="{86FC0518-0D13-4E22-8F1A-3CAC0630C969}" name="Column7747"/>
    <tableColumn id="7753" xr3:uid="{FF851849-A462-4AD9-B211-48CC0579FA00}" name="Column7748"/>
    <tableColumn id="7754" xr3:uid="{7B7DF257-9568-4F23-93BB-78C42E0B5CBC}" name="Column7749"/>
    <tableColumn id="7755" xr3:uid="{14D21A13-53CA-4A5F-A3DC-C5D578DA7EED}" name="Column7750"/>
    <tableColumn id="7756" xr3:uid="{0AB2EA2A-35EB-428F-9B8A-530F015BC1A7}" name="Column7751"/>
    <tableColumn id="7757" xr3:uid="{22155A2B-BE66-4D7F-96F6-939FD1736321}" name="Column7752"/>
    <tableColumn id="7758" xr3:uid="{05D7DE2F-4191-4797-864C-6D90930387B1}" name="Column7753"/>
    <tableColumn id="7759" xr3:uid="{491A208E-EAD3-4D62-BE90-CE24648CE8E7}" name="Column7754"/>
    <tableColumn id="7760" xr3:uid="{83BE9C7B-D5D2-4686-B884-2BB7FCF8E3B8}" name="Column7755"/>
    <tableColumn id="7761" xr3:uid="{6408114B-69A5-404B-97FC-D968BA62420A}" name="Column7756"/>
    <tableColumn id="7762" xr3:uid="{A59B6E4A-A596-43CE-82CF-AFB4C4B534D4}" name="Column7757"/>
    <tableColumn id="7763" xr3:uid="{F56633AE-F38D-4AB7-9F7C-ABB1BDB1FE68}" name="Column7758"/>
    <tableColumn id="7764" xr3:uid="{8C511B3D-D693-4AD8-A960-ED7428C44989}" name="Column7759"/>
    <tableColumn id="7765" xr3:uid="{934C095D-A3C6-4776-B03F-87E75AA7DC02}" name="Column7760"/>
    <tableColumn id="7766" xr3:uid="{41382619-D677-4E60-809F-5FD6E2414B60}" name="Column7761"/>
    <tableColumn id="7767" xr3:uid="{96857307-9DBC-4F41-A8AC-A10A354E5ECC}" name="Column7762"/>
    <tableColumn id="7768" xr3:uid="{B7E8D431-9FFE-4775-8545-66F7636B6822}" name="Column7763"/>
    <tableColumn id="7769" xr3:uid="{44BA8D0E-8ECE-4B00-A450-BC992410D03D}" name="Column7764"/>
    <tableColumn id="7770" xr3:uid="{19626B95-C2CD-4077-B9AA-55F004C0A97A}" name="Column7765"/>
    <tableColumn id="7771" xr3:uid="{289D7323-C71B-4C97-8085-BB585643CDBA}" name="Column7766"/>
    <tableColumn id="7772" xr3:uid="{1CD33706-88B4-4676-A7BF-2CFCDAE0A825}" name="Column7767"/>
    <tableColumn id="7773" xr3:uid="{E3070025-B992-4347-AA01-21C2FB7E62B4}" name="Column7768"/>
    <tableColumn id="7774" xr3:uid="{22CCB853-65C8-445F-A45F-4B52E055B571}" name="Column7769"/>
    <tableColumn id="7775" xr3:uid="{1EDE2DD4-1EE0-482C-8D2B-AF24CAB6D65D}" name="Column7770"/>
    <tableColumn id="7776" xr3:uid="{A3B035C5-6F76-4E4A-9CF5-0DFD68FAFEB3}" name="Column7771"/>
    <tableColumn id="7777" xr3:uid="{6E5AE5E6-0C7D-42BD-A136-FD150CB5FD15}" name="Column7772"/>
    <tableColumn id="7778" xr3:uid="{193F1354-A2A3-4B76-BBE0-584FB5E308C2}" name="Column7773"/>
    <tableColumn id="7779" xr3:uid="{6C19E7AD-7D42-4E08-A92A-B4F4683C99CE}" name="Column7774"/>
    <tableColumn id="7780" xr3:uid="{7105FB89-5BB9-4D8F-A17E-797B22F910E8}" name="Column7775"/>
    <tableColumn id="7781" xr3:uid="{2B61C331-10FF-4C57-BE11-D62115455E05}" name="Column7776"/>
    <tableColumn id="7782" xr3:uid="{73BF4C19-45A4-446F-96D8-6B228EB45ADE}" name="Column7777"/>
    <tableColumn id="7783" xr3:uid="{559DE3C5-62CA-4DC5-B249-A0B9B40B962C}" name="Column7778"/>
    <tableColumn id="7784" xr3:uid="{61CBF66E-526C-43DF-B565-96A6B22AD377}" name="Column7779"/>
    <tableColumn id="7785" xr3:uid="{FE20F130-FAEA-4D1D-98DE-B32F83F744A8}" name="Column7780"/>
    <tableColumn id="7786" xr3:uid="{3E9910D7-918C-420C-9231-C92E86C55C9C}" name="Column7781"/>
    <tableColumn id="7787" xr3:uid="{81740140-1DCF-43BD-B745-33A073483AAE}" name="Column7782"/>
    <tableColumn id="7788" xr3:uid="{351552D5-67FB-427F-8305-C765D3EF2CE5}" name="Column7783"/>
    <tableColumn id="7789" xr3:uid="{B417CDFB-7F73-45C5-AD28-CFD5264134AA}" name="Column7784"/>
    <tableColumn id="7790" xr3:uid="{049B8777-435A-42EC-AAAE-886C9B05BD67}" name="Column7785"/>
    <tableColumn id="7791" xr3:uid="{C0B8ACEF-0175-4D39-A504-99152FB5D5BF}" name="Column7786"/>
    <tableColumn id="7792" xr3:uid="{63EF38E1-ED9C-4127-B2F7-14EB67C4EF2E}" name="Column7787"/>
    <tableColumn id="7793" xr3:uid="{662A3C0A-CF33-43AE-8FAD-857193B0B8BE}" name="Column7788"/>
    <tableColumn id="7794" xr3:uid="{6BC2FD54-319E-4E30-8F07-6A38418D8728}" name="Column7789"/>
    <tableColumn id="7795" xr3:uid="{948DBA5E-0187-4D98-BCD0-46926A41D6D9}" name="Column7790"/>
    <tableColumn id="7796" xr3:uid="{C1B7F3E7-6F3F-44DE-A35F-BEA5C5EEE7E7}" name="Column7791"/>
    <tableColumn id="7797" xr3:uid="{679970AB-58C2-40D1-870A-3D1B77775EE5}" name="Column7792"/>
    <tableColumn id="7798" xr3:uid="{7777E81C-8BED-4EDD-A6F7-CCBB6C22D291}" name="Column7793"/>
    <tableColumn id="7799" xr3:uid="{77AFC516-7857-43AA-879A-2459688F12C7}" name="Column7794"/>
    <tableColumn id="7800" xr3:uid="{4EFCEFB7-163B-4BA1-A91F-5D30F686B31B}" name="Column7795"/>
    <tableColumn id="7801" xr3:uid="{A4DB8B66-7FC1-4923-9A69-2A891D9B398F}" name="Column7796"/>
    <tableColumn id="7802" xr3:uid="{A63134CE-6252-4486-80E4-0CDC6B58F4AF}" name="Column7797"/>
    <tableColumn id="7803" xr3:uid="{15C2F7E3-1DF8-42DE-86C1-0DD09994EC8C}" name="Column7798"/>
    <tableColumn id="7804" xr3:uid="{D264FF02-76D8-481F-BCDA-D416943E067D}" name="Column7799"/>
    <tableColumn id="7805" xr3:uid="{F53BA164-1DFC-4D31-A744-F0BE049281F0}" name="Column7800"/>
    <tableColumn id="7806" xr3:uid="{9AF3B3B7-E596-4B9F-BF27-CC924C601619}" name="Column7801"/>
    <tableColumn id="7807" xr3:uid="{D869A5A4-C548-4886-AEB3-6F1BE04503EF}" name="Column7802"/>
    <tableColumn id="7808" xr3:uid="{F8A45BDD-322E-4EC5-B032-BD40EE3D618F}" name="Column7803"/>
    <tableColumn id="7809" xr3:uid="{B4318B73-AE99-435E-AF49-9D065F8A1C6D}" name="Column7804"/>
    <tableColumn id="7810" xr3:uid="{031E9BF3-85AA-4535-8AE2-930DE2FB47B2}" name="Column7805"/>
    <tableColumn id="7811" xr3:uid="{02DC8E68-DF65-4A0C-B46E-F8BF85106317}" name="Column7806"/>
    <tableColumn id="7812" xr3:uid="{B33A5369-C7BC-420D-A6E1-9C3BBCDC27DA}" name="Column7807"/>
    <tableColumn id="7813" xr3:uid="{27D93EFA-A95B-40D1-88AD-F55C6F9AA022}" name="Column7808"/>
    <tableColumn id="7814" xr3:uid="{2292AD28-98C1-4BEA-964B-EF8ECEEC5629}" name="Column7809"/>
    <tableColumn id="7815" xr3:uid="{CB352863-1683-4CBF-BA49-E4617BBF8E9C}" name="Column7810"/>
    <tableColumn id="7816" xr3:uid="{4D4004AD-2B81-430F-9122-A279C57DE425}" name="Column7811"/>
    <tableColumn id="7817" xr3:uid="{909D1CD8-BE5B-4C8E-8A4A-9DCCB07FB71E}" name="Column7812"/>
    <tableColumn id="7818" xr3:uid="{B83A178F-5681-4345-BC9C-028A3A2EE6EF}" name="Column7813"/>
    <tableColumn id="7819" xr3:uid="{4C817D33-8C14-4C0F-ADD6-0C38FEA4C484}" name="Column7814"/>
    <tableColumn id="7820" xr3:uid="{C101E403-4F82-4609-BDF0-B31446A8E921}" name="Column7815"/>
    <tableColumn id="7821" xr3:uid="{262D8CFF-6A34-4658-A64B-B2AB056474F7}" name="Column7816"/>
    <tableColumn id="7822" xr3:uid="{9EBE122D-B0C7-416E-BDE4-D04BD3237A0E}" name="Column7817"/>
    <tableColumn id="7823" xr3:uid="{F32F01BC-82B1-49B9-B59C-258434154440}" name="Column7818"/>
    <tableColumn id="7824" xr3:uid="{F30AD4E4-D56C-4484-9AB2-1E7070EF0E66}" name="Column7819"/>
    <tableColumn id="7825" xr3:uid="{6216EEAD-E845-4F79-A31B-78943F5A6077}" name="Column7820"/>
    <tableColumn id="7826" xr3:uid="{E50953B8-72F3-4808-8A8C-FEFA2F76C39C}" name="Column7821"/>
    <tableColumn id="7827" xr3:uid="{5AD81EF8-D1EB-4911-B508-DB0626B0AE7D}" name="Column7822"/>
    <tableColumn id="7828" xr3:uid="{5B21C167-7334-4299-B604-16C40D33F0D5}" name="Column7823"/>
    <tableColumn id="7829" xr3:uid="{5001AC39-2290-4DDC-9301-9F1A3CE7893B}" name="Column7824"/>
    <tableColumn id="7830" xr3:uid="{85861ECA-A0BF-41A9-B3ED-3407E924C1EF}" name="Column7825"/>
    <tableColumn id="7831" xr3:uid="{CFDBA3FF-EC99-4AA4-8FAF-DA1CFC1F59B2}" name="Column7826"/>
    <tableColumn id="7832" xr3:uid="{76BAABC5-B847-489A-8D32-E7B8E156AFE6}" name="Column7827"/>
    <tableColumn id="7833" xr3:uid="{745E816B-1F41-45AF-8CE7-379A6CA5ABEB}" name="Column7828"/>
    <tableColumn id="7834" xr3:uid="{BB1C221C-69F8-4FD8-A74E-5D750D8A309B}" name="Column7829"/>
    <tableColumn id="7835" xr3:uid="{DBDBB26B-00B2-4E7C-AFBF-EDFDFFB288FA}" name="Column7830"/>
    <tableColumn id="7836" xr3:uid="{BCEAF8AA-E2FB-44B8-9A5F-6FFF7ACBCB58}" name="Column7831"/>
    <tableColumn id="7837" xr3:uid="{D0D2EAAB-C500-4C0B-922D-DF9DD4662181}" name="Column7832"/>
    <tableColumn id="7838" xr3:uid="{77C84BE6-F6B0-4FB1-9343-24C37646082E}" name="Column7833"/>
    <tableColumn id="7839" xr3:uid="{4BED3C99-5BDD-4995-8921-82D81ABDDE9F}" name="Column7834"/>
    <tableColumn id="7840" xr3:uid="{D3C7789A-BC3E-40F6-BD00-0663473549D8}" name="Column7835"/>
    <tableColumn id="7841" xr3:uid="{B01AA773-00B3-4046-9FCB-5DAA211D44FB}" name="Column7836"/>
    <tableColumn id="7842" xr3:uid="{B38D73F1-C256-4ED8-B20B-5B530EC93C50}" name="Column7837"/>
    <tableColumn id="7843" xr3:uid="{33CA841A-B8BC-4A36-8250-8B61BC18AE7A}" name="Column7838"/>
    <tableColumn id="7844" xr3:uid="{D6622DB4-A1FC-4F7F-8423-116F4B75ABCF}" name="Column7839"/>
    <tableColumn id="7845" xr3:uid="{837ECD0F-507B-4C80-A10E-5A5EAA2649B8}" name="Column7840"/>
    <tableColumn id="7846" xr3:uid="{0C981734-FF70-4304-A1A5-7E2382368DE9}" name="Column7841"/>
    <tableColumn id="7847" xr3:uid="{DFF408AA-38E9-426D-AE14-93E58069C08C}" name="Column7842"/>
    <tableColumn id="7848" xr3:uid="{BC7E1195-4018-4F1D-8CE1-DEFC427BA576}" name="Column7843"/>
    <tableColumn id="7849" xr3:uid="{71E3833E-AE5E-4CEB-95C8-6D578FD9FD86}" name="Column7844"/>
    <tableColumn id="7850" xr3:uid="{28C31474-F580-4A33-A586-EC3715740D58}" name="Column7845"/>
    <tableColumn id="7851" xr3:uid="{B51716BE-3909-4B19-BCA6-31415FB72B47}" name="Column7846"/>
    <tableColumn id="7852" xr3:uid="{48BB9B4A-1BFB-401D-BFD4-CE2BFFC64424}" name="Column7847"/>
    <tableColumn id="7853" xr3:uid="{07DEE1BD-7BBF-4385-92FD-788AD456359F}" name="Column7848"/>
    <tableColumn id="7854" xr3:uid="{79129142-98B5-4E49-9729-D47A9953CE5C}" name="Column7849"/>
    <tableColumn id="7855" xr3:uid="{D2380DAB-FC35-489E-BB19-DFA4BE02F9EA}" name="Column7850"/>
    <tableColumn id="7856" xr3:uid="{56E312DE-7289-43E8-8FF1-31E8C9C46A10}" name="Column7851"/>
    <tableColumn id="7857" xr3:uid="{38EA4952-456C-46B2-B3FC-9907C475010A}" name="Column7852"/>
    <tableColumn id="7858" xr3:uid="{71017587-5B57-4CCB-B73C-C69DC50F0D9D}" name="Column7853"/>
    <tableColumn id="7859" xr3:uid="{5A5F2182-EAFA-4CEB-AFD6-0F59D857E98F}" name="Column7854"/>
    <tableColumn id="7860" xr3:uid="{FE9934E0-70ED-4378-B15E-97C9FC9DCBFE}" name="Column7855"/>
    <tableColumn id="7861" xr3:uid="{B983B847-C8B9-42D8-801D-B437FC02AFC6}" name="Column7856"/>
    <tableColumn id="7862" xr3:uid="{20E07279-A3FA-4495-A115-2ED458CBFE1E}" name="Column7857"/>
    <tableColumn id="7863" xr3:uid="{4108CBB5-AF72-47FB-A553-51EBC85FBA8D}" name="Column7858"/>
    <tableColumn id="7864" xr3:uid="{94D9D9F8-F42B-4213-8C22-7A939319DBA3}" name="Column7859"/>
    <tableColumn id="7865" xr3:uid="{8E7F11E6-8459-499C-A2DB-9F16E54D407F}" name="Column7860"/>
    <tableColumn id="7866" xr3:uid="{3881D37F-D66F-40C5-80B0-A2EAFB6D4AD6}" name="Column7861"/>
    <tableColumn id="7867" xr3:uid="{E19B6844-B9BB-4155-9110-E4C9A1EAB4F5}" name="Column7862"/>
    <tableColumn id="7868" xr3:uid="{BCC5FB55-744B-4592-83BA-E5A86B2CAA5B}" name="Column7863"/>
    <tableColumn id="7869" xr3:uid="{BDC95199-3878-43B5-BAFE-70853E2CE2B5}" name="Column7864"/>
    <tableColumn id="7870" xr3:uid="{EE7A644E-C245-40E5-A148-FD65E20D65C8}" name="Column7865"/>
    <tableColumn id="7871" xr3:uid="{3ACAE13F-0979-4507-A57B-FA2D833497C9}" name="Column7866"/>
    <tableColumn id="7872" xr3:uid="{7DAB95F8-1AAC-4886-BBB4-56F1FF9FEA0F}" name="Column7867"/>
    <tableColumn id="7873" xr3:uid="{C71B05A1-9740-4CAD-A593-D8AE8342CD21}" name="Column7868"/>
    <tableColumn id="7874" xr3:uid="{3A9E72D2-3D9C-4BFA-955B-7D679501A48E}" name="Column7869"/>
    <tableColumn id="7875" xr3:uid="{EA0210CF-A15A-4315-AFC6-02D66AD394E1}" name="Column7870"/>
    <tableColumn id="7876" xr3:uid="{1C500EA2-1995-432E-A282-DA0C9A88FC9A}" name="Column7871"/>
    <tableColumn id="7877" xr3:uid="{F52CE39B-B06A-4FBC-895F-1354572A1332}" name="Column7872"/>
    <tableColumn id="7878" xr3:uid="{CB20ABAC-CDC8-4156-9099-21C8B8D771E9}" name="Column7873"/>
    <tableColumn id="7879" xr3:uid="{36E0A4F1-2684-4C7E-9D52-08926C9212FD}" name="Column7874"/>
    <tableColumn id="7880" xr3:uid="{C1F3BDB8-7B83-401D-89E9-CB4DAD16AC28}" name="Column7875"/>
    <tableColumn id="7881" xr3:uid="{889B56FB-6776-4ED0-BABF-D1A3A763AAD4}" name="Column7876"/>
    <tableColumn id="7882" xr3:uid="{69D6325B-01F1-4200-8D0C-F6BEB7BBC70B}" name="Column7877"/>
    <tableColumn id="7883" xr3:uid="{6609975C-1567-4513-AABF-DC5D2637C335}" name="Column7878"/>
    <tableColumn id="7884" xr3:uid="{E9E3ABA3-F012-4B95-8CDA-768A41A733A7}" name="Column7879"/>
    <tableColumn id="7885" xr3:uid="{2227DD01-49AD-4B25-814D-A286A043456A}" name="Column7880"/>
    <tableColumn id="7886" xr3:uid="{7B56555C-8AA8-4E0B-AF39-F6433AA75442}" name="Column7881"/>
    <tableColumn id="7887" xr3:uid="{8534B5F3-0551-49E7-AA9A-4978952049A0}" name="Column7882"/>
    <tableColumn id="7888" xr3:uid="{299B4079-5470-4090-90D7-A50D081D8EF0}" name="Column7883"/>
    <tableColumn id="7889" xr3:uid="{81CA0DAF-2477-4E6C-90A4-76A921396409}" name="Column7884"/>
    <tableColumn id="7890" xr3:uid="{5DB8F5CC-543A-4D17-A5E9-963A37186293}" name="Column7885"/>
    <tableColumn id="7891" xr3:uid="{DBFB2C76-8C87-4FA2-81B5-9245B77014FD}" name="Column7886"/>
    <tableColumn id="7892" xr3:uid="{EE61CD60-5EE6-445F-B7D6-34EE67CB419B}" name="Column7887"/>
    <tableColumn id="7893" xr3:uid="{39AF2CA0-BD63-4659-9A6D-D23E6D84B196}" name="Column7888"/>
    <tableColumn id="7894" xr3:uid="{50A2D717-A651-49F2-BD2E-DE13FB790737}" name="Column7889"/>
    <tableColumn id="7895" xr3:uid="{9ADF4047-EA51-4E88-B60E-9970F50F5F9C}" name="Column7890"/>
    <tableColumn id="7896" xr3:uid="{43FB1D5B-DE5C-4228-BD90-8B37901F1E38}" name="Column7891"/>
    <tableColumn id="7897" xr3:uid="{81377D8C-786A-43A4-B632-98B41E65903C}" name="Column7892"/>
    <tableColumn id="7898" xr3:uid="{E94FA529-56DC-4A5A-B9BA-276DE1926E21}" name="Column7893"/>
    <tableColumn id="7899" xr3:uid="{C1CB9418-A3D6-4CC5-BC18-ADF0CED72361}" name="Column7894"/>
    <tableColumn id="7900" xr3:uid="{57533144-F447-4FB7-B77D-E50AED942122}" name="Column7895"/>
    <tableColumn id="7901" xr3:uid="{D381A493-83EE-4B5A-BA20-91C339AA4137}" name="Column7896"/>
    <tableColumn id="7902" xr3:uid="{F060BCAA-F70C-4A32-9251-FE1154146E79}" name="Column7897"/>
    <tableColumn id="7903" xr3:uid="{513A0D49-644C-4422-B832-22436AF11DAD}" name="Column7898"/>
    <tableColumn id="7904" xr3:uid="{0A564FB8-52D9-4C39-A3F5-8EAD1E12094C}" name="Column7899"/>
    <tableColumn id="7905" xr3:uid="{0A84DD65-BB7F-422C-A668-B61891896BD2}" name="Column7900"/>
    <tableColumn id="7906" xr3:uid="{50AAD452-5632-4880-ACF8-509214B42CAA}" name="Column7901"/>
    <tableColumn id="7907" xr3:uid="{3753E79B-F782-4998-81B9-E15DED085258}" name="Column7902"/>
    <tableColumn id="7908" xr3:uid="{4B4366B3-9F34-4EC9-B6A0-5BD45B67622D}" name="Column7903"/>
    <tableColumn id="7909" xr3:uid="{7C942CAD-5C0D-4C5F-9AAD-E02AF056338F}" name="Column7904"/>
    <tableColumn id="7910" xr3:uid="{140F7442-C5BB-458C-BD1B-60F941AE352B}" name="Column7905"/>
    <tableColumn id="7911" xr3:uid="{BDEA5CBE-7E28-4998-BBE1-6BB8E141AD6C}" name="Column7906"/>
    <tableColumn id="7912" xr3:uid="{D5A3DDAC-33E9-44D7-BF30-C9986171CDD5}" name="Column7907"/>
    <tableColumn id="7913" xr3:uid="{46E2BD3D-0123-4F76-A5F3-77F6F2D1515E}" name="Column7908"/>
    <tableColumn id="7914" xr3:uid="{60EE369E-C7BC-4B6B-AFAC-E990C508E432}" name="Column7909"/>
    <tableColumn id="7915" xr3:uid="{BA0B23D2-90E7-4E73-9818-07ADDAD84DA8}" name="Column7910"/>
    <tableColumn id="7916" xr3:uid="{BF8932ED-EB46-4A33-A9A6-B2511BF2DE77}" name="Column7911"/>
    <tableColumn id="7917" xr3:uid="{01B78BE0-8E08-4208-8B61-F94DFE7B74A4}" name="Column7912"/>
    <tableColumn id="7918" xr3:uid="{4FC1D7FD-B2CC-4A51-A577-D2BB1E7FF2BD}" name="Column7913"/>
    <tableColumn id="7919" xr3:uid="{1A91CCE4-4173-445B-A0CA-77A8478D1682}" name="Column7914"/>
    <tableColumn id="7920" xr3:uid="{085F2ED4-8816-4CC1-ACD1-E1CFAD0FC81A}" name="Column7915"/>
    <tableColumn id="7921" xr3:uid="{C5A98204-911B-490E-AA14-FA4030AC814C}" name="Column7916"/>
    <tableColumn id="7922" xr3:uid="{E4334E9C-CE91-4357-AF4E-C028EDAE73F1}" name="Column7917"/>
    <tableColumn id="7923" xr3:uid="{33ADA574-0507-4A13-83EB-3EA4370F2A98}" name="Column7918"/>
    <tableColumn id="7924" xr3:uid="{081DE3EE-0DC7-4DF1-8FB5-F9432A671168}" name="Column7919"/>
    <tableColumn id="7925" xr3:uid="{244BB8DA-075B-4C07-A150-BDE785038B92}" name="Column7920"/>
    <tableColumn id="7926" xr3:uid="{54679844-71BE-4653-AF70-A4F9A54F7526}" name="Column7921"/>
    <tableColumn id="7927" xr3:uid="{380CDF67-D493-4FEC-BEA6-7CD23E42FBBE}" name="Column7922"/>
    <tableColumn id="7928" xr3:uid="{0BCFAF85-5045-4FD8-A743-AE6DFA397177}" name="Column7923"/>
    <tableColumn id="7929" xr3:uid="{FE7E0615-78A7-49C5-855A-6D097EA2CBDB}" name="Column7924"/>
    <tableColumn id="7930" xr3:uid="{C43B29D1-3297-4860-BF2C-5CF64C312440}" name="Column7925"/>
    <tableColumn id="7931" xr3:uid="{1D302F08-628E-443D-B600-4ECAC69A94EA}" name="Column7926"/>
    <tableColumn id="7932" xr3:uid="{BE8B5D3C-7236-42B4-81F9-31E82E686D25}" name="Column7927"/>
    <tableColumn id="7933" xr3:uid="{FDBC6DA3-4487-4EA1-A73B-2EAF829EDA8B}" name="Column7928"/>
    <tableColumn id="7934" xr3:uid="{8034FBC1-2785-46BC-BBFC-935B80E63057}" name="Column7929"/>
    <tableColumn id="7935" xr3:uid="{A18DAC92-392A-4492-957C-D0E4DEBF8548}" name="Column7930"/>
    <tableColumn id="7936" xr3:uid="{AD43810F-A2B8-48D8-B28D-03F6A3B5DD5A}" name="Column7931"/>
    <tableColumn id="7937" xr3:uid="{7BA0E500-5E7B-4FB8-B1A1-3A5D0AD21CA3}" name="Column7932"/>
    <tableColumn id="7938" xr3:uid="{102D5156-0301-4F9C-9A59-E1AF3EE91CE4}" name="Column7933"/>
    <tableColumn id="7939" xr3:uid="{3D92B9BC-39B1-4AB8-A597-5ED261BB2F74}" name="Column7934"/>
    <tableColumn id="7940" xr3:uid="{88700946-93F3-4113-9C1B-AC5B7029BD03}" name="Column7935"/>
    <tableColumn id="7941" xr3:uid="{D5B6E56C-510B-4906-BD27-25207524FC44}" name="Column7936"/>
    <tableColumn id="7942" xr3:uid="{A5337F46-49C5-4613-997A-69E443E6895E}" name="Column7937"/>
    <tableColumn id="7943" xr3:uid="{58495B3B-053C-480A-9B17-9F7FE4EFDE5E}" name="Column7938"/>
    <tableColumn id="7944" xr3:uid="{942CF301-C94F-4356-B971-F8F3B96FF316}" name="Column7939"/>
    <tableColumn id="7945" xr3:uid="{2AF48824-F326-419F-B49E-56342FBCC0CE}" name="Column7940"/>
    <tableColumn id="7946" xr3:uid="{7AADC83F-5320-4471-AAF9-51FBCEAD811C}" name="Column7941"/>
    <tableColumn id="7947" xr3:uid="{52883A1E-9962-42B1-9C5F-8BD798A5289C}" name="Column7942"/>
    <tableColumn id="7948" xr3:uid="{B019824C-E2F1-498A-93C2-0A1F5369AEE7}" name="Column7943"/>
    <tableColumn id="7949" xr3:uid="{AD1106C8-32E2-42AA-94C2-DA3150B26E84}" name="Column7944"/>
    <tableColumn id="7950" xr3:uid="{7D0E652E-2F0D-45A6-99C3-AAC438A054B5}" name="Column7945"/>
    <tableColumn id="7951" xr3:uid="{B0DAF929-8334-4701-B07E-BC392F113E8C}" name="Column7946"/>
    <tableColumn id="7952" xr3:uid="{D85895AC-A9C7-43E4-8C74-52E4B51801E8}" name="Column7947"/>
    <tableColumn id="7953" xr3:uid="{B5170AF1-F774-4B5E-9103-0A56A100E299}" name="Column7948"/>
    <tableColumn id="7954" xr3:uid="{7EB16662-C9F6-45F5-926F-AD655E51DBDA}" name="Column7949"/>
    <tableColumn id="7955" xr3:uid="{41524CE3-E66E-469F-A189-6645E8E01C02}" name="Column7950"/>
    <tableColumn id="7956" xr3:uid="{8C7C044A-58C2-4176-9D54-D14B2217F821}" name="Column7951"/>
    <tableColumn id="7957" xr3:uid="{45A1F648-DBD1-4038-8EEE-990757466972}" name="Column7952"/>
    <tableColumn id="7958" xr3:uid="{1C540D4A-A590-494F-87F2-F854CD9ED1E2}" name="Column7953"/>
    <tableColumn id="7959" xr3:uid="{887FB1B9-94C2-4013-ADEC-FF44006DF627}" name="Column7954"/>
    <tableColumn id="7960" xr3:uid="{37619B70-112B-446E-A2E0-B753F43897EF}" name="Column7955"/>
    <tableColumn id="7961" xr3:uid="{9D1AE7DA-BA41-41B6-A279-63AB9C33BC1F}" name="Column7956"/>
    <tableColumn id="7962" xr3:uid="{FF3FC37A-7A61-47C9-B079-0981CDB21160}" name="Column7957"/>
    <tableColumn id="7963" xr3:uid="{5799FAF2-634F-4575-9D7E-1900CFB87466}" name="Column7958"/>
    <tableColumn id="7964" xr3:uid="{44B4FC00-8341-478B-B5A9-1A2E6FA13788}" name="Column7959"/>
    <tableColumn id="7965" xr3:uid="{2B94B558-EE5E-4D04-B35E-B203DA303314}" name="Column7960"/>
    <tableColumn id="7966" xr3:uid="{ED7DEF75-BDD6-47BA-A2D6-923817A87B45}" name="Column7961"/>
    <tableColumn id="7967" xr3:uid="{A152F589-026F-4BF6-8DC1-72B8D980F8C4}" name="Column7962"/>
    <tableColumn id="7968" xr3:uid="{33636EC0-D22D-476F-8A00-0D014018C412}" name="Column7963"/>
    <tableColumn id="7969" xr3:uid="{D7CB9C10-4F00-4E44-9CE4-E70C3B887D62}" name="Column7964"/>
    <tableColumn id="7970" xr3:uid="{511E9F8D-5C59-40B8-BAF2-40E7D4533A05}" name="Column7965"/>
    <tableColumn id="7971" xr3:uid="{4F5FF8E0-65D7-451E-9940-1EB540427683}" name="Column7966"/>
    <tableColumn id="7972" xr3:uid="{DBC311EF-DBA8-4EE3-912F-6453047CC25E}" name="Column7967"/>
    <tableColumn id="7973" xr3:uid="{5AC2989E-513A-4736-AF59-8AAF25C02E5C}" name="Column7968"/>
    <tableColumn id="7974" xr3:uid="{5B40BC38-39F7-4C42-9C85-F4C7D5B8FB4F}" name="Column7969"/>
    <tableColumn id="7975" xr3:uid="{BAC1D42A-0CCC-49B7-A4CC-EF8AE5D02B8E}" name="Column7970"/>
    <tableColumn id="7976" xr3:uid="{AEF9675A-6A3D-448C-A3CE-2C852F298C6E}" name="Column7971"/>
    <tableColumn id="7977" xr3:uid="{029D70D7-6A19-420E-8EB2-3CD23DB79AC3}" name="Column7972"/>
    <tableColumn id="7978" xr3:uid="{806F0DBC-A595-4B50-8E12-19E8F587B903}" name="Column7973"/>
    <tableColumn id="7979" xr3:uid="{380F7A91-ED92-44BC-9F6D-BF981E7225F0}" name="Column7974"/>
    <tableColumn id="7980" xr3:uid="{ECF89EC1-1A39-44C8-8270-4E49B24EA26B}" name="Column7975"/>
    <tableColumn id="7981" xr3:uid="{9E282CC2-BF8C-400C-BAA9-DF7B52CC19F9}" name="Column7976"/>
    <tableColumn id="7982" xr3:uid="{16CB59F0-C2CF-4DF3-A154-17A626121DB6}" name="Column7977"/>
    <tableColumn id="7983" xr3:uid="{509EBA9B-CF6F-4E93-947D-A61636B2BCD1}" name="Column7978"/>
    <tableColumn id="7984" xr3:uid="{4F799C77-051E-4AE8-855D-0AE5B5CA43BD}" name="Column7979"/>
    <tableColumn id="7985" xr3:uid="{06A671A6-3C8A-4C8B-AAAC-FF9AEC232A50}" name="Column7980"/>
    <tableColumn id="7986" xr3:uid="{14E2DBB1-BDF6-4315-AB24-CD72CD4219A1}" name="Column7981"/>
    <tableColumn id="7987" xr3:uid="{B8F0880C-1318-4078-85B2-21787C67E38A}" name="Column7982"/>
    <tableColumn id="7988" xr3:uid="{3B1CD43B-515D-4654-AB6E-8CA9048B8C22}" name="Column7983"/>
    <tableColumn id="7989" xr3:uid="{C17952FA-18A5-4D5F-965E-F51F83D08577}" name="Column7984"/>
    <tableColumn id="7990" xr3:uid="{D441EBF6-5E59-49CA-8897-0DD622C5CF2B}" name="Column7985"/>
    <tableColumn id="7991" xr3:uid="{0B7E99E4-B2F7-4DAB-A5E4-F03059652F1B}" name="Column7986"/>
    <tableColumn id="7992" xr3:uid="{4DA7FEE2-BBDC-4AA5-9960-0D1902BC2AC9}" name="Column7987"/>
    <tableColumn id="7993" xr3:uid="{EF9C2D8D-140D-415F-973D-EF812A7B4A3E}" name="Column7988"/>
    <tableColumn id="7994" xr3:uid="{FF81DAA4-B8A3-40DB-A926-DE19A8DEA526}" name="Column7989"/>
    <tableColumn id="7995" xr3:uid="{6F71405D-1172-4172-8DE4-B4E32A16C2F3}" name="Column7990"/>
    <tableColumn id="7996" xr3:uid="{4AB1C97F-FF36-43B0-BCE5-558F8548EF4A}" name="Column7991"/>
    <tableColumn id="7997" xr3:uid="{56805B3E-74E4-44BA-B4A7-C723D0F26CD6}" name="Column7992"/>
    <tableColumn id="7998" xr3:uid="{DE5CD1B9-03D2-4DFB-8D3E-1887EB4B5197}" name="Column7993"/>
    <tableColumn id="7999" xr3:uid="{E8AAF90B-A6CC-40E5-B60E-6049060F9F21}" name="Column7994"/>
    <tableColumn id="8000" xr3:uid="{809E78CB-30AD-46E4-94ED-D10935D70A53}" name="Column7995"/>
    <tableColumn id="8001" xr3:uid="{557E9DD1-F6D0-461D-9BFA-59E032E0F4B2}" name="Column7996"/>
    <tableColumn id="8002" xr3:uid="{85A119C5-7239-4528-9BAD-458CABA9DB7D}" name="Column7997"/>
    <tableColumn id="8003" xr3:uid="{888F5C96-7096-4A0C-BAB6-BA29E2EAE51D}" name="Column7998"/>
    <tableColumn id="8004" xr3:uid="{2B575BB8-DDAB-4365-8007-07D1DF8A6733}" name="Column7999"/>
    <tableColumn id="8005" xr3:uid="{4D61A733-7553-403A-8C8D-8FC9A86D63CE}" name="Column8000"/>
    <tableColumn id="8006" xr3:uid="{C3F34C23-9726-4D86-A6EC-8524DAA4307C}" name="Column8001"/>
    <tableColumn id="8007" xr3:uid="{F2D75E9A-8A6C-4FE0-BF0B-FCBA56A1AA85}" name="Column8002"/>
    <tableColumn id="8008" xr3:uid="{0048E464-D3A4-4C20-B97A-9C506D4ADD5F}" name="Column8003"/>
    <tableColumn id="8009" xr3:uid="{86CA90F6-EB44-4E3C-B301-057E1577B43E}" name="Column8004"/>
    <tableColumn id="8010" xr3:uid="{69FF1ADF-E736-4E05-9F1B-FC108DE1D4C7}" name="Column8005"/>
    <tableColumn id="8011" xr3:uid="{3D015F6E-93BB-4377-AA33-1A1D46EA50E1}" name="Column8006"/>
    <tableColumn id="8012" xr3:uid="{FA605F6A-4BCC-4A55-8D9E-D24C0C536645}" name="Column8007"/>
    <tableColumn id="8013" xr3:uid="{960DDA56-9D9F-4615-B8E0-24F44D8E2E64}" name="Column8008"/>
    <tableColumn id="8014" xr3:uid="{5F6549A7-36AC-455E-AF61-DE1CC4FD77DB}" name="Column8009"/>
    <tableColumn id="8015" xr3:uid="{FCFDA80E-EA85-4DF5-B6D5-0F569120B7BD}" name="Column8010"/>
    <tableColumn id="8016" xr3:uid="{3601CF01-E8ED-4D0C-B2D7-C22952F18B10}" name="Column8011"/>
    <tableColumn id="8017" xr3:uid="{B5BAC4B2-87F5-42D4-984E-25E7A3BE16C7}" name="Column8012"/>
    <tableColumn id="8018" xr3:uid="{ABBCC6B9-1BE8-4F7F-8A7E-9521817F63AF}" name="Column8013"/>
    <tableColumn id="8019" xr3:uid="{3D452FE1-5F70-4CEE-877D-8859B6478DEF}" name="Column8014"/>
    <tableColumn id="8020" xr3:uid="{9C81B262-0960-42C1-A3C7-F9D602A48CE3}" name="Column8015"/>
    <tableColumn id="8021" xr3:uid="{8575D03B-C67A-43AA-BE5E-3561BDF1CA0A}" name="Column8016"/>
    <tableColumn id="8022" xr3:uid="{66C2DB57-2B0F-4B32-85F2-DE4B7098E394}" name="Column8017"/>
    <tableColumn id="8023" xr3:uid="{BD2F68DE-06F5-4CFF-B600-0DC4FE9D3812}" name="Column8018"/>
    <tableColumn id="8024" xr3:uid="{BF18B4FF-0B15-4FC2-B6DA-7FA57EEE7CAF}" name="Column8019"/>
    <tableColumn id="8025" xr3:uid="{5A32FBC6-5F0C-4656-AE64-0FC347928F24}" name="Column8020"/>
    <tableColumn id="8026" xr3:uid="{EDAAA692-C6D7-4EEF-8CED-A60411D6B08A}" name="Column8021"/>
    <tableColumn id="8027" xr3:uid="{685F2D6C-5F56-4AEC-8031-C95DF3DADE7B}" name="Column8022"/>
    <tableColumn id="8028" xr3:uid="{899E130E-2F31-415A-B163-C8E7EFF7A897}" name="Column8023"/>
    <tableColumn id="8029" xr3:uid="{27EADDC3-1C7E-4FA9-B111-3FFE63899FE0}" name="Column8024"/>
    <tableColumn id="8030" xr3:uid="{87B30F17-9176-4517-81C6-F16FB8C54DF1}" name="Column8025"/>
    <tableColumn id="8031" xr3:uid="{622FCBB5-967A-46BA-B7AA-0D82DA67EDC7}" name="Column8026"/>
    <tableColumn id="8032" xr3:uid="{739C0AF2-7850-452D-A6B2-037F7351E286}" name="Column8027"/>
    <tableColumn id="8033" xr3:uid="{CCDB6A41-8EA8-432A-A1B4-A8CDE2DAF1F8}" name="Column8028"/>
    <tableColumn id="8034" xr3:uid="{D45DE752-0DB7-4DC1-885A-275DBD20F5A7}" name="Column8029"/>
    <tableColumn id="8035" xr3:uid="{A7EE4FE8-F7B3-4A83-8AF0-F673FD682723}" name="Column8030"/>
    <tableColumn id="8036" xr3:uid="{B201DAF7-3C05-4994-A4CD-45059D05DA99}" name="Column8031"/>
    <tableColumn id="8037" xr3:uid="{55812EDD-1A0F-4AB5-9D7E-723FBD884DE9}" name="Column8032"/>
    <tableColumn id="8038" xr3:uid="{841A9927-CC81-4A61-A54A-47F6ABD7729E}" name="Column8033"/>
    <tableColumn id="8039" xr3:uid="{CE2C74B9-71A3-44D1-A5EF-5556C6A91AE8}" name="Column8034"/>
    <tableColumn id="8040" xr3:uid="{17A70F6C-D702-4F6D-A643-47375FB59863}" name="Column8035"/>
    <tableColumn id="8041" xr3:uid="{84083256-8CC4-4F71-8F02-D27C0654F490}" name="Column8036"/>
    <tableColumn id="8042" xr3:uid="{CF335A1D-9CFD-4A13-907A-A002CB7D087D}" name="Column8037"/>
    <tableColumn id="8043" xr3:uid="{9E7CA750-FC2C-4DD5-A6A0-5507BC7229EC}" name="Column8038"/>
    <tableColumn id="8044" xr3:uid="{C25CCE27-233C-49CD-A936-5DD2542D3C3E}" name="Column8039"/>
    <tableColumn id="8045" xr3:uid="{81A4286A-8AE3-468F-BDB5-DBB4A4C7EC8E}" name="Column8040"/>
    <tableColumn id="8046" xr3:uid="{8EC10DC2-56E7-4220-96C8-6F7E91FC47CD}" name="Column8041"/>
    <tableColumn id="8047" xr3:uid="{A7F007B4-349C-4C5B-A165-6B5AEF8F0AF8}" name="Column8042"/>
    <tableColumn id="8048" xr3:uid="{1BE386C2-32D8-4B3F-906C-67EC159DF4B5}" name="Column8043"/>
    <tableColumn id="8049" xr3:uid="{416E9A4F-E6BC-4EB7-A521-1DD1144CC0FE}" name="Column8044"/>
    <tableColumn id="8050" xr3:uid="{3790CBA9-B920-416E-B461-4641CE887402}" name="Column8045"/>
    <tableColumn id="8051" xr3:uid="{9B77C57F-7D6D-4119-B116-0C64EE3291DD}" name="Column8046"/>
    <tableColumn id="8052" xr3:uid="{BB3FE91B-CA3B-4A68-A0E5-09FAAB8955B4}" name="Column8047"/>
    <tableColumn id="8053" xr3:uid="{51A6D8C6-37C0-4A4D-8533-1E6E5164B4AE}" name="Column8048"/>
    <tableColumn id="8054" xr3:uid="{8EE804A3-58B6-4282-A72B-38B5815945F5}" name="Column8049"/>
    <tableColumn id="8055" xr3:uid="{B83B68CB-8555-4EA6-BD80-733B58A08198}" name="Column8050"/>
    <tableColumn id="8056" xr3:uid="{05C45109-8FFB-444E-96AC-49F359D043EB}" name="Column8051"/>
    <tableColumn id="8057" xr3:uid="{B8A1D3EF-E75E-4403-AFCA-CFC94298B99C}" name="Column8052"/>
    <tableColumn id="8058" xr3:uid="{3FE3378C-4817-429C-909C-E07362F652FF}" name="Column8053"/>
    <tableColumn id="8059" xr3:uid="{5B5B326F-B62C-4920-9F07-039D4BDE170F}" name="Column8054"/>
    <tableColumn id="8060" xr3:uid="{8BE58B98-FEA7-48F0-A69D-6C42B48ED0A8}" name="Column8055"/>
    <tableColumn id="8061" xr3:uid="{E9784C71-AC28-47AD-80E4-F215E8FA40BF}" name="Column8056"/>
    <tableColumn id="8062" xr3:uid="{CF9A7A2D-D45C-431F-8BF0-37062C4BE7D3}" name="Column8057"/>
    <tableColumn id="8063" xr3:uid="{86A979DA-4B3A-447E-BF6B-EA4ACADE08BD}" name="Column8058"/>
    <tableColumn id="8064" xr3:uid="{7AB3B6A9-C422-48F8-939C-EFCAE1BA8210}" name="Column8059"/>
    <tableColumn id="8065" xr3:uid="{DCD98A06-F254-4DF7-A73B-0292FDC01262}" name="Column8060"/>
    <tableColumn id="8066" xr3:uid="{67EF62F2-743D-46CA-990F-FBDB9A12F109}" name="Column8061"/>
    <tableColumn id="8067" xr3:uid="{3897D08A-21AF-4E4A-BE12-1D12F11B14EA}" name="Column8062"/>
    <tableColumn id="8068" xr3:uid="{04A59555-0205-46C8-8D99-75626200B8A6}" name="Column8063"/>
    <tableColumn id="8069" xr3:uid="{8C5FE852-338B-4768-92AE-B343DAC68CD8}" name="Column8064"/>
    <tableColumn id="8070" xr3:uid="{045CAD25-D4EB-4F5C-9B33-54C9C5F6D3EC}" name="Column8065"/>
    <tableColumn id="8071" xr3:uid="{E55C8444-52A3-4A31-8D4B-5D6CE8B2426E}" name="Column8066"/>
    <tableColumn id="8072" xr3:uid="{B8E8AE88-C02F-40EB-9093-4B682CC27FD5}" name="Column8067"/>
    <tableColumn id="8073" xr3:uid="{B91EF768-B32C-4FCC-9E51-6CF67B78A55F}" name="Column8068"/>
    <tableColumn id="8074" xr3:uid="{3942D49E-F5B6-4B7A-A938-C1F271EA9AAA}" name="Column8069"/>
    <tableColumn id="8075" xr3:uid="{3AAAE465-5802-49A5-B0D5-F8779DD2E9DD}" name="Column8070"/>
    <tableColumn id="8076" xr3:uid="{5406A23B-D5DB-49DF-ABF4-099B37EEFA1E}" name="Column8071"/>
    <tableColumn id="8077" xr3:uid="{9C07DA45-D2F9-4745-881A-F1FC7573BC0C}" name="Column8072"/>
    <tableColumn id="8078" xr3:uid="{E8EF7D62-8020-4B44-B6F0-B940BA7B0525}" name="Column8073"/>
    <tableColumn id="8079" xr3:uid="{D44CF68E-DA2B-4AAA-9E09-22E3FDAB3F00}" name="Column8074"/>
    <tableColumn id="8080" xr3:uid="{19AFF059-7A2F-4639-8999-F7372D1670D4}" name="Column8075"/>
    <tableColumn id="8081" xr3:uid="{1522D7CE-D28A-45C8-AF03-C5119BCF4EC2}" name="Column8076"/>
    <tableColumn id="8082" xr3:uid="{D1F9963F-0BE8-4CC6-AF28-8BE332502A64}" name="Column8077"/>
    <tableColumn id="8083" xr3:uid="{8B255F59-C2C7-483A-8302-1A5443F1DCFC}" name="Column8078"/>
    <tableColumn id="8084" xr3:uid="{3A9B55A9-8E74-4CD2-BE34-96227E13BCE6}" name="Column8079"/>
    <tableColumn id="8085" xr3:uid="{928CA2A9-D209-4D93-876C-EE73DB75CD30}" name="Column8080"/>
    <tableColumn id="8086" xr3:uid="{AB9C12EE-3CC1-43B5-90E6-809506BDFCD8}" name="Column8081"/>
    <tableColumn id="8087" xr3:uid="{F1109A26-D1F2-4E69-8F9A-65F14A6C4717}" name="Column8082"/>
    <tableColumn id="8088" xr3:uid="{BD52DD95-290B-4B58-9B56-F02B5D3E5C9D}" name="Column8083"/>
    <tableColumn id="8089" xr3:uid="{4585F88C-E5FE-440B-9A87-7244690EFCBD}" name="Column8084"/>
    <tableColumn id="8090" xr3:uid="{3C8C3698-7BC4-4EA8-A8F7-0B0D82582E29}" name="Column8085"/>
    <tableColumn id="8091" xr3:uid="{47192106-85F9-48C4-8204-E32DED7B20A7}" name="Column8086"/>
    <tableColumn id="8092" xr3:uid="{01E8D48D-D8B3-4FC0-8B3F-721C7CC9B2FF}" name="Column8087"/>
    <tableColumn id="8093" xr3:uid="{D5670779-10A4-42B7-AAB5-22A4185C7D5F}" name="Column8088"/>
    <tableColumn id="8094" xr3:uid="{C17F94EA-B8FB-48B7-A3A7-EDD8B07F012D}" name="Column8089"/>
    <tableColumn id="8095" xr3:uid="{BE9F6A2E-B4C4-4123-AFBF-88BF0F7D5DB5}" name="Column8090"/>
    <tableColumn id="8096" xr3:uid="{3AF0B478-25B2-453B-89E0-A8C23F160859}" name="Column8091"/>
    <tableColumn id="8097" xr3:uid="{6E6AFCB1-0793-4A34-BE85-96C4BE2F7988}" name="Column8092"/>
    <tableColumn id="8098" xr3:uid="{4C82FE51-7320-4D70-8591-24F1A9D09FC4}" name="Column8093"/>
    <tableColumn id="8099" xr3:uid="{F1F4EA97-0F02-4A48-AE69-D3572B267C46}" name="Column8094"/>
    <tableColumn id="8100" xr3:uid="{E5BB9ED3-44ED-4F50-AB3C-0408F7FBBC4B}" name="Column8095"/>
    <tableColumn id="8101" xr3:uid="{77F9A36F-2B05-41D6-8C37-76F60C0AD965}" name="Column8096"/>
    <tableColumn id="8102" xr3:uid="{D5D6083A-B67B-4759-B271-F0933CAE5D14}" name="Column8097"/>
    <tableColumn id="8103" xr3:uid="{4050BEE1-3D13-4425-ABEA-2F3A362CA07B}" name="Column8098"/>
    <tableColumn id="8104" xr3:uid="{684C0F5F-33C3-4812-B499-46CD92D59314}" name="Column8099"/>
    <tableColumn id="8105" xr3:uid="{2413E5FA-EC61-4B0A-9A14-9CCA9773B9F3}" name="Column8100"/>
    <tableColumn id="8106" xr3:uid="{50AD68D4-5CC1-49FB-A92E-27F8F68387FD}" name="Column8101"/>
    <tableColumn id="8107" xr3:uid="{A449240C-6619-4418-9C30-282AF02E499C}" name="Column8102"/>
    <tableColumn id="8108" xr3:uid="{A76C7333-B9B0-4EDF-8EA8-3FDF1BFC189C}" name="Column8103"/>
    <tableColumn id="8109" xr3:uid="{5FFB4A51-E189-4E8C-B8F7-A8C3CCC1A6D6}" name="Column8104"/>
    <tableColumn id="8110" xr3:uid="{A70BA86E-44A9-4517-9046-E7170F8159B8}" name="Column8105"/>
    <tableColumn id="8111" xr3:uid="{ECFBC4BF-F5FF-41EC-A3E6-FE82BD2698FA}" name="Column8106"/>
    <tableColumn id="8112" xr3:uid="{29FB8134-0883-43F0-98CA-B5A6EEAA3D7B}" name="Column8107"/>
    <tableColumn id="8113" xr3:uid="{313EB834-D117-4BBA-94F7-58D023994F28}" name="Column8108"/>
    <tableColumn id="8114" xr3:uid="{0C6FD60C-030F-432D-B745-C0E59C63F6E9}" name="Column8109"/>
    <tableColumn id="8115" xr3:uid="{C4A53F3B-501A-4108-BEBA-D50EFC152F6B}" name="Column8110"/>
    <tableColumn id="8116" xr3:uid="{A32C78D0-6AFF-4715-BCF0-998D324CE8FF}" name="Column8111"/>
    <tableColumn id="8117" xr3:uid="{AADE51E3-A6B4-4D17-B7F4-2B421D422D97}" name="Column8112"/>
    <tableColumn id="8118" xr3:uid="{F9469358-4FA2-4F81-947A-87E25B4EAAEC}" name="Column8113"/>
    <tableColumn id="8119" xr3:uid="{089F8B80-9373-4438-8A0D-5DFA0ED03B58}" name="Column8114"/>
    <tableColumn id="8120" xr3:uid="{8CC068D3-F089-4454-865C-151D036E3849}" name="Column8115"/>
    <tableColumn id="8121" xr3:uid="{C9FDA9D3-09A8-4EFA-BFBA-CFE875E8710D}" name="Column8116"/>
    <tableColumn id="8122" xr3:uid="{581CC4F9-4C51-4C2D-AFDE-1154692FC9B6}" name="Column8117"/>
    <tableColumn id="8123" xr3:uid="{D928D928-BE71-4BC3-B835-01ED961BDB1C}" name="Column8118"/>
    <tableColumn id="8124" xr3:uid="{18FD7D71-4C89-4F1A-8437-37152457D5BF}" name="Column8119"/>
    <tableColumn id="8125" xr3:uid="{75604A24-C1F6-4361-A699-5D4910E917F4}" name="Column8120"/>
    <tableColumn id="8126" xr3:uid="{72E0DFC6-2C9B-4D4C-8CC1-6E603D9E2EB7}" name="Column8121"/>
    <tableColumn id="8127" xr3:uid="{C6D9E631-854D-4ADE-969C-9885AA1DBF2C}" name="Column8122"/>
    <tableColumn id="8128" xr3:uid="{454BFE39-02C5-4D6A-92F0-93383D716682}" name="Column8123"/>
    <tableColumn id="8129" xr3:uid="{F790D2B5-169A-4D36-BE79-A4A6C04894F0}" name="Column8124"/>
    <tableColumn id="8130" xr3:uid="{C8C7320E-85B0-47B3-B218-D99F9B52A8D0}" name="Column8125"/>
    <tableColumn id="8131" xr3:uid="{86766B78-FC57-4277-9503-C69EBEB46AE0}" name="Column8126"/>
    <tableColumn id="8132" xr3:uid="{7E4584D1-01B0-4608-B891-3F5251AB7836}" name="Column8127"/>
    <tableColumn id="8133" xr3:uid="{A2DE584B-AE54-409F-9920-35A883356CA3}" name="Column8128"/>
    <tableColumn id="8134" xr3:uid="{94D16A47-CDB6-467D-92F2-AF6019199862}" name="Column8129"/>
    <tableColumn id="8135" xr3:uid="{F0FE4A06-776D-4C08-803D-AE352C5B7054}" name="Column8130"/>
    <tableColumn id="8136" xr3:uid="{E4B2672B-9C59-4D23-87E3-04942AE70DA2}" name="Column8131"/>
    <tableColumn id="8137" xr3:uid="{43907898-6051-42CA-82BA-66B67AA779C1}" name="Column8132"/>
    <tableColumn id="8138" xr3:uid="{D460468E-3AE6-4197-A54F-0C92E8DB97EA}" name="Column8133"/>
    <tableColumn id="8139" xr3:uid="{505EB45A-E7E3-40C8-A2DA-7F9846F43EEC}" name="Column8134"/>
    <tableColumn id="8140" xr3:uid="{E27A436C-3A96-449C-AF5C-A7DFEEAE2C58}" name="Column8135"/>
    <tableColumn id="8141" xr3:uid="{4DA1ED64-1200-44EF-A8BE-4253B321171B}" name="Column8136"/>
    <tableColumn id="8142" xr3:uid="{F5DD8C7A-23FB-4DF2-A1FB-EE17FD75BE06}" name="Column8137"/>
    <tableColumn id="8143" xr3:uid="{DB8E1195-4748-4E89-A421-5DD711CD1672}" name="Column8138"/>
    <tableColumn id="8144" xr3:uid="{50690918-521F-462E-AB8D-F396F1CCA77D}" name="Column8139"/>
    <tableColumn id="8145" xr3:uid="{EFED7DC2-145D-4A95-9E2A-7A39A0992D10}" name="Column8140"/>
    <tableColumn id="8146" xr3:uid="{A452C566-4925-44E2-881A-FBA835F14E5D}" name="Column8141"/>
    <tableColumn id="8147" xr3:uid="{484C76CF-BC22-47F7-A067-990800169BBE}" name="Column8142"/>
    <tableColumn id="8148" xr3:uid="{FA2C57C9-E9CA-4AB8-93A2-4DF633B55377}" name="Column8143"/>
    <tableColumn id="8149" xr3:uid="{821687D6-2106-416C-97FC-5CD3CB3E01B8}" name="Column8144"/>
    <tableColumn id="8150" xr3:uid="{C8B2C2BD-7B57-4576-B0BB-5D3FE8EF90AE}" name="Column8145"/>
    <tableColumn id="8151" xr3:uid="{B03AC960-8CEE-4B9F-913F-F631B23A1022}" name="Column8146"/>
    <tableColumn id="8152" xr3:uid="{6F04BCF4-719F-4738-AB7F-5D4DA53DD90E}" name="Column8147"/>
    <tableColumn id="8153" xr3:uid="{7FFFE563-1618-44C0-BFCD-E2B0733123A2}" name="Column8148"/>
    <tableColumn id="8154" xr3:uid="{1C3F116A-D9A5-489C-83B9-5D0E00AEB798}" name="Column8149"/>
    <tableColumn id="8155" xr3:uid="{ED6FD32F-F0E6-4AD9-B84D-B4D0F1DC1D19}" name="Column8150"/>
    <tableColumn id="8156" xr3:uid="{9D8E7C9C-E705-4AE3-A9D9-31ED678B67DE}" name="Column8151"/>
    <tableColumn id="8157" xr3:uid="{A3FD3C6C-B8A7-4BE8-A45A-FA61ACD8D52A}" name="Column8152"/>
    <tableColumn id="8158" xr3:uid="{A8130CAB-133E-45D3-B512-58D922EFD04D}" name="Column8153"/>
    <tableColumn id="8159" xr3:uid="{B088BE22-FC4F-475B-8E06-2A103DF6C1D4}" name="Column8154"/>
    <tableColumn id="8160" xr3:uid="{ECE9DCC9-496F-457C-A0D9-6DBB6F021B31}" name="Column8155"/>
    <tableColumn id="8161" xr3:uid="{5E59706F-6260-4CEB-9236-5A37E9742D57}" name="Column8156"/>
    <tableColumn id="8162" xr3:uid="{9A525443-4854-49B9-8804-83892699D8DD}" name="Column8157"/>
    <tableColumn id="8163" xr3:uid="{243AE6C8-9FF5-4D18-AC3B-822F9A80458E}" name="Column8158"/>
    <tableColumn id="8164" xr3:uid="{0259A785-BE41-4FEC-B70D-ED7FC55AF206}" name="Column8159"/>
    <tableColumn id="8165" xr3:uid="{8F8857FA-4087-42B7-80AE-9BEDD63E5A49}" name="Column8160"/>
    <tableColumn id="8166" xr3:uid="{FAFA849B-BE4A-4FF3-BD30-FD39CB525E2A}" name="Column8161"/>
    <tableColumn id="8167" xr3:uid="{E3FED7BC-D860-48E1-B9C1-AEE7D7060536}" name="Column8162"/>
    <tableColumn id="8168" xr3:uid="{020A2AD1-E5CB-4345-AC45-0603BB704BB6}" name="Column8163"/>
    <tableColumn id="8169" xr3:uid="{053787B5-D7E1-4ABA-A0AA-A1770646BFE3}" name="Column8164"/>
    <tableColumn id="8170" xr3:uid="{7864EB49-FB4E-4417-8EC2-115461913589}" name="Column8165"/>
    <tableColumn id="8171" xr3:uid="{F1C7C3B6-B244-4B50-8349-E6BD0EBBFF52}" name="Column8166"/>
    <tableColumn id="8172" xr3:uid="{5305CAEB-DD6C-41CA-A45F-C064858FEC4D}" name="Column8167"/>
    <tableColumn id="8173" xr3:uid="{196D0E4E-DA67-48DA-A4A4-C6A693625FEF}" name="Column8168"/>
    <tableColumn id="8174" xr3:uid="{6AC241F2-23EA-4C33-9C6F-CE54220C3EDA}" name="Column8169"/>
    <tableColumn id="8175" xr3:uid="{6E9B0640-9ED3-4B54-844F-87F1FA081DBD}" name="Column8170"/>
    <tableColumn id="8176" xr3:uid="{84B42BBD-2F97-45CC-B6CE-BA1408309116}" name="Column8171"/>
    <tableColumn id="8177" xr3:uid="{F9E25594-4395-4E2A-9C0F-AC38794E9CF0}" name="Column8172"/>
    <tableColumn id="8178" xr3:uid="{7332CA16-7D35-4215-A946-742D8479634C}" name="Column8173"/>
    <tableColumn id="8179" xr3:uid="{2421CBDB-8EA9-4787-89D4-A6109F72B44C}" name="Column8174"/>
    <tableColumn id="8180" xr3:uid="{53FFD0AD-61FC-4476-8B3C-865DE01EC459}" name="Column8175"/>
    <tableColumn id="8181" xr3:uid="{DE9F11D5-DDDF-40D2-AF23-99563018DF0D}" name="Column8176"/>
    <tableColumn id="8182" xr3:uid="{89FF89E4-5B77-4EA9-A83E-E6E092A34E78}" name="Column8177"/>
    <tableColumn id="8183" xr3:uid="{825A2B69-7029-4E9E-8E8B-C19E4F94B482}" name="Column8178"/>
    <tableColumn id="8184" xr3:uid="{145D384A-31C4-40F4-80F3-F2C1CF94DD55}" name="Column8179"/>
    <tableColumn id="8185" xr3:uid="{7A8B397C-E7EA-4E03-8ABA-AF95391B48A0}" name="Column8180"/>
    <tableColumn id="8186" xr3:uid="{D0B9669C-F820-4DD6-BFC1-4F005B82EB73}" name="Column8181"/>
    <tableColumn id="8187" xr3:uid="{DCD0DF89-0283-41B1-8F99-868561CD1635}" name="Column8182"/>
    <tableColumn id="8188" xr3:uid="{6675C015-5D81-474E-9750-504083935C95}" name="Column8183"/>
    <tableColumn id="8189" xr3:uid="{784BA445-47CF-4167-BADD-95BC73FBBBB0}" name="Column8184"/>
    <tableColumn id="8190" xr3:uid="{597881CB-028A-49C0-962B-8AB84BAE8247}" name="Column8185"/>
    <tableColumn id="8191" xr3:uid="{3DCB27E9-7ABB-4B50-A878-BBCD36775E9E}" name="Column8186"/>
    <tableColumn id="8192" xr3:uid="{ECB1E9B2-A011-487B-BA5B-98762917CFB0}" name="Column8187"/>
    <tableColumn id="8193" xr3:uid="{D7F28CD5-FEAE-4271-82B4-E98A74BA3115}" name="Column8188"/>
    <tableColumn id="8194" xr3:uid="{32546856-E09B-4F9D-9ADB-44AE34D5C5BF}" name="Column8189"/>
    <tableColumn id="8195" xr3:uid="{728F34C1-2549-46E2-9676-9ACBC720A310}" name="Column8190"/>
    <tableColumn id="8196" xr3:uid="{7E308B3D-C680-4881-932F-1C328CDCD867}" name="Column8191"/>
    <tableColumn id="8197" xr3:uid="{B3DA4E3B-0B27-40F2-A097-544440EC71B8}" name="Column8192"/>
    <tableColumn id="8198" xr3:uid="{6FC3A114-B866-4B4E-B6E3-15E5484B558F}" name="Column8193"/>
    <tableColumn id="8199" xr3:uid="{6DB13401-8802-44CE-88AB-DE5A01F7D205}" name="Column8194"/>
    <tableColumn id="8200" xr3:uid="{3E585219-1353-4F52-9DA3-CB045F773B59}" name="Column8195"/>
    <tableColumn id="8201" xr3:uid="{B927EC82-918D-45DC-83CE-9C1CD0978C49}" name="Column8196"/>
    <tableColumn id="8202" xr3:uid="{543030BC-D0CF-4034-B7B1-60594378D0F8}" name="Column8197"/>
    <tableColumn id="8203" xr3:uid="{7DAB7D8A-40D6-48F9-B7AC-ACEC0F5E3119}" name="Column8198"/>
    <tableColumn id="8204" xr3:uid="{26321D36-DE5A-41D9-94D3-4446EE3F6733}" name="Column8199"/>
    <tableColumn id="8205" xr3:uid="{D99F7A3C-5EBD-4848-81D0-14F65BF988D2}" name="Column8200"/>
    <tableColumn id="8206" xr3:uid="{10545221-D4F2-4514-B9C8-0E205C1AEC4A}" name="Column8201"/>
    <tableColumn id="8207" xr3:uid="{BF63BC85-BA84-4090-8ACD-0D6BE101A997}" name="Column8202"/>
    <tableColumn id="8208" xr3:uid="{A03D4C82-4AE0-4494-9CB4-742A1916E8A8}" name="Column8203"/>
    <tableColumn id="8209" xr3:uid="{0FCB1610-CA5F-4651-80FD-A739B35D68F1}" name="Column8204"/>
    <tableColumn id="8210" xr3:uid="{8A4B76B2-0D4A-44CE-B7FA-50532C82B462}" name="Column8205"/>
    <tableColumn id="8211" xr3:uid="{B2B6904C-8884-4197-BF6F-353C78AC3074}" name="Column8206"/>
    <tableColumn id="8212" xr3:uid="{D6B63AA8-A8F0-4A74-9263-640E2C21524E}" name="Column8207"/>
    <tableColumn id="8213" xr3:uid="{3BC96FF5-7B2F-4613-BA8B-FDF273290F4E}" name="Column8208"/>
    <tableColumn id="8214" xr3:uid="{56495AED-6931-4994-8431-72103A92AF96}" name="Column8209"/>
    <tableColumn id="8215" xr3:uid="{89B6166F-5A4E-49E3-916B-34D95C1D991A}" name="Column8210"/>
    <tableColumn id="8216" xr3:uid="{25B3698A-8396-4427-8132-231E090202EB}" name="Column8211"/>
    <tableColumn id="8217" xr3:uid="{EE7181B1-55B8-4362-8BE3-9FE7CD25BC72}" name="Column8212"/>
    <tableColumn id="8218" xr3:uid="{7F7683DF-E9CE-4B2A-8037-61C45EB2063A}" name="Column8213"/>
    <tableColumn id="8219" xr3:uid="{8E418624-8F22-4440-957A-A3AAD9E43EF5}" name="Column8214"/>
    <tableColumn id="8220" xr3:uid="{65AB0109-BD37-4D54-A4BF-F0A7C17AFA73}" name="Column8215"/>
    <tableColumn id="8221" xr3:uid="{B15E0C93-2CD3-4EF7-A81A-B33370F78A42}" name="Column8216"/>
    <tableColumn id="8222" xr3:uid="{85507750-63A4-4EAA-808F-5F8DE667B19C}" name="Column8217"/>
    <tableColumn id="8223" xr3:uid="{586A4F9D-37CC-46F4-84E7-04197AA79713}" name="Column8218"/>
    <tableColumn id="8224" xr3:uid="{2385CF16-A54D-4F75-8195-706B5E196CEC}" name="Column8219"/>
    <tableColumn id="8225" xr3:uid="{71E6E342-DB03-43E7-A20F-3559AD5C67F7}" name="Column8220"/>
    <tableColumn id="8226" xr3:uid="{0CC92342-9C17-4693-AE81-0F211E122AB1}" name="Column8221"/>
    <tableColumn id="8227" xr3:uid="{6AEBA087-0283-4E90-8D27-2CAD8CDB9264}" name="Column8222"/>
    <tableColumn id="8228" xr3:uid="{F14A09A4-B123-435D-B829-C42DF096E273}" name="Column8223"/>
    <tableColumn id="8229" xr3:uid="{F34B5439-43E2-4806-A776-0799CD434612}" name="Column8224"/>
    <tableColumn id="8230" xr3:uid="{68B3521E-6F1A-4F39-A078-DE2F7E2F4334}" name="Column8225"/>
    <tableColumn id="8231" xr3:uid="{45CA0568-4CA2-4F18-8228-8DBD57044859}" name="Column8226"/>
    <tableColumn id="8232" xr3:uid="{C8BECBD9-CBBF-4B18-A865-C6830DD0945B}" name="Column8227"/>
    <tableColumn id="8233" xr3:uid="{BF77F879-28CC-4EBD-896F-4373A4E34AFA}" name="Column8228"/>
    <tableColumn id="8234" xr3:uid="{155AA862-8B0B-445A-B445-705B96855219}" name="Column8229"/>
    <tableColumn id="8235" xr3:uid="{1D7FBA50-A9FF-4BAC-B326-DC3F2A7807AB}" name="Column8230"/>
    <tableColumn id="8236" xr3:uid="{41ED5AF6-4C62-4874-97A1-652057408C62}" name="Column8231"/>
    <tableColumn id="8237" xr3:uid="{59C9CBB9-5AFB-43DF-B200-42BC83D0708A}" name="Column8232"/>
    <tableColumn id="8238" xr3:uid="{31830DCF-0D9D-42CC-9BA0-B43A5BA55A54}" name="Column8233"/>
    <tableColumn id="8239" xr3:uid="{18E48925-FD2E-4377-B9EC-B0279631FDB7}" name="Column8234"/>
    <tableColumn id="8240" xr3:uid="{6F94E79B-18BA-4C15-90F4-B83558560109}" name="Column8235"/>
    <tableColumn id="8241" xr3:uid="{9B43CAD3-D11A-4FAE-8BB8-8797A491111A}" name="Column8236"/>
    <tableColumn id="8242" xr3:uid="{CC26CAA8-F584-471B-A2C7-E8D9AE463E07}" name="Column8237"/>
    <tableColumn id="8243" xr3:uid="{40B54CB5-E29B-468E-AA98-2B5E2434A581}" name="Column8238"/>
    <tableColumn id="8244" xr3:uid="{6EDDCD44-0ED2-4EC5-BADB-766B9E17651A}" name="Column8239"/>
    <tableColumn id="8245" xr3:uid="{0A242F7A-46A7-4222-936B-F32ACEBCC54B}" name="Column8240"/>
    <tableColumn id="8246" xr3:uid="{0DD207B4-29FC-45F1-8F81-1663713BC2C9}" name="Column8241"/>
    <tableColumn id="8247" xr3:uid="{5DDA3726-9726-4933-8CAA-C4C9C8EF043C}" name="Column8242"/>
    <tableColumn id="8248" xr3:uid="{BD14178B-5722-4043-92E1-9BBB18747650}" name="Column8243"/>
    <tableColumn id="8249" xr3:uid="{E8BC8C03-0C39-46A5-916C-0A3C69098F9C}" name="Column8244"/>
    <tableColumn id="8250" xr3:uid="{40020DC6-234B-4020-8F75-EC39408FF555}" name="Column8245"/>
    <tableColumn id="8251" xr3:uid="{A1ADF900-D3C9-4530-B6D9-DBA795B55CD5}" name="Column8246"/>
    <tableColumn id="8252" xr3:uid="{71905610-3ADB-4C5B-8B9A-E87A53F4A44A}" name="Column8247"/>
    <tableColumn id="8253" xr3:uid="{DE1701D2-C0E6-48D3-8B09-EF46CBFC0C5B}" name="Column8248"/>
    <tableColumn id="8254" xr3:uid="{DE30E4C3-E151-4096-850E-8A7627A0AF10}" name="Column8249"/>
    <tableColumn id="8255" xr3:uid="{D4EC801A-BC11-4803-AB77-B5465B11FDDA}" name="Column8250"/>
    <tableColumn id="8256" xr3:uid="{16E58BD9-9B9C-4FCF-8CD7-0B50FB569FA5}" name="Column8251"/>
    <tableColumn id="8257" xr3:uid="{FBF75EC1-AF51-4AB7-944E-5F93F73C770C}" name="Column8252"/>
    <tableColumn id="8258" xr3:uid="{9DC21800-46B9-474C-B0E0-A451CD06E22D}" name="Column8253"/>
    <tableColumn id="8259" xr3:uid="{DEFFFCFF-F45F-4745-AD67-53E44FE7DA61}" name="Column8254"/>
    <tableColumn id="8260" xr3:uid="{900C64D4-A21F-4A3E-AD9B-5A80864A4113}" name="Column8255"/>
    <tableColumn id="8261" xr3:uid="{1B2CD3D0-3697-4FA3-B80A-D416ABA04C4D}" name="Column8256"/>
    <tableColumn id="8262" xr3:uid="{9A65004C-AED3-4317-9056-B98D1B01A974}" name="Column8257"/>
    <tableColumn id="8263" xr3:uid="{D9115345-58EA-4815-A34B-7DC4DCF79B50}" name="Column8258"/>
    <tableColumn id="8264" xr3:uid="{D5DDC5B0-9AAA-41FD-A9E5-EBF078BE67B0}" name="Column8259"/>
    <tableColumn id="8265" xr3:uid="{9A4A6D13-8FC6-4BE0-AB89-CA266E6338BA}" name="Column8260"/>
    <tableColumn id="8266" xr3:uid="{2D3F4805-6E07-48FD-A933-33F6A597FADA}" name="Column8261"/>
    <tableColumn id="8267" xr3:uid="{CD98F3FD-36A3-4E14-B896-7C23903E5FD2}" name="Column8262"/>
    <tableColumn id="8268" xr3:uid="{6E73684F-3080-43D4-9387-B09535F63194}" name="Column8263"/>
    <tableColumn id="8269" xr3:uid="{4D45942C-44AA-43AC-9CF7-A5C05621E310}" name="Column8264"/>
    <tableColumn id="8270" xr3:uid="{22125502-B6F1-40A4-A435-EAB7DE3F4AD1}" name="Column8265"/>
    <tableColumn id="8271" xr3:uid="{C79615BF-7F00-4366-B4B2-24955E5EB37A}" name="Column8266"/>
    <tableColumn id="8272" xr3:uid="{F5284C30-6376-474E-A79A-C39495F8A1E8}" name="Column8267"/>
    <tableColumn id="8273" xr3:uid="{69CBFB82-7FD0-4649-83BD-42EB3AAB3443}" name="Column8268"/>
    <tableColumn id="8274" xr3:uid="{FF1EC7EB-374C-4D9F-B8CE-4CABC43E6592}" name="Column8269"/>
    <tableColumn id="8275" xr3:uid="{84F68023-94B7-480F-943C-6BF33F8F0653}" name="Column8270"/>
    <tableColumn id="8276" xr3:uid="{B9ECA310-FC98-4C56-848A-4925CEE71661}" name="Column8271"/>
    <tableColumn id="8277" xr3:uid="{7C9D5CCC-E9AC-416B-8639-F247470211BB}" name="Column8272"/>
    <tableColumn id="8278" xr3:uid="{3FBE6744-3C6A-4A57-9027-C8F0FCBF6BA6}" name="Column8273"/>
    <tableColumn id="8279" xr3:uid="{0712E1C5-32E4-4DFA-A185-643805B00E57}" name="Column8274"/>
    <tableColumn id="8280" xr3:uid="{6377FC3E-D707-4836-A86F-2CC867212343}" name="Column8275"/>
    <tableColumn id="8281" xr3:uid="{62E2E79A-8E85-4222-A321-E9B00A4C8DD5}" name="Column8276"/>
    <tableColumn id="8282" xr3:uid="{0347C95C-2BFA-48B4-88AB-EFFA6DFCF795}" name="Column8277"/>
    <tableColumn id="8283" xr3:uid="{5DBA7284-2681-4004-ADD8-A3E5C678FCD2}" name="Column8278"/>
    <tableColumn id="8284" xr3:uid="{3D2D1A83-02A1-4955-919B-0724DD5786AF}" name="Column8279"/>
    <tableColumn id="8285" xr3:uid="{B8EF88E9-77B4-4131-88A3-BFFB2965F700}" name="Column8280"/>
    <tableColumn id="8286" xr3:uid="{E8B79036-27EA-4388-9A74-3378CA9E463F}" name="Column8281"/>
    <tableColumn id="8287" xr3:uid="{67CD4059-8743-4F57-BA62-E568C0796349}" name="Column8282"/>
    <tableColumn id="8288" xr3:uid="{FE487F55-5A08-4712-B78E-7D1E0A8FB7FC}" name="Column8283"/>
    <tableColumn id="8289" xr3:uid="{A2373692-D374-4065-A9B8-19D1036F2D6F}" name="Column8284"/>
    <tableColumn id="8290" xr3:uid="{4EE71BD8-055E-4013-BBD4-ABF4FC67FC15}" name="Column8285"/>
    <tableColumn id="8291" xr3:uid="{370A35A6-8851-4C6F-9BAE-A55DC67078FA}" name="Column8286"/>
    <tableColumn id="8292" xr3:uid="{C150210E-C1B6-433B-A084-7AC537E2C632}" name="Column8287"/>
    <tableColumn id="8293" xr3:uid="{D6DF6760-EB36-44E5-8CA1-62A083C3E80C}" name="Column8288"/>
    <tableColumn id="8294" xr3:uid="{613EB9ED-E220-48B7-A99F-E6ED0A7FEEC0}" name="Column8289"/>
    <tableColumn id="8295" xr3:uid="{78CC4D23-4B90-4C8D-9162-362951214DF6}" name="Column8290"/>
    <tableColumn id="8296" xr3:uid="{63F40E70-C891-4F6D-A697-E1E69DF43692}" name="Column8291"/>
    <tableColumn id="8297" xr3:uid="{5147A84F-C196-4EA4-83EA-2E7EE2D239F4}" name="Column8292"/>
    <tableColumn id="8298" xr3:uid="{BE205DB8-9388-45FC-8DDB-D68C55542804}" name="Column8293"/>
    <tableColumn id="8299" xr3:uid="{94ECD11D-FF85-48D3-8FA8-5B4BE866048C}" name="Column8294"/>
    <tableColumn id="8300" xr3:uid="{3FD396D3-F0F4-4666-BC9E-B0CDFD1C6840}" name="Column8295"/>
    <tableColumn id="8301" xr3:uid="{ABB62B52-4777-4E6D-917F-7F560BFE4FAF}" name="Column8296"/>
    <tableColumn id="8302" xr3:uid="{66A14645-DBEB-4C34-B502-917F926E8CC0}" name="Column8297"/>
    <tableColumn id="8303" xr3:uid="{1B8A3AAC-B199-4313-9366-513C83EC98F4}" name="Column8298"/>
    <tableColumn id="8304" xr3:uid="{6A3309FE-DA80-41CF-8459-DA27E706AE44}" name="Column8299"/>
    <tableColumn id="8305" xr3:uid="{AB2FFC64-317E-457D-9DF3-370BEE3E25F1}" name="Column8300"/>
    <tableColumn id="8306" xr3:uid="{F526D662-3589-45EB-8B92-8906F3618364}" name="Column8301"/>
    <tableColumn id="8307" xr3:uid="{5DCA068F-35D7-49D7-A3B8-FDA73D1764A2}" name="Column8302"/>
    <tableColumn id="8308" xr3:uid="{80EC97E2-59B4-4FE8-93D5-A44BF95A0E0D}" name="Column8303"/>
    <tableColumn id="8309" xr3:uid="{D8ED8DD1-8BFF-4BF3-AFA4-F06994F72C05}" name="Column8304"/>
    <tableColumn id="8310" xr3:uid="{822BF46E-85F4-4103-BACB-B4BBEA202509}" name="Column8305"/>
    <tableColumn id="8311" xr3:uid="{14616C53-EDC4-44AE-A214-06C0B3E4915E}" name="Column8306"/>
    <tableColumn id="8312" xr3:uid="{413D206D-8FCF-4F42-A32F-14BC63870818}" name="Column8307"/>
    <tableColumn id="8313" xr3:uid="{0F8F1D73-FB80-44F1-A18A-3B458D30E226}" name="Column8308"/>
    <tableColumn id="8314" xr3:uid="{8FBF7725-BC9E-4252-8B12-B8127D25D405}" name="Column8309"/>
    <tableColumn id="8315" xr3:uid="{CA587824-7326-43CB-A468-7B844C62FD62}" name="Column8310"/>
    <tableColumn id="8316" xr3:uid="{37795F74-655B-465C-B6E7-E9A0B7D236CB}" name="Column8311"/>
    <tableColumn id="8317" xr3:uid="{C6F3E1FE-70E5-4111-884E-72D9B45A5F92}" name="Column8312"/>
    <tableColumn id="8318" xr3:uid="{FB30B520-3C78-49C7-B073-8A0E3646B59F}" name="Column8313"/>
    <tableColumn id="8319" xr3:uid="{2AC23678-327F-46D7-B237-4EBABC226578}" name="Column8314"/>
    <tableColumn id="8320" xr3:uid="{D9268945-64A0-495D-B075-BE4DB30CFAC0}" name="Column8315"/>
    <tableColumn id="8321" xr3:uid="{039A6CAF-AED2-44E9-A2A6-DD71C7081785}" name="Column8316"/>
    <tableColumn id="8322" xr3:uid="{EAA85F75-2EFB-45B5-80A5-71AF7E9C3B77}" name="Column8317"/>
    <tableColumn id="8323" xr3:uid="{AF47F876-3975-453A-AD20-57AD3EEE4EE2}" name="Column8318"/>
    <tableColumn id="8324" xr3:uid="{7945247B-B78D-46B7-AAB8-8B382CF85A8F}" name="Column8319"/>
    <tableColumn id="8325" xr3:uid="{F4BFEF71-E552-4725-B85D-7AB9B0AA1A9C}" name="Column8320"/>
    <tableColumn id="8326" xr3:uid="{95A9CDB3-C705-4888-BFD4-C42550659777}" name="Column8321"/>
    <tableColumn id="8327" xr3:uid="{727428B6-5039-432E-A5E5-C2E81A5D2ECE}" name="Column8322"/>
    <tableColumn id="8328" xr3:uid="{58BCF53B-8B8F-4B71-8C00-F5A06816ABF6}" name="Column8323"/>
    <tableColumn id="8329" xr3:uid="{94F4FE59-0C22-49DD-932F-B65D4CAF4721}" name="Column8324"/>
    <tableColumn id="8330" xr3:uid="{382E7D33-5782-4416-973D-F427336DEDE5}" name="Column8325"/>
    <tableColumn id="8331" xr3:uid="{54AC940E-0BA3-43A5-ADA9-5181ECCDE9EF}" name="Column8326"/>
    <tableColumn id="8332" xr3:uid="{4FFA79C9-F32A-4AAA-B545-26E537C441EC}" name="Column8327"/>
    <tableColumn id="8333" xr3:uid="{85041E14-1CF6-4C36-B2B9-ACF2AA5541F5}" name="Column8328"/>
    <tableColumn id="8334" xr3:uid="{7AF4F12B-1AC9-4A75-89DE-1351B6B1F1B3}" name="Column8329"/>
    <tableColumn id="8335" xr3:uid="{AEF12B5E-A1D7-4873-B983-EBFF22F9D703}" name="Column8330"/>
    <tableColumn id="8336" xr3:uid="{BF0DC71A-610E-44E5-8629-1A5785B5DF30}" name="Column8331"/>
    <tableColumn id="8337" xr3:uid="{B04FDD71-EBC8-462A-86A7-C0DFCFEB30FD}" name="Column8332"/>
    <tableColumn id="8338" xr3:uid="{34872C25-53CC-4E25-A763-80889D0227BC}" name="Column8333"/>
    <tableColumn id="8339" xr3:uid="{2B344ADF-D5F5-4123-8715-20C89D6DC89A}" name="Column8334"/>
    <tableColumn id="8340" xr3:uid="{5B2836B3-1F25-423E-9C6B-BD2A566AD22E}" name="Column8335"/>
    <tableColumn id="8341" xr3:uid="{C7DAF72A-F679-46C3-A210-46C3B620A1A2}" name="Column8336"/>
    <tableColumn id="8342" xr3:uid="{1812BD84-2B49-46F1-A51E-4C5CCFA541A0}" name="Column8337"/>
    <tableColumn id="8343" xr3:uid="{96D33F69-7AF4-40C4-A5F0-59BC5A7BA8E4}" name="Column8338"/>
    <tableColumn id="8344" xr3:uid="{FCC4EC1C-48A2-466A-84CE-BEF935AE98B9}" name="Column8339"/>
    <tableColumn id="8345" xr3:uid="{C4FABCBD-4100-41EB-B8C5-15BC83DFBCE9}" name="Column8340"/>
    <tableColumn id="8346" xr3:uid="{AA6C0354-1537-4D05-98F6-C6828979DCBA}" name="Column8341"/>
    <tableColumn id="8347" xr3:uid="{300CC8B1-45CF-496A-B5CD-9F2EA90C4381}" name="Column8342"/>
    <tableColumn id="8348" xr3:uid="{E98ADEE5-3565-4803-862F-49DD1ED3D927}" name="Column8343"/>
    <tableColumn id="8349" xr3:uid="{CDFF218A-A265-4D5F-9C9E-0DF03BABD19C}" name="Column8344"/>
    <tableColumn id="8350" xr3:uid="{8ACCD5A3-00D9-45A3-A588-6B63BEADE8C3}" name="Column8345"/>
    <tableColumn id="8351" xr3:uid="{7B219F28-1197-41A8-B30C-85D43D132B83}" name="Column8346"/>
    <tableColumn id="8352" xr3:uid="{DFC7EB0C-1C15-4E71-B440-96370885FFED}" name="Column8347"/>
    <tableColumn id="8353" xr3:uid="{668B5B74-48B3-43C5-BCC0-FD484273B57C}" name="Column8348"/>
    <tableColumn id="8354" xr3:uid="{F4BF14B4-02B5-414D-A800-84317D481B19}" name="Column8349"/>
    <tableColumn id="8355" xr3:uid="{5F2A5939-BB48-4B73-A79E-5DC01DEFC6F7}" name="Column8350"/>
    <tableColumn id="8356" xr3:uid="{50865103-EC30-4DEB-8B96-E05D05AB90B6}" name="Column8351"/>
    <tableColumn id="8357" xr3:uid="{08751662-DAE1-42BF-A42E-0237CE933EDF}" name="Column8352"/>
    <tableColumn id="8358" xr3:uid="{8A6EA193-EF88-4816-A43F-8F1EA7F6EFFE}" name="Column8353"/>
    <tableColumn id="8359" xr3:uid="{6A3B7640-9970-468F-A2BA-583CD147A853}" name="Column8354"/>
    <tableColumn id="8360" xr3:uid="{060CFECE-45E9-480F-A802-74548C470CFC}" name="Column8355"/>
    <tableColumn id="8361" xr3:uid="{194BEFF2-9725-43AD-8DA9-82BB57D0B149}" name="Column8356"/>
    <tableColumn id="8362" xr3:uid="{D52B9301-FFA6-4208-B6B0-251A7207F961}" name="Column8357"/>
    <tableColumn id="8363" xr3:uid="{6B8D5DF9-7815-4925-9D6A-553E6D3919BA}" name="Column8358"/>
    <tableColumn id="8364" xr3:uid="{F1392703-D5E4-4437-8F9C-6A3141F8C2E0}" name="Column8359"/>
    <tableColumn id="8365" xr3:uid="{AB46BF12-3B71-4FCA-8B87-62D90B299984}" name="Column8360"/>
    <tableColumn id="8366" xr3:uid="{78A9AB42-21C7-4652-8AA6-40B69B629F70}" name="Column8361"/>
    <tableColumn id="8367" xr3:uid="{1C95B8B3-FABD-4BDE-8C4C-3E9D99976D27}" name="Column8362"/>
    <tableColumn id="8368" xr3:uid="{92F42A26-30A8-4096-B403-3085D7CA9574}" name="Column8363"/>
    <tableColumn id="8369" xr3:uid="{15A75438-4C1E-454E-99F0-BC8E6F7A0BE9}" name="Column8364"/>
    <tableColumn id="8370" xr3:uid="{8052F91E-84DA-421A-8A63-BBD84A226B0C}" name="Column8365"/>
    <tableColumn id="8371" xr3:uid="{CBD645F6-2E59-49FD-8421-4CF3FCA36256}" name="Column8366"/>
    <tableColumn id="8372" xr3:uid="{E508F3E7-5B5C-4DEF-9A94-14A3E2435B2F}" name="Column8367"/>
    <tableColumn id="8373" xr3:uid="{D9694462-3BC1-42A4-8C35-E3A3BB38E853}" name="Column8368"/>
    <tableColumn id="8374" xr3:uid="{453EC855-D092-4B03-9065-BD2D673DBE65}" name="Column8369"/>
    <tableColumn id="8375" xr3:uid="{0810CF20-3A15-4685-AD7F-BC18EA3654A7}" name="Column8370"/>
    <tableColumn id="8376" xr3:uid="{5E6958E0-9A8E-4DF5-AA36-0CAA3E99E4E5}" name="Column8371"/>
    <tableColumn id="8377" xr3:uid="{7586DA3F-9CB2-4EB2-A869-85B9ACF8DE94}" name="Column8372"/>
    <tableColumn id="8378" xr3:uid="{DFDB59E5-FBF8-4D02-B6E3-8DB732F2CF94}" name="Column8373"/>
    <tableColumn id="8379" xr3:uid="{AD179114-2A06-4A81-98B9-B59F465B7EBE}" name="Column8374"/>
    <tableColumn id="8380" xr3:uid="{13D73B88-F3C5-4AD5-BD93-F0EA8D310260}" name="Column8375"/>
    <tableColumn id="8381" xr3:uid="{9310140F-87BF-4B5D-948E-E91E8FF6E676}" name="Column8376"/>
    <tableColumn id="8382" xr3:uid="{D25DCAAD-CF43-4478-B27C-FF17D2DD1BD4}" name="Column8377"/>
    <tableColumn id="8383" xr3:uid="{F1457382-9768-4C69-8A7B-7993A4FFEE00}" name="Column8378"/>
    <tableColumn id="8384" xr3:uid="{DD683F4A-56E0-4006-B395-D988511B7307}" name="Column8379"/>
    <tableColumn id="8385" xr3:uid="{6D61F64B-6F75-4FF9-ADCE-4871C4A13AFE}" name="Column8380"/>
    <tableColumn id="8386" xr3:uid="{AD69B5A1-B8DF-4009-B67F-DF93DB5462AA}" name="Column8381"/>
    <tableColumn id="8387" xr3:uid="{3524AD98-B957-404F-936C-AF825940AA72}" name="Column8382"/>
    <tableColumn id="8388" xr3:uid="{B9137D55-613B-4C48-A2D2-BA091B7272C3}" name="Column8383"/>
    <tableColumn id="8389" xr3:uid="{5ED740BF-1D32-4623-8740-1B28A8CE5201}" name="Column8384"/>
    <tableColumn id="8390" xr3:uid="{8137A650-6499-4761-9323-3A769C8DF2F8}" name="Column8385"/>
    <tableColumn id="8391" xr3:uid="{E3AE273D-FBE9-4862-89E2-A3CCDC5AC63D}" name="Column8386"/>
    <tableColumn id="8392" xr3:uid="{642995EE-49BC-4C14-93EE-CB5979906318}" name="Column8387"/>
    <tableColumn id="8393" xr3:uid="{8FBD62DC-C20D-45A9-A58A-526A4B4BBCBD}" name="Column8388"/>
    <tableColumn id="8394" xr3:uid="{BEA5F500-6EC3-40B8-A834-1BC00EFEAAF5}" name="Column8389"/>
    <tableColumn id="8395" xr3:uid="{F866EE42-5ADA-4386-90BE-A79465B9BABB}" name="Column8390"/>
    <tableColumn id="8396" xr3:uid="{B439C60E-6CF6-45CD-971C-8C1A6188859C}" name="Column8391"/>
    <tableColumn id="8397" xr3:uid="{2973FD37-270D-4290-ADF1-06019A343A2E}" name="Column8392"/>
    <tableColumn id="8398" xr3:uid="{7BE97090-78F5-4D5D-8A72-47060E877311}" name="Column8393"/>
    <tableColumn id="8399" xr3:uid="{8FCF8E99-9E56-42A0-BB1D-0184E0ED173C}" name="Column8394"/>
    <tableColumn id="8400" xr3:uid="{593ADA52-DC76-4962-8876-44AECDFCF92F}" name="Column8395"/>
    <tableColumn id="8401" xr3:uid="{F9468243-89D1-4750-B0A1-5791653DAD15}" name="Column8396"/>
    <tableColumn id="8402" xr3:uid="{1D4D6EA3-C017-4447-BA1D-5CA96371DB2B}" name="Column8397"/>
    <tableColumn id="8403" xr3:uid="{9C56F563-A01B-4B6E-B495-35E9C52A45FA}" name="Column8398"/>
    <tableColumn id="8404" xr3:uid="{0FB1B29C-DE7F-4DCC-A121-1CBD12032E48}" name="Column8399"/>
    <tableColumn id="8405" xr3:uid="{1E0451AF-2CFD-4BAE-8DC0-31D76D789822}" name="Column8400"/>
    <tableColumn id="8406" xr3:uid="{626C553D-8129-4A85-8150-EFD6D175DA4F}" name="Column8401"/>
    <tableColumn id="8407" xr3:uid="{E174C491-D813-4939-8BD4-3D292F5DB080}" name="Column8402"/>
    <tableColumn id="8408" xr3:uid="{5B549754-D80A-421A-9A66-67F4B33382DD}" name="Column8403"/>
    <tableColumn id="8409" xr3:uid="{584D7BD9-943A-430E-A287-0111F58EB072}" name="Column8404"/>
    <tableColumn id="8410" xr3:uid="{26AD3F8C-566C-44A2-B8C2-948455806543}" name="Column8405"/>
    <tableColumn id="8411" xr3:uid="{6BFFF3BA-EE6F-4743-BB91-95E4D580AB9F}" name="Column8406"/>
    <tableColumn id="8412" xr3:uid="{9A986D43-A49F-4494-A2E4-EA60B7EDD9E5}" name="Column8407"/>
    <tableColumn id="8413" xr3:uid="{8F138E32-0B35-48BB-9B8C-FA5F0E9302DD}" name="Column8408"/>
    <tableColumn id="8414" xr3:uid="{E801818A-2F33-48EC-834C-DEBDA3C47A6B}" name="Column8409"/>
    <tableColumn id="8415" xr3:uid="{9CA69D13-CDFE-4C0D-A493-08F6273A0C2F}" name="Column8410"/>
    <tableColumn id="8416" xr3:uid="{06F5E647-4FA7-472A-86B4-A4C82F862DC3}" name="Column8411"/>
    <tableColumn id="8417" xr3:uid="{7EAF3970-ECCD-4A97-BE8B-BCEB37636467}" name="Column8412"/>
    <tableColumn id="8418" xr3:uid="{EA8149D1-5250-49FC-8622-6187E3428418}" name="Column8413"/>
    <tableColumn id="8419" xr3:uid="{37C44207-7444-4ED1-9914-15E18EB53F01}" name="Column8414"/>
    <tableColumn id="8420" xr3:uid="{DA22F864-BA02-46F8-92A5-E771C779D6E1}" name="Column8415"/>
    <tableColumn id="8421" xr3:uid="{6318FBF2-3645-4C73-97F5-DB6314592C5B}" name="Column8416"/>
    <tableColumn id="8422" xr3:uid="{6B810DEC-19FD-4859-A2D4-B73BA40A45BA}" name="Column8417"/>
    <tableColumn id="8423" xr3:uid="{61C485AB-448F-499A-8456-B335EC9F7B32}" name="Column8418"/>
    <tableColumn id="8424" xr3:uid="{B99023DF-93E0-4FB8-99D7-A0CF22374B0F}" name="Column8419"/>
    <tableColumn id="8425" xr3:uid="{0A66129D-1D94-4494-8808-88F68AB6DEDD}" name="Column8420"/>
    <tableColumn id="8426" xr3:uid="{B90EF3CA-D411-4AA6-8D5A-8F078CFC8D06}" name="Column8421"/>
    <tableColumn id="8427" xr3:uid="{F6B7B5E3-127B-4361-81D1-41169506B964}" name="Column8422"/>
    <tableColumn id="8428" xr3:uid="{BB0077B1-5879-416B-9A17-7CEE169F4F2D}" name="Column8423"/>
    <tableColumn id="8429" xr3:uid="{56B21BEE-597C-4A5C-B81A-A42B3742E7F0}" name="Column8424"/>
    <tableColumn id="8430" xr3:uid="{20EDC3A8-7B52-452B-B12F-1BC97DD4C2F6}" name="Column8425"/>
    <tableColumn id="8431" xr3:uid="{B2867B07-E58D-4FB8-8611-FD24CE5B0032}" name="Column8426"/>
    <tableColumn id="8432" xr3:uid="{325B000E-1E1F-404E-BD69-41873324145F}" name="Column8427"/>
    <tableColumn id="8433" xr3:uid="{C6868A11-19CE-494D-8D0A-29C95734007F}" name="Column8428"/>
    <tableColumn id="8434" xr3:uid="{5851BA26-8F31-4F7E-9EBA-D9929C2F7220}" name="Column8429"/>
    <tableColumn id="8435" xr3:uid="{E8F718C8-0617-458B-AEF3-19C08009A1BA}" name="Column8430"/>
    <tableColumn id="8436" xr3:uid="{EF3CFDEE-0C83-49CB-9C0F-C570FDA5A7BC}" name="Column8431"/>
    <tableColumn id="8437" xr3:uid="{FFB37221-AE23-4E59-A125-B5F2E6984D83}" name="Column8432"/>
    <tableColumn id="8438" xr3:uid="{DE3DF47C-5B1A-4E57-894E-48A6E47B931B}" name="Column8433"/>
    <tableColumn id="8439" xr3:uid="{5C071691-60CC-4F5E-9931-AC6C79E1688C}" name="Column8434"/>
    <tableColumn id="8440" xr3:uid="{5D14B59E-BB2C-4F53-94C8-AB52A921E656}" name="Column8435"/>
    <tableColumn id="8441" xr3:uid="{5D3F4836-BDD0-4092-8734-DB257D083F54}" name="Column8436"/>
    <tableColumn id="8442" xr3:uid="{CDFDDA58-FFD6-42D6-A319-3FC485E1FB30}" name="Column8437"/>
    <tableColumn id="8443" xr3:uid="{9D20B303-553F-4192-9014-D649C7DF791D}" name="Column8438"/>
    <tableColumn id="8444" xr3:uid="{16351CB9-5041-4CCC-A7E3-3D9D114FD84C}" name="Column8439"/>
    <tableColumn id="8445" xr3:uid="{4B532E56-56BE-41F8-A8A1-C132DBB2DE96}" name="Column8440"/>
    <tableColumn id="8446" xr3:uid="{EF52842A-A72E-4FB6-B726-7E83409DB0C6}" name="Column8441"/>
    <tableColumn id="8447" xr3:uid="{F67951B1-D676-43E7-8E82-9A0EBAD0C6C1}" name="Column8442"/>
    <tableColumn id="8448" xr3:uid="{A44D5F5A-C0C5-4369-8E01-A4CF7A9DFA88}" name="Column8443"/>
    <tableColumn id="8449" xr3:uid="{A827CCF0-BEBA-441B-8B14-CD31D245286F}" name="Column8444"/>
    <tableColumn id="8450" xr3:uid="{97A322B4-2F12-4886-B1E0-7260B72F0063}" name="Column8445"/>
    <tableColumn id="8451" xr3:uid="{4DFC3CDB-8A8F-42F0-B820-D97D10893272}" name="Column8446"/>
    <tableColumn id="8452" xr3:uid="{CB8799D1-A82F-4736-B66C-70D0EA298B9D}" name="Column8447"/>
    <tableColumn id="8453" xr3:uid="{6FE0E719-5B70-4FBD-9FD0-4DC2319D52A9}" name="Column8448"/>
    <tableColumn id="8454" xr3:uid="{44351103-64E8-4CC8-ACB4-B4FA7D453698}" name="Column8449"/>
    <tableColumn id="8455" xr3:uid="{184AFDCC-7D7C-4440-8EFF-9DC6B6681DF9}" name="Column8450"/>
    <tableColumn id="8456" xr3:uid="{6AB7202F-A80C-4C69-AC50-6F6B7B5F2A6D}" name="Column8451"/>
    <tableColumn id="8457" xr3:uid="{25EFF224-301F-40D4-8135-37CC382C3BB1}" name="Column8452"/>
    <tableColumn id="8458" xr3:uid="{ECDDCC0C-51C0-46A9-8615-C56F195BEE1C}" name="Column8453"/>
    <tableColumn id="8459" xr3:uid="{45E2C711-A58C-4AF4-9686-B1F2483D6EF0}" name="Column8454"/>
    <tableColumn id="8460" xr3:uid="{CA17BB87-3F08-4C75-9210-C916DD0BC8AA}" name="Column8455"/>
    <tableColumn id="8461" xr3:uid="{93F89181-3895-494C-AE1F-FAC0FE3C6245}" name="Column8456"/>
    <tableColumn id="8462" xr3:uid="{A7F15906-6001-4822-B8B7-3F0E68EAFDE5}" name="Column8457"/>
    <tableColumn id="8463" xr3:uid="{FCE23D2E-90FD-4730-8D44-B549A9065377}" name="Column8458"/>
    <tableColumn id="8464" xr3:uid="{EB3E11D6-DF56-4A32-B047-ECE2189CFE4C}" name="Column8459"/>
    <tableColumn id="8465" xr3:uid="{17573C93-EBAF-424F-9F7E-6FEC0EA7971E}" name="Column8460"/>
    <tableColumn id="8466" xr3:uid="{B7041FE9-1843-4561-A9EB-7EC853F973C7}" name="Column8461"/>
    <tableColumn id="8467" xr3:uid="{CF9C9A07-D3E2-4A34-A7A0-38DF0C754E8A}" name="Column8462"/>
    <tableColumn id="8468" xr3:uid="{60C9F632-8F4E-4BF7-8D3D-4F2C2F5120CD}" name="Column8463"/>
    <tableColumn id="8469" xr3:uid="{BADA786F-D560-4066-AC2B-E266E378CC56}" name="Column8464"/>
    <tableColumn id="8470" xr3:uid="{962BE1D4-2BD9-4E66-A6AD-A4743B9AC9A8}" name="Column8465"/>
    <tableColumn id="8471" xr3:uid="{9DB95C80-A326-4E8E-A7B3-86099F738342}" name="Column8466"/>
    <tableColumn id="8472" xr3:uid="{66B4C8F1-7520-4DFA-8472-8B660662C2FA}" name="Column8467"/>
    <tableColumn id="8473" xr3:uid="{68369EC4-149E-465E-A794-BFB8CA9B68FB}" name="Column8468"/>
    <tableColumn id="8474" xr3:uid="{5101D746-0AD1-4357-A271-EFCCBD152515}" name="Column8469"/>
    <tableColumn id="8475" xr3:uid="{33B67A1B-4F2B-46BE-B0A0-FB99B09DA78C}" name="Column8470"/>
    <tableColumn id="8476" xr3:uid="{B521587F-5A51-43D1-B56F-AF1ADFF12415}" name="Column8471"/>
    <tableColumn id="8477" xr3:uid="{F3ECC25C-244E-41E0-B63D-D78D1311E9C3}" name="Column8472"/>
    <tableColumn id="8478" xr3:uid="{E7D91752-EB72-47A3-A5A6-B3380103C98B}" name="Column8473"/>
    <tableColumn id="8479" xr3:uid="{53FF9E26-456A-4301-BD3C-BFAF59C67DFC}" name="Column8474"/>
    <tableColumn id="8480" xr3:uid="{338AACE0-A7D4-43C0-842B-1297CE6DFD6B}" name="Column8475"/>
    <tableColumn id="8481" xr3:uid="{B6700050-A76B-4857-B362-32A8787E6456}" name="Column8476"/>
    <tableColumn id="8482" xr3:uid="{31986D9A-EA9B-44BE-B297-4ED76EB06813}" name="Column8477"/>
    <tableColumn id="8483" xr3:uid="{311DDF50-2F64-47E5-9670-205BA0562F56}" name="Column8478"/>
    <tableColumn id="8484" xr3:uid="{04DD6FD2-94FC-414E-86D0-B628FA876B2E}" name="Column8479"/>
    <tableColumn id="8485" xr3:uid="{214B97BD-92DE-48B0-A146-27EFA15B4731}" name="Column8480"/>
    <tableColumn id="8486" xr3:uid="{3B1CF974-7BD7-4115-A6CE-5C9C4FADD70D}" name="Column8481"/>
    <tableColumn id="8487" xr3:uid="{46127438-6C9F-496B-8FB0-6342D6789E05}" name="Column8482"/>
    <tableColumn id="8488" xr3:uid="{81CE0E43-70B3-42DC-ABF6-1461495EB4BF}" name="Column8483"/>
    <tableColumn id="8489" xr3:uid="{65E92451-83F6-4B98-AE59-4F4F11C641FA}" name="Column8484"/>
    <tableColumn id="8490" xr3:uid="{10A4C98C-4E34-459F-83E6-E52BC3552DBD}" name="Column8485"/>
    <tableColumn id="8491" xr3:uid="{F3177B72-F633-4E4A-A40F-21C6BA87E4E7}" name="Column8486"/>
    <tableColumn id="8492" xr3:uid="{BF3E77B5-C962-4ABA-BDE2-549132934428}" name="Column8487"/>
    <tableColumn id="8493" xr3:uid="{51487DC5-79EF-4EBB-92EE-DCBA9E0F4C07}" name="Column8488"/>
    <tableColumn id="8494" xr3:uid="{E8C21089-987B-4401-8310-B0C06C74CBDE}" name="Column8489"/>
    <tableColumn id="8495" xr3:uid="{ABDC3203-311C-4004-90F2-210C2DE649CE}" name="Column8490"/>
    <tableColumn id="8496" xr3:uid="{F53C7783-06AD-414C-9FAB-2D89F3999F47}" name="Column8491"/>
    <tableColumn id="8497" xr3:uid="{E069E748-D648-4D71-95DA-7059084F15B8}" name="Column8492"/>
    <tableColumn id="8498" xr3:uid="{EC200BF9-4B95-4B3C-90BD-AE036DB48522}" name="Column8493"/>
    <tableColumn id="8499" xr3:uid="{D2A9ED2F-AD20-4868-98D8-B7BC1CDDA54C}" name="Column8494"/>
    <tableColumn id="8500" xr3:uid="{E407F3AE-E26B-4908-B512-CE2B8FCACD12}" name="Column8495"/>
    <tableColumn id="8501" xr3:uid="{1983F605-D3CB-4644-988B-7B10684A2240}" name="Column8496"/>
    <tableColumn id="8502" xr3:uid="{01196967-4823-4157-85AF-C3E244CDBAC0}" name="Column8497"/>
    <tableColumn id="8503" xr3:uid="{36CE1D68-7262-4A52-9FC5-51A669B7D3BB}" name="Column8498"/>
    <tableColumn id="8504" xr3:uid="{8A12ECE7-D872-4562-808B-127249D0C6F2}" name="Column8499"/>
    <tableColumn id="8505" xr3:uid="{0A6CC379-AB66-4F2A-BF11-2D4827224E32}" name="Column8500"/>
    <tableColumn id="8506" xr3:uid="{B81C991D-BCBD-4B58-9E16-B3E87E5330CE}" name="Column8501"/>
    <tableColumn id="8507" xr3:uid="{EF437E4B-9810-4FC2-A92C-6D0DE871C2AA}" name="Column8502"/>
    <tableColumn id="8508" xr3:uid="{A8DD8D71-CE54-4E76-BD19-91C1FAAF16B9}" name="Column8503"/>
    <tableColumn id="8509" xr3:uid="{F452A61B-9CB5-42B6-A978-637739FD570C}" name="Column8504"/>
    <tableColumn id="8510" xr3:uid="{A50D90B8-2F1B-40E2-9D41-4E9C81443CF0}" name="Column8505"/>
    <tableColumn id="8511" xr3:uid="{CD668F02-7946-4899-B10E-F75AA1BFD496}" name="Column8506"/>
    <tableColumn id="8512" xr3:uid="{6242BB8B-7281-4A3D-814C-B4996615F8AD}" name="Column8507"/>
    <tableColumn id="8513" xr3:uid="{6EDD9C68-49E7-46EA-BED6-2EC1DAAAB793}" name="Column8508"/>
    <tableColumn id="8514" xr3:uid="{7B64AD09-7A43-4CF1-BBEB-86CAE5125CF9}" name="Column8509"/>
    <tableColumn id="8515" xr3:uid="{6696900D-725E-492F-AFF0-EBA662FBD3C8}" name="Column8510"/>
    <tableColumn id="8516" xr3:uid="{FD70DED2-BC55-49CC-9ED1-57D56FE9B4D6}" name="Column8511"/>
    <tableColumn id="8517" xr3:uid="{F899315C-14C3-4857-994E-74F13492A800}" name="Column8512"/>
    <tableColumn id="8518" xr3:uid="{EF6011FE-A078-4072-8F7F-2E87A33064B1}" name="Column8513"/>
    <tableColumn id="8519" xr3:uid="{5A7ECAFC-37CE-43E5-9497-E0926300D53E}" name="Column8514"/>
    <tableColumn id="8520" xr3:uid="{1B251E8E-8D90-4996-BFFD-B72DBB7F7ABA}" name="Column8515"/>
    <tableColumn id="8521" xr3:uid="{E9653C4C-38BC-479D-B3CE-79FB29F84A0F}" name="Column8516"/>
    <tableColumn id="8522" xr3:uid="{21AD2A54-ADED-4DF9-9BFC-9C0CC095007E}" name="Column8517"/>
    <tableColumn id="8523" xr3:uid="{D012817B-6DBD-49F7-BBF9-7FA06A88F9A6}" name="Column8518"/>
    <tableColumn id="8524" xr3:uid="{DC6243BD-16BE-452E-8FF1-E87F030E130B}" name="Column8519"/>
    <tableColumn id="8525" xr3:uid="{A3F65AE4-6AA9-44D8-BCAE-ECE8DD625CD1}" name="Column8520"/>
    <tableColumn id="8526" xr3:uid="{E32C70B4-C049-4994-B68B-631CFF0D007F}" name="Column8521"/>
    <tableColumn id="8527" xr3:uid="{75A222B3-2655-4A93-9659-88E475E5EFA8}" name="Column8522"/>
    <tableColumn id="8528" xr3:uid="{19FF5B13-A1BB-447F-B5DA-EB7FB6BCA929}" name="Column8523"/>
    <tableColumn id="8529" xr3:uid="{2B5D1958-A32B-4B32-9804-A25F1996EF10}" name="Column8524"/>
    <tableColumn id="8530" xr3:uid="{FA3C55AD-2B61-41E8-8AEE-D27BD9EE6775}" name="Column8525"/>
    <tableColumn id="8531" xr3:uid="{4D64FA06-AF68-486A-B3F2-EC88C2D143B6}" name="Column8526"/>
    <tableColumn id="8532" xr3:uid="{8B542A59-D9E2-470F-9A07-D1A586F84359}" name="Column8527"/>
    <tableColumn id="8533" xr3:uid="{09BC762A-395F-4F5A-8285-93CDF9E369EE}" name="Column8528"/>
    <tableColumn id="8534" xr3:uid="{F95CA599-0D6E-49AF-A739-0153A082F113}" name="Column8529"/>
    <tableColumn id="8535" xr3:uid="{5DDC0F49-6787-456D-A8CB-3D36C4109677}" name="Column8530"/>
    <tableColumn id="8536" xr3:uid="{67A0394F-7896-4792-B6CA-F4DE71CE1A92}" name="Column8531"/>
    <tableColumn id="8537" xr3:uid="{26E7D5FC-BF76-4C5F-A8B8-3562EF4EB405}" name="Column8532"/>
    <tableColumn id="8538" xr3:uid="{84646C9C-A9E4-4EE3-872C-F403BE9E3A75}" name="Column8533"/>
    <tableColumn id="8539" xr3:uid="{DEFF4B26-3EEA-46C7-B9EE-49E4454A0F21}" name="Column8534"/>
    <tableColumn id="8540" xr3:uid="{B07C4C0C-B7E5-4F8C-A7B5-90D531F5A52A}" name="Column8535"/>
    <tableColumn id="8541" xr3:uid="{62F99154-691D-49B0-B6BE-CB58CD1B2F3A}" name="Column8536"/>
    <tableColumn id="8542" xr3:uid="{8A9E06A4-3692-457D-AA8E-3ABF71FCD71B}" name="Column8537"/>
    <tableColumn id="8543" xr3:uid="{AE9B6507-F0BF-4AC4-ABAA-722EE2F0297F}" name="Column8538"/>
    <tableColumn id="8544" xr3:uid="{A792D102-DB85-460F-93CB-1DB1D76CAF15}" name="Column8539"/>
    <tableColumn id="8545" xr3:uid="{1899040E-8264-4F35-8577-BBCFE3096024}" name="Column8540"/>
    <tableColumn id="8546" xr3:uid="{8B3E3FD4-4C3C-4C99-9E46-69CE70BF15F1}" name="Column8541"/>
    <tableColumn id="8547" xr3:uid="{EBF65366-2980-4338-B3E8-9A8FFA9C8EC1}" name="Column8542"/>
    <tableColumn id="8548" xr3:uid="{B55E92A0-0BCB-4950-B670-AF66191BB1BD}" name="Column8543"/>
    <tableColumn id="8549" xr3:uid="{497F4D8D-485D-4C52-BCE3-209F0A7532C5}" name="Column8544"/>
    <tableColumn id="8550" xr3:uid="{CBEC27C1-C0B4-4E6B-A8F9-78323E8A3F65}" name="Column8545"/>
    <tableColumn id="8551" xr3:uid="{C056D66F-0177-478A-9F86-C8519D75752D}" name="Column8546"/>
    <tableColumn id="8552" xr3:uid="{F3E9F6DC-F82D-40D3-802F-3A30C339D68A}" name="Column8547"/>
    <tableColumn id="8553" xr3:uid="{D3EE4229-AE01-4341-B937-6E9289C48BA1}" name="Column8548"/>
    <tableColumn id="8554" xr3:uid="{6CE186D3-3B13-41F2-9541-A54697E607F4}" name="Column8549"/>
    <tableColumn id="8555" xr3:uid="{98D95A8F-4C0E-4012-A641-0925013469CA}" name="Column8550"/>
    <tableColumn id="8556" xr3:uid="{7506E4E0-C1E4-4646-B870-F76F1C41BE8F}" name="Column8551"/>
    <tableColumn id="8557" xr3:uid="{044B8680-AD96-40A1-AD49-68A1446481D7}" name="Column8552"/>
    <tableColumn id="8558" xr3:uid="{B79F2B93-3B3A-4E95-8823-B3A0412E7E57}" name="Column8553"/>
    <tableColumn id="8559" xr3:uid="{27648892-CF33-4D32-98E4-CB4B9CFFDB4A}" name="Column8554"/>
    <tableColumn id="8560" xr3:uid="{2E9149D5-EF6E-4D76-A9B8-5F56535321DB}" name="Column8555"/>
    <tableColumn id="8561" xr3:uid="{700918C5-91BC-4CF1-A81B-85080FE435BD}" name="Column8556"/>
    <tableColumn id="8562" xr3:uid="{565BBA4D-3224-4F4C-9C0F-638E0D5F9B00}" name="Column8557"/>
    <tableColumn id="8563" xr3:uid="{3F660FC2-1535-468D-8B83-198EBE7B09C3}" name="Column8558"/>
    <tableColumn id="8564" xr3:uid="{7F5E6F6F-2811-40C2-A238-0E37CBD74217}" name="Column8559"/>
    <tableColumn id="8565" xr3:uid="{65D9F0BA-0517-4B9C-9695-7F6BCBB7599F}" name="Column8560"/>
    <tableColumn id="8566" xr3:uid="{A3351CF0-F405-409A-A240-0822A05C306B}" name="Column8561"/>
    <tableColumn id="8567" xr3:uid="{84A19F01-996E-4C9C-90FA-EFCB70F5E3AD}" name="Column8562"/>
    <tableColumn id="8568" xr3:uid="{D9697BEA-E1C5-4985-ACEB-324BFE11FB44}" name="Column8563"/>
    <tableColumn id="8569" xr3:uid="{3B6AEDB7-8180-4436-869D-409AF0D20753}" name="Column8564"/>
    <tableColumn id="8570" xr3:uid="{46EA451F-B3C6-41C7-A524-B5D7F905A2F3}" name="Column8565"/>
    <tableColumn id="8571" xr3:uid="{2B7F92C1-D61C-4D6F-9085-04460CA225FA}" name="Column8566"/>
    <tableColumn id="8572" xr3:uid="{E6D51EF0-169B-4ED1-BEFD-B72DE8FF72AD}" name="Column8567"/>
    <tableColumn id="8573" xr3:uid="{6A34FB2A-0881-45D6-99D1-C8955FCC97DE}" name="Column8568"/>
    <tableColumn id="8574" xr3:uid="{D471336A-5447-4F94-B5CF-93DD1DB016DB}" name="Column8569"/>
    <tableColumn id="8575" xr3:uid="{4270639D-55A7-47DD-982D-18396EE03C3D}" name="Column8570"/>
    <tableColumn id="8576" xr3:uid="{321262B5-E944-42C9-9B11-DBE562906A31}" name="Column8571"/>
    <tableColumn id="8577" xr3:uid="{FA4794AA-C7B4-47E0-A217-E496FE300C55}" name="Column8572"/>
    <tableColumn id="8578" xr3:uid="{AA9F2EA8-ABE4-4464-8C60-28747FA1A358}" name="Column8573"/>
    <tableColumn id="8579" xr3:uid="{BAC6F511-563B-4EAB-8AC3-41212E12DA3E}" name="Column8574"/>
    <tableColumn id="8580" xr3:uid="{C9B5ADD9-DA3D-4446-9688-6954B5A29E12}" name="Column8575"/>
    <tableColumn id="8581" xr3:uid="{D954A220-377E-47EF-9E42-17F0210A7364}" name="Column8576"/>
    <tableColumn id="8582" xr3:uid="{98B59721-0152-495A-BEDF-7D8396C6BF5F}" name="Column8577"/>
    <tableColumn id="8583" xr3:uid="{61512D48-702B-4D74-9018-F05207066E09}" name="Column8578"/>
    <tableColumn id="8584" xr3:uid="{BF0A4629-2C9D-4EC3-A439-0C47F9AFD825}" name="Column8579"/>
    <tableColumn id="8585" xr3:uid="{B6D1ADCF-ABD8-4D9F-B547-40BE002313A8}" name="Column8580"/>
    <tableColumn id="8586" xr3:uid="{9618EE92-F729-48F1-B361-7FC2B965DA57}" name="Column8581"/>
    <tableColumn id="8587" xr3:uid="{49A14F60-B7A9-4D4C-ABBE-33D02D5B7667}" name="Column8582"/>
    <tableColumn id="8588" xr3:uid="{5B242161-D88B-46A7-9F78-5DE81FA4BD73}" name="Column8583"/>
    <tableColumn id="8589" xr3:uid="{1DD74DE9-6D14-47D3-8EBD-B8C69473E728}" name="Column8584"/>
    <tableColumn id="8590" xr3:uid="{B2B9D066-DF19-47C7-BB18-CBB6DB37AD92}" name="Column8585"/>
    <tableColumn id="8591" xr3:uid="{D23ED1AC-2CCB-4CDA-8EBA-592823A43B63}" name="Column8586"/>
    <tableColumn id="8592" xr3:uid="{40EEFB97-544F-4761-A182-8243D9C803F1}" name="Column8587"/>
    <tableColumn id="8593" xr3:uid="{709A6178-B71A-4D50-9AEC-595308C0675D}" name="Column8588"/>
    <tableColumn id="8594" xr3:uid="{07B74260-AD04-4D65-8735-2AD8F2BAE235}" name="Column8589"/>
    <tableColumn id="8595" xr3:uid="{DA07931D-2F77-43E9-9C9F-431FC2B5DF20}" name="Column8590"/>
    <tableColumn id="8596" xr3:uid="{F7D36C3C-72F8-4194-8945-41BB321110DE}" name="Column8591"/>
    <tableColumn id="8597" xr3:uid="{59FFE051-1E87-4802-87C3-46D973B5236A}" name="Column8592"/>
    <tableColumn id="8598" xr3:uid="{EB360AC9-6CEE-4995-BC4A-587F8CE2C0EA}" name="Column8593"/>
    <tableColumn id="8599" xr3:uid="{3BBEC7AE-A990-4FCF-951F-724DBCD68131}" name="Column8594"/>
    <tableColumn id="8600" xr3:uid="{5991DF95-1E84-49F5-9C99-B2B304F0CCAC}" name="Column8595"/>
    <tableColumn id="8601" xr3:uid="{4053C053-58B5-4F80-AB10-C2B075A33CCA}" name="Column8596"/>
    <tableColumn id="8602" xr3:uid="{23EF9067-E48F-40BE-A5F8-400557768A67}" name="Column8597"/>
    <tableColumn id="8603" xr3:uid="{5CF9B6D8-0143-49DC-B0B9-9477E97BB185}" name="Column8598"/>
    <tableColumn id="8604" xr3:uid="{566DCECA-D8CC-4AAA-B408-1152D1E84846}" name="Column8599"/>
    <tableColumn id="8605" xr3:uid="{56B2E3EC-4B97-440C-BF99-F3103D09472E}" name="Column8600"/>
    <tableColumn id="8606" xr3:uid="{4CC9632D-D6D4-423F-8556-69F688F9329F}" name="Column8601"/>
    <tableColumn id="8607" xr3:uid="{E918F53D-D4B7-4741-A217-2E44E9F4D144}" name="Column8602"/>
    <tableColumn id="8608" xr3:uid="{1C3B516D-7478-4BD4-9072-F8575D2C80E8}" name="Column8603"/>
    <tableColumn id="8609" xr3:uid="{C53C8FAF-74EA-4E09-8DB3-71069A49772A}" name="Column8604"/>
    <tableColumn id="8610" xr3:uid="{25C7AB23-2573-428E-B329-34B48F120F00}" name="Column8605"/>
    <tableColumn id="8611" xr3:uid="{FF20B428-4E5F-4472-B281-20DB7C905652}" name="Column8606"/>
    <tableColumn id="8612" xr3:uid="{30049EED-30CF-45C0-B7E2-B710E77BCBBA}" name="Column8607"/>
    <tableColumn id="8613" xr3:uid="{E5BFAB1B-AF40-4546-A537-C5A2F62DC8F3}" name="Column8608"/>
    <tableColumn id="8614" xr3:uid="{114E409D-335F-45B0-885B-F5B1850736D4}" name="Column8609"/>
    <tableColumn id="8615" xr3:uid="{9CC3406B-AB40-4745-9CF2-066C3E467219}" name="Column8610"/>
    <tableColumn id="8616" xr3:uid="{7821CF6E-BE71-45E0-B435-188DE632B254}" name="Column8611"/>
    <tableColumn id="8617" xr3:uid="{84563A80-47B2-4EA6-820B-888644B0CB35}" name="Column8612"/>
    <tableColumn id="8618" xr3:uid="{2B138EBE-A793-4DBD-B1E6-13FE3FC275AB}" name="Column8613"/>
    <tableColumn id="8619" xr3:uid="{7552D8B6-4907-4357-B0B2-55F7794C66F7}" name="Column8614"/>
    <tableColumn id="8620" xr3:uid="{6A355C11-525B-4D96-851F-F9051CDA9B82}" name="Column8615"/>
    <tableColumn id="8621" xr3:uid="{EF8F4940-347F-49C9-9E55-3E281456E4B7}" name="Column8616"/>
    <tableColumn id="8622" xr3:uid="{C0E97124-B04C-4E89-ADA3-793AB4234A85}" name="Column8617"/>
    <tableColumn id="8623" xr3:uid="{499B233F-04A7-4A44-95C9-8FCB83D70FD6}" name="Column8618"/>
    <tableColumn id="8624" xr3:uid="{EF9B8A45-86E3-4B4A-A2C5-3993B59F9CCD}" name="Column8619"/>
    <tableColumn id="8625" xr3:uid="{5C3643EC-E634-48D0-A5A6-65E4327E1007}" name="Column8620"/>
    <tableColumn id="8626" xr3:uid="{5AE57941-97EE-4991-89E5-12048D7FDE4C}" name="Column8621"/>
    <tableColumn id="8627" xr3:uid="{51F68826-2C18-4591-B44D-CE22AE0AF95B}" name="Column8622"/>
    <tableColumn id="8628" xr3:uid="{BE996055-4D19-47D1-BF4A-EE1AC68C9443}" name="Column8623"/>
    <tableColumn id="8629" xr3:uid="{3544C378-BDC8-4D6A-84E9-7279E7C3BEBB}" name="Column8624"/>
    <tableColumn id="8630" xr3:uid="{07E7379B-4B16-4149-B9E8-2E2D319353B4}" name="Column8625"/>
    <tableColumn id="8631" xr3:uid="{1E70BF43-ED2A-4A20-B890-5FD62302FB85}" name="Column8626"/>
    <tableColumn id="8632" xr3:uid="{6880D096-C129-4655-A1DA-545A05BA9CED}" name="Column8627"/>
    <tableColumn id="8633" xr3:uid="{FD59183F-C293-4BCE-9E86-99B5A74523D3}" name="Column8628"/>
    <tableColumn id="8634" xr3:uid="{21F27BE7-B267-4167-AFDC-F10CD0873000}" name="Column8629"/>
    <tableColumn id="8635" xr3:uid="{D3C5027A-C70D-4EBF-963C-821EC6186AD8}" name="Column8630"/>
    <tableColumn id="8636" xr3:uid="{19185DB9-247F-4D5C-9912-F687D348C3B7}" name="Column8631"/>
    <tableColumn id="8637" xr3:uid="{5D2A3FAF-D112-4E08-AFA6-6D1A41104EE1}" name="Column8632"/>
    <tableColumn id="8638" xr3:uid="{B6DC9AEB-7140-43E6-99C4-C1B8EFD3981E}" name="Column8633"/>
    <tableColumn id="8639" xr3:uid="{2EA36631-B1DA-4CDD-A535-9AFB4CEAC0ED}" name="Column8634"/>
    <tableColumn id="8640" xr3:uid="{488727DC-765B-4A8A-9ABC-DC9630D7B6DC}" name="Column8635"/>
    <tableColumn id="8641" xr3:uid="{D2BC1279-6638-40C5-A068-8DC3C868627E}" name="Column8636"/>
    <tableColumn id="8642" xr3:uid="{F63118C1-61BB-4431-A16C-56C4CB7E537E}" name="Column8637"/>
    <tableColumn id="8643" xr3:uid="{EEE98E46-87C9-4CDC-8519-4EC23B6EA3F4}" name="Column8638"/>
    <tableColumn id="8644" xr3:uid="{E03B442A-9E89-4ED3-A718-E759C2C7B39A}" name="Column8639"/>
    <tableColumn id="8645" xr3:uid="{C410055E-B2E6-4674-BCD1-C62BCA53C5E2}" name="Column8640"/>
    <tableColumn id="8646" xr3:uid="{51FE67BA-C082-4923-93B1-CBF1197FA351}" name="Column8641"/>
    <tableColumn id="8647" xr3:uid="{E1012187-1FFC-450B-9BF8-5FEB329E7F46}" name="Column8642"/>
    <tableColumn id="8648" xr3:uid="{C07CC04F-7187-40EA-87FE-71AFA088CA0C}" name="Column8643"/>
    <tableColumn id="8649" xr3:uid="{C5D9A876-F2DD-4178-AC00-1A47DBAE548B}" name="Column8644"/>
    <tableColumn id="8650" xr3:uid="{36B4E051-B85D-4481-A025-B84078B72D18}" name="Column8645"/>
    <tableColumn id="8651" xr3:uid="{F8CF847E-BCB2-4D7B-AE91-8AFC911E86E6}" name="Column8646"/>
    <tableColumn id="8652" xr3:uid="{36AAE1B8-2020-4E95-B2B5-4104A9172E91}" name="Column8647"/>
    <tableColumn id="8653" xr3:uid="{39D1800A-8891-4324-8C0E-F7184C9214A8}" name="Column8648"/>
    <tableColumn id="8654" xr3:uid="{38ECDFF8-7187-4326-85F3-C17D524DD28B}" name="Column8649"/>
    <tableColumn id="8655" xr3:uid="{7760FF6A-4B9B-472E-91C3-294444BEDF93}" name="Column8650"/>
    <tableColumn id="8656" xr3:uid="{32774DA6-3C3E-45C8-8BA2-2D9A317BB0AB}" name="Column8651"/>
    <tableColumn id="8657" xr3:uid="{58130EF5-1D66-40F3-A612-40EDBF9E928D}" name="Column8652"/>
    <tableColumn id="8658" xr3:uid="{E48A2BBC-D134-4395-A88E-18F79C952785}" name="Column8653"/>
    <tableColumn id="8659" xr3:uid="{F1FFCB29-1834-4C14-8581-BB5EBCA958D1}" name="Column8654"/>
    <tableColumn id="8660" xr3:uid="{BB017E65-C872-465C-86E0-A1EE30227525}" name="Column8655"/>
    <tableColumn id="8661" xr3:uid="{7D6B858C-BFEF-426E-9002-2B5A3E294096}" name="Column8656"/>
    <tableColumn id="8662" xr3:uid="{CF5C6A95-5F10-4E09-A262-775D4AD214F7}" name="Column8657"/>
    <tableColumn id="8663" xr3:uid="{D015FE4A-C98E-453F-AE29-3560536C6556}" name="Column8658"/>
    <tableColumn id="8664" xr3:uid="{A4A4F53E-47FB-4AD4-87A5-EA264885DEB6}" name="Column8659"/>
    <tableColumn id="8665" xr3:uid="{0A765E7A-0F9C-44CD-9C2D-7F16A36BC0ED}" name="Column8660"/>
    <tableColumn id="8666" xr3:uid="{BDC5B0AD-B718-40D9-A2A3-21B49D1004F3}" name="Column8661"/>
    <tableColumn id="8667" xr3:uid="{C945BC85-AA2D-4273-BD90-B64C32A0F5E2}" name="Column8662"/>
    <tableColumn id="8668" xr3:uid="{7F9C0F79-C80C-41ED-B996-851AA6F53098}" name="Column8663"/>
    <tableColumn id="8669" xr3:uid="{11D433C3-4D51-4E0A-89A0-2945EE3C9EBD}" name="Column8664"/>
    <tableColumn id="8670" xr3:uid="{72D0C186-786B-4523-B198-FDD138562281}" name="Column8665"/>
    <tableColumn id="8671" xr3:uid="{EEA11C8C-9AD6-4761-8D4B-AB6F30755529}" name="Column8666"/>
    <tableColumn id="8672" xr3:uid="{7A7D0FB4-721C-44AB-ADA3-B3B51A8FE5FF}" name="Column8667"/>
    <tableColumn id="8673" xr3:uid="{C75E7200-87C9-412A-B84E-0847A7C5D13C}" name="Column8668"/>
    <tableColumn id="8674" xr3:uid="{A9753E2C-78E4-4F00-8858-23F88E23A5B4}" name="Column8669"/>
    <tableColumn id="8675" xr3:uid="{C87C70A7-3E90-4B89-9076-80A71538F196}" name="Column8670"/>
    <tableColumn id="8676" xr3:uid="{B747DC31-41D9-44B9-95A8-D83DF911E40C}" name="Column8671"/>
    <tableColumn id="8677" xr3:uid="{905D7F95-E9C4-4C36-A722-FBE584EE8269}" name="Column8672"/>
    <tableColumn id="8678" xr3:uid="{6417AB78-9D54-44AA-ACFC-99213C8B6ECB}" name="Column8673"/>
    <tableColumn id="8679" xr3:uid="{64B631F1-7FB0-44D9-B524-4841F11D8478}" name="Column8674"/>
    <tableColumn id="8680" xr3:uid="{5E9C40FE-CECF-4B27-85F9-8DC146CDB7C1}" name="Column8675"/>
    <tableColumn id="8681" xr3:uid="{6999F348-B4D5-4087-A200-1FE390590480}" name="Column8676"/>
    <tableColumn id="8682" xr3:uid="{0BDC649C-1399-4DBC-A2E2-9CF1F1756EFA}" name="Column8677"/>
    <tableColumn id="8683" xr3:uid="{6D792343-D54A-4DAB-A3C7-7CE28D17B6D9}" name="Column8678"/>
    <tableColumn id="8684" xr3:uid="{3C3D40D0-1551-4ED8-BC19-F0A6BDBCC3C5}" name="Column8679"/>
    <tableColumn id="8685" xr3:uid="{DACEC400-0DEC-43B4-B20D-8FA7A51BB9C3}" name="Column8680"/>
    <tableColumn id="8686" xr3:uid="{2BBE8CEC-8B71-4525-BDA0-1BB944F31A83}" name="Column8681"/>
    <tableColumn id="8687" xr3:uid="{687A4EBB-02E5-46D3-B1C1-127BC150FEEE}" name="Column8682"/>
    <tableColumn id="8688" xr3:uid="{90ED072E-9A7C-4155-8645-D14E2F2B4265}" name="Column8683"/>
    <tableColumn id="8689" xr3:uid="{67C46C25-B09C-4F8B-AD54-CBC463ABCDFC}" name="Column8684"/>
    <tableColumn id="8690" xr3:uid="{F95CE295-738E-44BE-BB55-E667D51A8EA1}" name="Column8685"/>
    <tableColumn id="8691" xr3:uid="{BBD762E1-72B8-46BF-8A70-B07267492756}" name="Column8686"/>
    <tableColumn id="8692" xr3:uid="{97A4A247-B21E-4F73-8A75-4B1AAC32D6B8}" name="Column8687"/>
    <tableColumn id="8693" xr3:uid="{FD2AB9F6-2DFC-4D45-B057-F2E83A5DC877}" name="Column8688"/>
    <tableColumn id="8694" xr3:uid="{36F448AA-6237-4F7A-9624-7676215D47E2}" name="Column8689"/>
    <tableColumn id="8695" xr3:uid="{80BD982C-6BCB-47BE-9BFC-5A01E2784C84}" name="Column8690"/>
    <tableColumn id="8696" xr3:uid="{095F8E05-1FDF-46BA-89D2-D7C8CD5D05FB}" name="Column8691"/>
    <tableColumn id="8697" xr3:uid="{096D3482-8D8B-4EFE-BC2A-5A9E20BDCFCD}" name="Column8692"/>
    <tableColumn id="8698" xr3:uid="{CB5A8769-346C-44B5-8A41-02BC03BEEE6B}" name="Column8693"/>
    <tableColumn id="8699" xr3:uid="{1175618D-4CC4-447F-8AD8-D5CD1484D5C8}" name="Column8694"/>
    <tableColumn id="8700" xr3:uid="{7F68B1AE-C669-415A-AFB6-0721AF27BC3C}" name="Column8695"/>
    <tableColumn id="8701" xr3:uid="{0E6CAED7-A1D2-49B5-82CE-10D2C70CF58E}" name="Column8696"/>
    <tableColumn id="8702" xr3:uid="{1325CFFD-09E8-41DC-9068-C1C1787CFAA9}" name="Column8697"/>
    <tableColumn id="8703" xr3:uid="{1D5CC690-B882-40BC-88DC-C45255B24EA4}" name="Column8698"/>
    <tableColumn id="8704" xr3:uid="{68733C5B-3951-408E-A31F-3AA70F2CF85F}" name="Column8699"/>
    <tableColumn id="8705" xr3:uid="{9A6CD89D-0A4A-4C4B-9A20-AB6D53A33240}" name="Column8700"/>
    <tableColumn id="8706" xr3:uid="{4B3A889F-E5FD-4DCF-BFFC-CBC2B3D0D8B9}" name="Column8701"/>
    <tableColumn id="8707" xr3:uid="{FD02F25C-817C-4A72-B1B7-C74B86BF4789}" name="Column8702"/>
    <tableColumn id="8708" xr3:uid="{BAC1585F-9CFF-417D-BB6E-CEF0A6FBF499}" name="Column8703"/>
    <tableColumn id="8709" xr3:uid="{28998E0A-339E-42BE-ABCB-EF61FAFE46B2}" name="Column8704"/>
    <tableColumn id="8710" xr3:uid="{A092D7E2-B2F7-4D08-9F83-0F8390620E9B}" name="Column8705"/>
    <tableColumn id="8711" xr3:uid="{3884431A-AC38-4EC7-A7E5-49159E7A24BA}" name="Column8706"/>
    <tableColumn id="8712" xr3:uid="{EBB655AF-7F12-4DB6-89E0-742B3E3C931C}" name="Column8707"/>
    <tableColumn id="8713" xr3:uid="{7C375D08-9E9B-4C32-AD48-02C66052DABD}" name="Column8708"/>
    <tableColumn id="8714" xr3:uid="{7ECDAECE-B31F-4E37-BDCC-B74BA9B9BA6E}" name="Column8709"/>
    <tableColumn id="8715" xr3:uid="{61672B3A-81C3-4ABF-BEF7-3BF36DB5BFF3}" name="Column8710"/>
    <tableColumn id="8716" xr3:uid="{159BBE05-2D10-4821-9B3B-712C251FE3BC}" name="Column8711"/>
    <tableColumn id="8717" xr3:uid="{C67C00CE-629B-48E8-A71E-D50A19C213A1}" name="Column8712"/>
    <tableColumn id="8718" xr3:uid="{E5434DE2-EBF3-4C4C-BAD0-55BCF791FB8E}" name="Column8713"/>
    <tableColumn id="8719" xr3:uid="{C537DFEA-62B5-4924-9B10-E6619E8BF658}" name="Column8714"/>
    <tableColumn id="8720" xr3:uid="{D38D5494-9E29-4F44-B8EB-FA20F1ED1BAA}" name="Column8715"/>
    <tableColumn id="8721" xr3:uid="{626341F3-7F63-4F25-B28B-69AD202CBCD1}" name="Column8716"/>
    <tableColumn id="8722" xr3:uid="{566126C3-8E29-41ED-AAA2-4EEF9B4AA7C7}" name="Column8717"/>
    <tableColumn id="8723" xr3:uid="{9C5B84C4-373B-4BA3-960F-952DF21D2230}" name="Column8718"/>
    <tableColumn id="8724" xr3:uid="{4CB8B09F-44D7-4AC5-AE32-619F2F0590BA}" name="Column8719"/>
    <tableColumn id="8725" xr3:uid="{1E42B85F-DFA7-42DA-8156-8ED80BC52F62}" name="Column8720"/>
    <tableColumn id="8726" xr3:uid="{BAFA2D01-EE43-4F89-8261-A2327DF2D505}" name="Column8721"/>
    <tableColumn id="8727" xr3:uid="{45779354-5328-4A63-8749-1381AE773952}" name="Column8722"/>
    <tableColumn id="8728" xr3:uid="{131CD137-2A7A-4056-A9DC-9DB270769EB4}" name="Column8723"/>
    <tableColumn id="8729" xr3:uid="{BE6301D4-4DBA-402E-8586-9BE5AAA22D72}" name="Column8724"/>
    <tableColumn id="8730" xr3:uid="{4E932BE3-45B9-4802-82E4-B26C59D3EE95}" name="Column8725"/>
    <tableColumn id="8731" xr3:uid="{3A834DFB-0640-4EBA-931C-6BC020832DEF}" name="Column8726"/>
    <tableColumn id="8732" xr3:uid="{AD8AF422-EE99-46BE-BA6D-A9D37C1E1D37}" name="Column8727"/>
    <tableColumn id="8733" xr3:uid="{65DEB69E-9E6E-4DE3-96AF-B2D7FE17AD4A}" name="Column8728"/>
    <tableColumn id="8734" xr3:uid="{6F00BD43-3A43-4AB9-A165-96060E8EA962}" name="Column8729"/>
    <tableColumn id="8735" xr3:uid="{BD7DE49A-7755-478E-A232-E21CE297CF5E}" name="Column8730"/>
    <tableColumn id="8736" xr3:uid="{5ADB588D-E0A0-4778-B1ED-FD97D20F761A}" name="Column8731"/>
    <tableColumn id="8737" xr3:uid="{15955356-5CE8-40EA-B148-96AABBAF08BC}" name="Column8732"/>
    <tableColumn id="8738" xr3:uid="{D1A14A0C-2F54-42F6-8B05-7789E3BA15FB}" name="Column8733"/>
    <tableColumn id="8739" xr3:uid="{FDD7BD2C-DE17-47DA-87C3-D2B685E008CA}" name="Column8734"/>
    <tableColumn id="8740" xr3:uid="{F5EB0E1D-236A-4C92-89B9-14C3B2757C44}" name="Column8735"/>
    <tableColumn id="8741" xr3:uid="{C78711BA-722E-4BE3-AD29-D0A7D5B80985}" name="Column8736"/>
    <tableColumn id="8742" xr3:uid="{AA900F12-85FC-47BA-8BE9-4B43502108FC}" name="Column8737"/>
    <tableColumn id="8743" xr3:uid="{AB31989E-2D5D-47E4-991F-5948B9A72BE4}" name="Column8738"/>
    <tableColumn id="8744" xr3:uid="{7F103928-BB4B-4A1B-9200-EA2F6B763AD4}" name="Column8739"/>
    <tableColumn id="8745" xr3:uid="{8FEEA51A-13D8-4AE5-9082-778774C0B35F}" name="Column8740"/>
    <tableColumn id="8746" xr3:uid="{E53AEAA6-6452-4CBF-94B0-CCF9EC841F99}" name="Column8741"/>
    <tableColumn id="8747" xr3:uid="{2A1B100C-0E58-4B55-9309-2E91074A0311}" name="Column8742"/>
    <tableColumn id="8748" xr3:uid="{54E7E4B1-902A-413B-90F8-2FE3D20C87DD}" name="Column8743"/>
    <tableColumn id="8749" xr3:uid="{782CD634-2A4E-428D-8217-B1B859972EFB}" name="Column8744"/>
    <tableColumn id="8750" xr3:uid="{C9893308-059D-49A7-8093-69B9272B0B0F}" name="Column8745"/>
    <tableColumn id="8751" xr3:uid="{27D2CFF7-DE3D-42F8-93BB-E55120650DEA}" name="Column8746"/>
    <tableColumn id="8752" xr3:uid="{9372CFBF-BAA1-4795-B8A7-30160F2D265B}" name="Column8747"/>
    <tableColumn id="8753" xr3:uid="{60BD0B7F-C8B6-44A6-980B-5BC79183386F}" name="Column8748"/>
    <tableColumn id="8754" xr3:uid="{57838F7B-BA9B-4A2E-AF18-53AADCBF37CE}" name="Column8749"/>
    <tableColumn id="8755" xr3:uid="{B572B762-89BE-440F-AB62-DB64CC77EDF3}" name="Column8750"/>
    <tableColumn id="8756" xr3:uid="{D4854F7E-7512-4869-81A0-D688028D7374}" name="Column8751"/>
    <tableColumn id="8757" xr3:uid="{9497F97F-B0D9-44AA-A51F-938E8989884F}" name="Column8752"/>
    <tableColumn id="8758" xr3:uid="{69B6BF2D-D6C4-48FD-B1A4-738FECA55BB2}" name="Column8753"/>
    <tableColumn id="8759" xr3:uid="{D4812F9A-43B6-4B95-966B-9CE8563EEC4F}" name="Column8754"/>
    <tableColumn id="8760" xr3:uid="{71C573F1-3AEA-4A8D-BF77-21237F1664A1}" name="Column8755"/>
    <tableColumn id="8761" xr3:uid="{2457869D-4759-4122-848C-106B8024C508}" name="Column8756"/>
    <tableColumn id="8762" xr3:uid="{3C6FD386-31E6-4D70-9175-575E39CF5654}" name="Column8757"/>
    <tableColumn id="8763" xr3:uid="{66EEBBC5-87C1-4A01-B4C4-B95C7657D4F1}" name="Column8758"/>
    <tableColumn id="8764" xr3:uid="{E8D65D39-54BE-4624-A64C-8602367D2277}" name="Column8759"/>
    <tableColumn id="8765" xr3:uid="{2CBF68FF-6A9C-4434-BF5C-982E4DFFFBF9}" name="Column8760"/>
    <tableColumn id="8766" xr3:uid="{F3131124-E40B-4150-8966-BC891B958240}" name="Column8761"/>
    <tableColumn id="8767" xr3:uid="{B2AE340D-73C6-4675-90BE-5E8E062B1596}" name="Column8762"/>
    <tableColumn id="8768" xr3:uid="{3F484E53-B42E-4CD2-9469-8D3EEC21D08C}" name="Column8763"/>
    <tableColumn id="8769" xr3:uid="{DDA1D071-0DDB-4E0C-8C5D-42A738D1DBDB}" name="Column8764"/>
    <tableColumn id="8770" xr3:uid="{5B467E53-CEED-49A4-9264-51FF4DD1B1F0}" name="Column8765"/>
    <tableColumn id="8771" xr3:uid="{73461F41-A9C4-4EA3-A3C4-ECE73852D717}" name="Column8766"/>
    <tableColumn id="8772" xr3:uid="{39133F37-C055-484C-A99C-242A5F1787DF}" name="Column8767"/>
    <tableColumn id="8773" xr3:uid="{D57A05F8-9E51-40FA-913F-B8A6186E1718}" name="Column8768"/>
    <tableColumn id="8774" xr3:uid="{55CAFAAC-C5FD-4C5E-BAEA-E362B32A6B39}" name="Column8769"/>
    <tableColumn id="8775" xr3:uid="{ADD81385-3CD9-41E8-BC26-BC197B5EC86F}" name="Column8770"/>
    <tableColumn id="8776" xr3:uid="{D0A02B5D-8A68-42BD-95DE-1C753371AA98}" name="Column8771"/>
    <tableColumn id="8777" xr3:uid="{343E5237-07FC-4B33-B812-0E1858C14B38}" name="Column8772"/>
    <tableColumn id="8778" xr3:uid="{7D13BA51-6462-47F8-8B75-1EE89B6DEC7F}" name="Column8773"/>
    <tableColumn id="8779" xr3:uid="{EE1D711B-E0C3-4C22-B488-FF4C473ACFCF}" name="Column8774"/>
    <tableColumn id="8780" xr3:uid="{6FE2DCCA-403E-48D4-97CE-3C4AB3EF2DED}" name="Column8775"/>
    <tableColumn id="8781" xr3:uid="{CE72C6EB-A523-468E-A1BC-2E99A27F20D9}" name="Column8776"/>
    <tableColumn id="8782" xr3:uid="{CC0279D0-92B5-431C-807B-C2811ED9601B}" name="Column8777"/>
    <tableColumn id="8783" xr3:uid="{BCBD2432-AFB0-4E31-83B8-CBF771EF89A8}" name="Column8778"/>
    <tableColumn id="8784" xr3:uid="{162AAADB-BC0F-42BB-9D79-3BBF2F41F2F3}" name="Column8779"/>
    <tableColumn id="8785" xr3:uid="{FE8615F7-910E-4ED4-81F7-499805220876}" name="Column8780"/>
    <tableColumn id="8786" xr3:uid="{81B416E1-34AD-4B6E-8688-8907B9D62452}" name="Column8781"/>
    <tableColumn id="8787" xr3:uid="{304CD05B-C5DE-4610-B768-57D1AE9F3293}" name="Column8782"/>
    <tableColumn id="8788" xr3:uid="{5292C58B-3113-4BFA-BD40-48379E4B0703}" name="Column8783"/>
    <tableColumn id="8789" xr3:uid="{339AD119-43AC-4102-AA20-312C18897487}" name="Column8784"/>
    <tableColumn id="8790" xr3:uid="{3EF3F0F1-D1B2-49EB-A7D2-B01726C345FC}" name="Column8785"/>
    <tableColumn id="8791" xr3:uid="{08E6D72B-4928-4150-8DAD-211718750020}" name="Column8786"/>
    <tableColumn id="8792" xr3:uid="{912C17CC-5D11-4350-AE1D-B8CB25AEA9E2}" name="Column8787"/>
    <tableColumn id="8793" xr3:uid="{B2389101-D304-44BE-AE0E-D6B35F4A542C}" name="Column8788"/>
    <tableColumn id="8794" xr3:uid="{72AEA19B-6B38-483B-B5DA-5BD8505D9EB8}" name="Column8789"/>
    <tableColumn id="8795" xr3:uid="{038F855C-6EC8-4E1E-86B2-74A9B1979BDC}" name="Column8790"/>
    <tableColumn id="8796" xr3:uid="{DA98AE1A-0F14-48D3-9B85-2E40B20AF30F}" name="Column8791"/>
    <tableColumn id="8797" xr3:uid="{54798326-0A61-4131-8E82-9404DA719FC0}" name="Column8792"/>
    <tableColumn id="8798" xr3:uid="{2CF1A846-059C-45D2-949C-772D8A76295E}" name="Column8793"/>
    <tableColumn id="8799" xr3:uid="{3B1E8495-BF82-4C35-95C8-AE6CB4B29007}" name="Column8794"/>
    <tableColumn id="8800" xr3:uid="{E63D08F6-2AC0-473B-A0D1-60E1542136A0}" name="Column8795"/>
    <tableColumn id="8801" xr3:uid="{4F3F38F8-06F5-4066-ABA0-2EC2B0BA2E73}" name="Column8796"/>
    <tableColumn id="8802" xr3:uid="{1C665C40-7F9E-43EF-A6DE-1DCA1A5832F5}" name="Column8797"/>
    <tableColumn id="8803" xr3:uid="{03F36A06-5545-49B8-98FC-717ACA0CDA08}" name="Column8798"/>
    <tableColumn id="8804" xr3:uid="{4947753D-B5C5-4895-820B-A45C89E353F5}" name="Column8799"/>
    <tableColumn id="8805" xr3:uid="{1816BDC7-1677-45F1-8E6B-B591F2005F98}" name="Column8800"/>
    <tableColumn id="8806" xr3:uid="{C75E89A9-ED28-4F96-951D-596F8885B40A}" name="Column8801"/>
    <tableColumn id="8807" xr3:uid="{C4E95A44-622C-4D52-A6C6-50F599E0981A}" name="Column8802"/>
    <tableColumn id="8808" xr3:uid="{6C47BCA7-0F23-4AEF-B444-023A215AE251}" name="Column8803"/>
    <tableColumn id="8809" xr3:uid="{89E8432D-7045-4FE1-A357-0989B9AC858A}" name="Column8804"/>
    <tableColumn id="8810" xr3:uid="{0485F750-B8D6-4EB3-860D-ADE65ADB8270}" name="Column8805"/>
    <tableColumn id="8811" xr3:uid="{33FCF104-CDC9-4BD8-A27C-96CE4C8A8EC2}" name="Column8806"/>
    <tableColumn id="8812" xr3:uid="{5A966788-83F4-4161-A33A-B38D6403F203}" name="Column8807"/>
    <tableColumn id="8813" xr3:uid="{60CD88D1-55EE-4F5C-931D-82326306FC02}" name="Column8808"/>
    <tableColumn id="8814" xr3:uid="{01DADF7B-D795-4A0C-BB09-8EC6FD722838}" name="Column8809"/>
    <tableColumn id="8815" xr3:uid="{3BA99387-F34F-4171-894D-A4137126E2B5}" name="Column8810"/>
    <tableColumn id="8816" xr3:uid="{DEBAC1EB-3898-4F09-89BE-35A71348EB26}" name="Column8811"/>
    <tableColumn id="8817" xr3:uid="{92694D8F-DEDA-4444-BF1A-1A21C8C14930}" name="Column8812"/>
    <tableColumn id="8818" xr3:uid="{633AE644-DE23-4730-BBBE-9DD42C2DBD6C}" name="Column8813"/>
    <tableColumn id="8819" xr3:uid="{A56D2A4C-77B7-4012-9375-39EA9AD6E208}" name="Column8814"/>
    <tableColumn id="8820" xr3:uid="{0ED50044-6811-45CE-B397-91C1CBC149E5}" name="Column8815"/>
    <tableColumn id="8821" xr3:uid="{C76039BE-F121-4F44-B396-0184DD47A36F}" name="Column8816"/>
    <tableColumn id="8822" xr3:uid="{6144EAAA-A0AC-4E30-A649-56835AF7AB8F}" name="Column8817"/>
    <tableColumn id="8823" xr3:uid="{CBDC708E-3693-4ADB-9671-0FFB1CAE04B8}" name="Column8818"/>
    <tableColumn id="8824" xr3:uid="{41D8ECEB-0EE0-4755-BE41-A49AC5DB2303}" name="Column8819"/>
    <tableColumn id="8825" xr3:uid="{A1D0AEE8-4131-44CB-AABE-8E35EC4E2F0E}" name="Column8820"/>
    <tableColumn id="8826" xr3:uid="{5BFCDF8C-A10D-4DAC-8252-50B427893DCE}" name="Column8821"/>
    <tableColumn id="8827" xr3:uid="{F722E8CC-B236-49D0-8088-105D47F0B2B7}" name="Column8822"/>
    <tableColumn id="8828" xr3:uid="{3811A94D-44C8-414C-BA4E-7C22E6425A78}" name="Column8823"/>
    <tableColumn id="8829" xr3:uid="{411C9DF4-0A42-4BF0-AA3E-21DB58CD45DA}" name="Column8824"/>
    <tableColumn id="8830" xr3:uid="{E81441F8-D5A3-4660-8242-A73D341FC988}" name="Column8825"/>
    <tableColumn id="8831" xr3:uid="{2BEB01A5-3A0E-4C58-B8B6-BFD0341465E3}" name="Column8826"/>
    <tableColumn id="8832" xr3:uid="{CEEF8D31-7928-42FD-A83E-4B701F08C16D}" name="Column8827"/>
    <tableColumn id="8833" xr3:uid="{5ED38840-E225-4E0A-B33A-D6351EF2BE52}" name="Column8828"/>
    <tableColumn id="8834" xr3:uid="{5B7EEE63-E708-47A4-8D06-1481502C9EBB}" name="Column8829"/>
    <tableColumn id="8835" xr3:uid="{33A2560B-3832-4CBF-8F2F-44039E17A8F6}" name="Column8830"/>
    <tableColumn id="8836" xr3:uid="{BA5A863E-4393-46BF-8221-D0E8D2232DEA}" name="Column8831"/>
    <tableColumn id="8837" xr3:uid="{E4277D92-8ED7-4CC3-A7F4-EEA1C3714BD6}" name="Column8832"/>
    <tableColumn id="8838" xr3:uid="{7DB26F85-92F1-4411-B80C-E8316799451F}" name="Column8833"/>
    <tableColumn id="8839" xr3:uid="{09908ED2-78FB-441A-B2F1-3BFD81132A11}" name="Column8834"/>
    <tableColumn id="8840" xr3:uid="{06E30CDD-034E-4987-B670-B7667941093D}" name="Column8835"/>
    <tableColumn id="8841" xr3:uid="{27596450-4A06-4526-B4A6-A4FD02EEC52C}" name="Column8836"/>
    <tableColumn id="8842" xr3:uid="{13508A3F-EEBC-45A6-B9D1-7291E44E16A5}" name="Column8837"/>
    <tableColumn id="8843" xr3:uid="{151BC7BA-76E2-4942-9F67-DE85D7B175A6}" name="Column8838"/>
    <tableColumn id="8844" xr3:uid="{17FD7365-9470-4D00-B741-A54D530D56F4}" name="Column8839"/>
    <tableColumn id="8845" xr3:uid="{3022227E-FE66-494A-AC95-1A4FEE4AEBFF}" name="Column8840"/>
    <tableColumn id="8846" xr3:uid="{85D41670-784A-47F0-8343-7A1BA83322EB}" name="Column8841"/>
    <tableColumn id="8847" xr3:uid="{8BEC2D81-82A9-4FDC-AFB4-89774666112C}" name="Column8842"/>
    <tableColumn id="8848" xr3:uid="{4CEE052D-69C5-4CF5-9A36-05640AAD6221}" name="Column8843"/>
    <tableColumn id="8849" xr3:uid="{BF1D97BA-2C11-4628-AFD8-110F27C88E8F}" name="Column8844"/>
    <tableColumn id="8850" xr3:uid="{EFAC210B-24F4-4CC0-B241-1A11D39A0896}" name="Column8845"/>
    <tableColumn id="8851" xr3:uid="{CB5E3A58-1985-4BA7-A107-C9DD17972444}" name="Column8846"/>
    <tableColumn id="8852" xr3:uid="{DB257622-0C8A-480C-B6A2-907DA03166F3}" name="Column8847"/>
    <tableColumn id="8853" xr3:uid="{ECD89870-1698-41E1-AFED-EDDC48A196B2}" name="Column8848"/>
    <tableColumn id="8854" xr3:uid="{5A172CF0-FCFD-4119-A6B1-A359C2534DB6}" name="Column8849"/>
    <tableColumn id="8855" xr3:uid="{D1AFE4FE-5226-4789-86CF-9A39C2940528}" name="Column8850"/>
    <tableColumn id="8856" xr3:uid="{08286E45-6021-4183-8C35-FE9AB3657390}" name="Column8851"/>
    <tableColumn id="8857" xr3:uid="{8D044F3E-9DDF-4E81-97F4-09845D2928EF}" name="Column8852"/>
    <tableColumn id="8858" xr3:uid="{983023A3-3910-40EC-853E-E19776885C43}" name="Column8853"/>
    <tableColumn id="8859" xr3:uid="{E21C7C96-1F43-4875-A931-A501241211F6}" name="Column8854"/>
    <tableColumn id="8860" xr3:uid="{7CEE3311-3B72-44F6-BB0C-7E1D3D19071F}" name="Column8855"/>
    <tableColumn id="8861" xr3:uid="{895F1321-CC72-48C2-A6EA-E93A08EB18BF}" name="Column8856"/>
    <tableColumn id="8862" xr3:uid="{09E606C1-789F-4CD7-BCD3-DCDEAABD925D}" name="Column8857"/>
    <tableColumn id="8863" xr3:uid="{AB2CCD10-43BE-4A80-BC7D-79DC66ADB3A3}" name="Column8858"/>
    <tableColumn id="8864" xr3:uid="{F5754861-0B68-4715-9651-C769AB9960AC}" name="Column8859"/>
    <tableColumn id="8865" xr3:uid="{24BC0B21-5FA2-4918-AEC9-763CCB14FA40}" name="Column8860"/>
    <tableColumn id="8866" xr3:uid="{A7EA6A03-AF30-4554-B2B4-71151D390478}" name="Column8861"/>
    <tableColumn id="8867" xr3:uid="{9F37FF65-A2D8-4C44-97CC-8F5746C07E3A}" name="Column8862"/>
    <tableColumn id="8868" xr3:uid="{9EB47AE0-A362-4053-AC82-A65CA2E3B666}" name="Column8863"/>
    <tableColumn id="8869" xr3:uid="{2A7ABBA6-B2BB-401B-BDDF-1E7AF4ADB5C3}" name="Column8864"/>
    <tableColumn id="8870" xr3:uid="{15164EA3-7D2A-43CB-B6C1-199759E2EAB9}" name="Column8865"/>
    <tableColumn id="8871" xr3:uid="{42D8D4F9-F2A6-4EE9-BC6D-E19E48845445}" name="Column8866"/>
    <tableColumn id="8872" xr3:uid="{820C30BB-5BA2-4A90-8052-C029A3AB937C}" name="Column8867"/>
    <tableColumn id="8873" xr3:uid="{4DADC738-19AF-405F-B81B-76AB0CF08F40}" name="Column8868"/>
    <tableColumn id="8874" xr3:uid="{A4BF7A01-61F8-46F7-B4F0-48C3A82F0D25}" name="Column8869"/>
    <tableColumn id="8875" xr3:uid="{AD1C9E86-240F-44F3-BE0C-A3D89A4680D4}" name="Column8870"/>
    <tableColumn id="8876" xr3:uid="{6AFFE82C-D6E9-420B-8CF7-74B06FECB921}" name="Column8871"/>
    <tableColumn id="8877" xr3:uid="{554432A5-6F42-4238-8438-3434D916501B}" name="Column8872"/>
    <tableColumn id="8878" xr3:uid="{38A1D11C-C9BF-4D57-8A22-0BD677ED835B}" name="Column8873"/>
    <tableColumn id="8879" xr3:uid="{80287C42-A496-4BF4-9FFC-4B2DD7B60637}" name="Column8874"/>
    <tableColumn id="8880" xr3:uid="{4859EE22-429D-4938-834A-3943600182D9}" name="Column8875"/>
    <tableColumn id="8881" xr3:uid="{CF8DB424-2843-4F9D-A678-07D2B20EFD46}" name="Column8876"/>
    <tableColumn id="8882" xr3:uid="{2408C013-59AD-4BF5-89BD-D12DBC84F012}" name="Column8877"/>
    <tableColumn id="8883" xr3:uid="{03011DCE-C567-4C8F-945A-7BCDB8C32469}" name="Column8878"/>
    <tableColumn id="8884" xr3:uid="{32A2E316-D658-44EE-A6B7-68DA0C62738E}" name="Column8879"/>
    <tableColumn id="8885" xr3:uid="{35C807C2-00E9-4799-907E-57FE42D47071}" name="Column8880"/>
    <tableColumn id="8886" xr3:uid="{97C03B39-036C-4A7F-994D-C8584FFE1836}" name="Column8881"/>
    <tableColumn id="8887" xr3:uid="{CE1E103D-68FC-471A-B11B-9033E91B773A}" name="Column8882"/>
    <tableColumn id="8888" xr3:uid="{D04A04A0-B8B2-481A-9838-BF17E510DCE5}" name="Column8883"/>
    <tableColumn id="8889" xr3:uid="{7762B5E8-7134-4C49-A9FD-3A6159F5FEA4}" name="Column8884"/>
    <tableColumn id="8890" xr3:uid="{29F831E2-54A1-42A2-9D0B-0EA52C064972}" name="Column8885"/>
    <tableColumn id="8891" xr3:uid="{0CA6FF62-BE01-4D07-B941-3342634C4F34}" name="Column8886"/>
    <tableColumn id="8892" xr3:uid="{51C25902-7B26-49A3-ACCD-8BF55CB1592F}" name="Column8887"/>
    <tableColumn id="8893" xr3:uid="{966182B9-CCB2-4EB1-8D42-3EB86F73882F}" name="Column8888"/>
    <tableColumn id="8894" xr3:uid="{FB332D70-D0F5-4EB1-BDDC-AE9198333E65}" name="Column8889"/>
    <tableColumn id="8895" xr3:uid="{52795145-E12C-4DB6-891C-76A7BEF47ABD}" name="Column8890"/>
    <tableColumn id="8896" xr3:uid="{22A872E1-FE65-4296-888A-F171C87C7E1A}" name="Column8891"/>
    <tableColumn id="8897" xr3:uid="{2E4B8C5A-B5BC-407C-881C-50112B496B4A}" name="Column8892"/>
    <tableColumn id="8898" xr3:uid="{CA2DAA7E-DF80-4A8A-9571-5DC764B7FA9E}" name="Column8893"/>
    <tableColumn id="8899" xr3:uid="{4A410A42-2727-4BF9-ACB2-2013420CBB70}" name="Column8894"/>
    <tableColumn id="8900" xr3:uid="{66CC3029-3EB9-4918-B619-803E3CA6136A}" name="Column8895"/>
    <tableColumn id="8901" xr3:uid="{4A036079-70FD-443F-8DDD-28BF670611FE}" name="Column8896"/>
    <tableColumn id="8902" xr3:uid="{6AD01268-03C1-426B-AEF2-F2FE35CFBF44}" name="Column8897"/>
    <tableColumn id="8903" xr3:uid="{CF893E0A-35AD-4D32-B6EF-5C2A13394C59}" name="Column8898"/>
    <tableColumn id="8904" xr3:uid="{02B3B49E-36C4-4389-A8AE-83DA1AC2EE66}" name="Column8899"/>
    <tableColumn id="8905" xr3:uid="{1B6C28D4-BE6A-46F8-AB70-DD52E656FA56}" name="Column8900"/>
    <tableColumn id="8906" xr3:uid="{13BC2EEB-0210-4FAE-B526-7E1BCDB946D6}" name="Column8901"/>
    <tableColumn id="8907" xr3:uid="{0664D7C9-E896-41A6-AE9A-092FB4DD652D}" name="Column8902"/>
    <tableColumn id="8908" xr3:uid="{F43CAA8D-4A84-4808-8252-0825DE23BCD5}" name="Column8903"/>
    <tableColumn id="8909" xr3:uid="{5AA817A9-F9EF-4E1B-9498-6F4EBAD19C65}" name="Column8904"/>
    <tableColumn id="8910" xr3:uid="{9D7ECB28-A38A-47C5-B295-1360C4F06608}" name="Column8905"/>
    <tableColumn id="8911" xr3:uid="{1EA33F4C-AFCE-43C3-9E44-0F3A5E1B3556}" name="Column8906"/>
    <tableColumn id="8912" xr3:uid="{B28A9920-149E-4341-97FC-90507D823DEC}" name="Column8907"/>
    <tableColumn id="8913" xr3:uid="{FE650AE0-22D6-4F4C-A714-20EC75D627CA}" name="Column8908"/>
    <tableColumn id="8914" xr3:uid="{3BA1377F-CB9E-4205-B4D3-FA067727BC5A}" name="Column8909"/>
    <tableColumn id="8915" xr3:uid="{C61E0E1D-88E1-431B-BF35-A609D4DE4BB6}" name="Column8910"/>
    <tableColumn id="8916" xr3:uid="{DD3387EF-C8DA-4911-8DAA-650730C9A8A4}" name="Column8911"/>
    <tableColumn id="8917" xr3:uid="{970DDA1E-28FE-49F8-A6E1-B1FA508A2CA6}" name="Column8912"/>
    <tableColumn id="8918" xr3:uid="{E4207A33-2E3E-4FE6-B0FA-FD6461D0B1EE}" name="Column8913"/>
    <tableColumn id="8919" xr3:uid="{99D168E5-608E-4979-8883-42B53107012D}" name="Column8914"/>
    <tableColumn id="8920" xr3:uid="{982FDACD-1802-4B81-9826-49E522DC0196}" name="Column8915"/>
    <tableColumn id="8921" xr3:uid="{8C91D1FC-A98F-4B27-8F84-F751A60C3B34}" name="Column8916"/>
    <tableColumn id="8922" xr3:uid="{A5BB8D9E-34A7-4AD1-A88C-5559FC711966}" name="Column8917"/>
    <tableColumn id="8923" xr3:uid="{57ACB6AC-B123-4FBF-B813-417AA3DA5830}" name="Column8918"/>
    <tableColumn id="8924" xr3:uid="{159A2310-7EA1-431C-B455-FBB4434B20CE}" name="Column8919"/>
    <tableColumn id="8925" xr3:uid="{F7CD6D84-798B-423C-BBFB-24A2778FEE27}" name="Column8920"/>
    <tableColumn id="8926" xr3:uid="{64E358E8-8540-449A-9ADA-CB2791484C0F}" name="Column8921"/>
    <tableColumn id="8927" xr3:uid="{5D9D4F80-05FF-4360-8B0F-748BBACA1BD8}" name="Column8922"/>
    <tableColumn id="8928" xr3:uid="{EE21F21C-7C40-4ED0-906B-AAE6E39EED8D}" name="Column8923"/>
    <tableColumn id="8929" xr3:uid="{CCDF0BD3-9E78-4407-8429-F98361F8B400}" name="Column8924"/>
    <tableColumn id="8930" xr3:uid="{EA144D21-5D39-4C70-B869-4659C9AB9103}" name="Column8925"/>
    <tableColumn id="8931" xr3:uid="{7CE2E308-D103-4425-8CBA-2F3254B8276C}" name="Column8926"/>
    <tableColumn id="8932" xr3:uid="{58B921E4-5863-45A7-A2CE-135D58E93CD5}" name="Column8927"/>
    <tableColumn id="8933" xr3:uid="{9A1496A2-98D2-43F1-952A-E18C8BCBE0E8}" name="Column8928"/>
    <tableColumn id="8934" xr3:uid="{1ABCBF2E-C83E-43BA-B467-3262FDDFABE1}" name="Column8929"/>
    <tableColumn id="8935" xr3:uid="{BFC4E4A7-37DB-4528-8635-EF0906D3970F}" name="Column8930"/>
    <tableColumn id="8936" xr3:uid="{91A2A954-1958-4C2E-8451-8434036DBE03}" name="Column8931"/>
    <tableColumn id="8937" xr3:uid="{2A9EFFF1-A7A2-4919-B9A6-E72D4F97AE2C}" name="Column8932"/>
    <tableColumn id="8938" xr3:uid="{335EF917-BEA5-46A5-ACBE-585FDFFBEFFE}" name="Column8933"/>
    <tableColumn id="8939" xr3:uid="{99472481-A0EA-4126-81D5-8E3D074B2F28}" name="Column8934"/>
    <tableColumn id="8940" xr3:uid="{E6CB72E5-D1E1-4CA0-90F0-857DDFCD8491}" name="Column8935"/>
    <tableColumn id="8941" xr3:uid="{186A66D9-9CE0-4B31-B905-7B7244C6B7B5}" name="Column8936"/>
    <tableColumn id="8942" xr3:uid="{48DCA514-311B-4DE1-BB27-50BFF514E6FB}" name="Column8937"/>
    <tableColumn id="8943" xr3:uid="{D5CCC371-6CE1-4CE8-B906-02D650970584}" name="Column8938"/>
    <tableColumn id="8944" xr3:uid="{0DE2C891-0BBC-4AD7-A08A-A1EF8A7769E4}" name="Column8939"/>
    <tableColumn id="8945" xr3:uid="{F3185B08-D7F5-4D36-A5A6-0DA25467B86B}" name="Column8940"/>
    <tableColumn id="8946" xr3:uid="{BC4E03B5-547B-4BD7-A654-D7DD9E1E4FC9}" name="Column8941"/>
    <tableColumn id="8947" xr3:uid="{D27EF6E2-29DF-4F78-B35D-F7259A951122}" name="Column8942"/>
    <tableColumn id="8948" xr3:uid="{DBB6340B-2EF4-4D9C-992E-77AD46AD2DD5}" name="Column8943"/>
    <tableColumn id="8949" xr3:uid="{CEEBB329-A0B2-45B4-BA36-E3F93FE9CF8F}" name="Column8944"/>
    <tableColumn id="8950" xr3:uid="{9187AC5E-B6A3-4B19-B5EC-99953AF00874}" name="Column8945"/>
    <tableColumn id="8951" xr3:uid="{CD85B7FC-7808-42CB-BF15-F4562F968B27}" name="Column8946"/>
    <tableColumn id="8952" xr3:uid="{E7A0DB5C-CAB1-4CB4-AC4E-AEA5C7A6E91E}" name="Column8947"/>
    <tableColumn id="8953" xr3:uid="{826CA63E-DCD4-4DF1-9A20-F6FBB5EADE3E}" name="Column8948"/>
    <tableColumn id="8954" xr3:uid="{CBBF187E-FED4-4D84-BC24-E183FB2E4921}" name="Column8949"/>
    <tableColumn id="8955" xr3:uid="{356F37CE-BDEA-4B65-8A1F-C05D3BC8C05E}" name="Column8950"/>
    <tableColumn id="8956" xr3:uid="{B21F2BD0-4994-466C-B937-64521BB15074}" name="Column8951"/>
    <tableColumn id="8957" xr3:uid="{CB2FA252-23D5-4323-ADDA-AF6118699E94}" name="Column8952"/>
    <tableColumn id="8958" xr3:uid="{633E9DA5-36C6-4BEC-8538-A175C5839701}" name="Column8953"/>
    <tableColumn id="8959" xr3:uid="{3208ADB5-C87F-4428-9ED9-8F5E0787FCE6}" name="Column8954"/>
    <tableColumn id="8960" xr3:uid="{D8569D48-363F-4EBB-93E2-F4DD772EBEAD}" name="Column8955"/>
    <tableColumn id="8961" xr3:uid="{8D86CE8E-9393-4219-89CE-BA090F91C185}" name="Column8956"/>
    <tableColumn id="8962" xr3:uid="{9E6061B4-5B80-4637-A50D-0EA443B5E12E}" name="Column8957"/>
    <tableColumn id="8963" xr3:uid="{E6BB045E-8F1B-4E9A-B2A7-91B4638896EC}" name="Column8958"/>
    <tableColumn id="8964" xr3:uid="{A63A8799-D699-4C1F-8F9B-EAEAF867738F}" name="Column8959"/>
    <tableColumn id="8965" xr3:uid="{9AAB1014-C20B-4922-8C3A-327E454A6DE8}" name="Column8960"/>
    <tableColumn id="8966" xr3:uid="{ACFCFB25-D6FC-4329-B7F8-AEA87C0009D6}" name="Column8961"/>
    <tableColumn id="8967" xr3:uid="{0CB177DF-3D6A-420D-9A5C-5713F7651289}" name="Column8962"/>
    <tableColumn id="8968" xr3:uid="{99C1A34A-E1B9-4576-B2C4-11B2FFD157F8}" name="Column8963"/>
    <tableColumn id="8969" xr3:uid="{19AA78D0-B0B5-45E4-957B-FB4DD0A6B8C5}" name="Column8964"/>
    <tableColumn id="8970" xr3:uid="{A78318A9-A53D-4B3F-A1A9-9D941F06507B}" name="Column8965"/>
    <tableColumn id="8971" xr3:uid="{7BA608C7-DE2D-46F8-9B84-645368F01F0E}" name="Column8966"/>
    <tableColumn id="8972" xr3:uid="{56F6B7C1-E092-4067-AF53-8ACF0E445250}" name="Column8967"/>
    <tableColumn id="8973" xr3:uid="{8E5A8C8F-5F97-408E-9074-F74D2FD968D9}" name="Column8968"/>
    <tableColumn id="8974" xr3:uid="{8AE9F84D-61BB-46EE-9D77-1E5F98F94EAF}" name="Column8969"/>
    <tableColumn id="8975" xr3:uid="{BB10E017-B899-491A-A7EE-E991CB68AC9A}" name="Column8970"/>
    <tableColumn id="8976" xr3:uid="{2D97075F-6C95-449F-893A-8C099CE46E1A}" name="Column8971"/>
    <tableColumn id="8977" xr3:uid="{21338E31-6AC6-4406-8018-646C11ACD1F2}" name="Column8972"/>
    <tableColumn id="8978" xr3:uid="{DC8E7D56-D08A-4F69-82EA-F5703FD2AF5B}" name="Column8973"/>
    <tableColumn id="8979" xr3:uid="{A82352ED-D1A9-494B-9C72-3F1F489D8B3F}" name="Column8974"/>
    <tableColumn id="8980" xr3:uid="{624D4DF0-9998-4617-B739-510AD0902C97}" name="Column8975"/>
    <tableColumn id="8981" xr3:uid="{C060A29F-23D9-4804-8BCE-50BCC2EB1BF5}" name="Column8976"/>
    <tableColumn id="8982" xr3:uid="{6380D79B-951E-4473-A564-5BE9CE6CE7F5}" name="Column8977"/>
    <tableColumn id="8983" xr3:uid="{01B4FBDE-08A3-460B-AD04-A0754E5B0484}" name="Column8978"/>
    <tableColumn id="8984" xr3:uid="{7D8C20EF-89FE-4A3C-A2AF-41675ABEE307}" name="Column8979"/>
    <tableColumn id="8985" xr3:uid="{6BB9FAFD-7D7D-4366-B5C0-A64E0159A0A2}" name="Column8980"/>
    <tableColumn id="8986" xr3:uid="{35F55AA8-36A4-49F1-95AC-AFF558C1E059}" name="Column8981"/>
    <tableColumn id="8987" xr3:uid="{F20D3AF8-B52F-42E8-B619-0F6400D599BB}" name="Column8982"/>
    <tableColumn id="8988" xr3:uid="{DD4A9602-324D-4BBD-A4E1-1BA7871B2DEC}" name="Column8983"/>
    <tableColumn id="8989" xr3:uid="{26FF8B59-61AC-4EAA-9165-7F55BF0341DE}" name="Column8984"/>
    <tableColumn id="8990" xr3:uid="{9A987CEC-D41A-465F-96D9-83FB7A6E3EE9}" name="Column8985"/>
    <tableColumn id="8991" xr3:uid="{D0AF8920-7BB9-4A57-9B98-F1BE8FF66FAB}" name="Column8986"/>
    <tableColumn id="8992" xr3:uid="{A315C355-16C9-4A8F-BBA9-C05A5CFBE369}" name="Column8987"/>
    <tableColumn id="8993" xr3:uid="{A4F88770-13F8-4782-AF14-69ACB333177D}" name="Column8988"/>
    <tableColumn id="8994" xr3:uid="{EE846E9B-6A5F-45D6-B989-9F987C6ABB9D}" name="Column8989"/>
    <tableColumn id="8995" xr3:uid="{78E9E05D-0928-42AE-9599-D38CA4268C8E}" name="Column8990"/>
    <tableColumn id="8996" xr3:uid="{90F977D4-BC4E-43A9-B0D2-F61FF8C4174D}" name="Column8991"/>
    <tableColumn id="8997" xr3:uid="{BF13D369-99FA-4CFB-A41B-619D931C1F93}" name="Column8992"/>
    <tableColumn id="8998" xr3:uid="{B206BB02-D8D0-4A42-8CEE-14B87B679EC8}" name="Column8993"/>
    <tableColumn id="8999" xr3:uid="{107D6EAE-72D7-4792-BA8B-865BB0049C4D}" name="Column8994"/>
    <tableColumn id="9000" xr3:uid="{AE9837DE-6524-407D-995F-8205C7E083E7}" name="Column8995"/>
    <tableColumn id="9001" xr3:uid="{4BFDB2AB-1A5E-479D-929B-D64822DF2678}" name="Column8996"/>
    <tableColumn id="9002" xr3:uid="{5913C0D7-0C8F-43C5-ACB6-95F9C8FD9EA1}" name="Column8997"/>
    <tableColumn id="9003" xr3:uid="{F4DD75E0-92F8-43E0-95AC-397FB6CC3601}" name="Column8998"/>
    <tableColumn id="9004" xr3:uid="{7B556FC4-13A6-48AD-9743-89A6E9547E11}" name="Column8999"/>
    <tableColumn id="9005" xr3:uid="{743D28DD-E635-4BB8-BAD6-57DCC6BA4833}" name="Column9000"/>
    <tableColumn id="9006" xr3:uid="{A74F14A1-FB9B-4599-BF1B-CD6D9C0B4C8D}" name="Column9001"/>
    <tableColumn id="9007" xr3:uid="{24F7BAC6-BD36-401C-B074-0B3376547FA7}" name="Column9002"/>
    <tableColumn id="9008" xr3:uid="{C5DE9F01-ADDA-4EA5-A7DA-CA3D8F48668C}" name="Column9003"/>
    <tableColumn id="9009" xr3:uid="{99396741-1B07-4A22-B0A2-AF69422DE45A}" name="Column9004"/>
    <tableColumn id="9010" xr3:uid="{26DE82F4-AB93-41CE-A8C9-D05F70DE6CC6}" name="Column9005"/>
    <tableColumn id="9011" xr3:uid="{5F748CFD-1E12-4A15-B37A-2C0653592FB7}" name="Column9006"/>
    <tableColumn id="9012" xr3:uid="{97614225-16F6-4830-9625-682B35481B0D}" name="Column9007"/>
    <tableColumn id="9013" xr3:uid="{B02F1228-E1FB-42BF-A02C-406A3E275C42}" name="Column9008"/>
    <tableColumn id="9014" xr3:uid="{4F69AA1D-E48D-41FE-81BD-9536048DBA86}" name="Column9009"/>
    <tableColumn id="9015" xr3:uid="{60127743-A79D-4DC4-BA48-0E90EDB656A7}" name="Column9010"/>
    <tableColumn id="9016" xr3:uid="{8BEA7C61-37A4-4BFB-89C1-63D48CA480EC}" name="Column9011"/>
    <tableColumn id="9017" xr3:uid="{8B3E2D81-E75C-4A3F-A54B-945CFF6661B1}" name="Column9012"/>
    <tableColumn id="9018" xr3:uid="{049F5FFE-052E-41F2-998B-61904EF88C01}" name="Column9013"/>
    <tableColumn id="9019" xr3:uid="{DCB9166C-AB41-43B4-9BB0-EDADB28C683E}" name="Column9014"/>
    <tableColumn id="9020" xr3:uid="{E99AE799-7B24-4AA3-993E-DC2CA5486C1C}" name="Column9015"/>
    <tableColumn id="9021" xr3:uid="{77351F81-8847-48C5-96E0-CA526E2D55C2}" name="Column9016"/>
    <tableColumn id="9022" xr3:uid="{CE7AF94C-F6FF-4008-BCA9-51F3D9D0EE61}" name="Column9017"/>
    <tableColumn id="9023" xr3:uid="{6F33F01D-3569-4232-AEB9-0DDBAA2EE30E}" name="Column9018"/>
    <tableColumn id="9024" xr3:uid="{22CC4134-48C5-44AF-B495-98D5AB76F0AD}" name="Column9019"/>
    <tableColumn id="9025" xr3:uid="{275B2142-E826-4606-B05E-7B9C746C83DB}" name="Column9020"/>
    <tableColumn id="9026" xr3:uid="{6204414D-2BE0-4271-9F76-8F7BA852225D}" name="Column9021"/>
    <tableColumn id="9027" xr3:uid="{7207D9E2-70F2-484E-88D4-0958FBC5DF97}" name="Column9022"/>
    <tableColumn id="9028" xr3:uid="{DD80ABB0-A77F-40EA-8806-455322FEF5C3}" name="Column9023"/>
    <tableColumn id="9029" xr3:uid="{A7ACADAC-A298-49F1-8CB8-5F1F16109E51}" name="Column9024"/>
    <tableColumn id="9030" xr3:uid="{EC320A13-7D35-47C8-B26E-62D1EF8C9CD5}" name="Column9025"/>
    <tableColumn id="9031" xr3:uid="{754CAF05-3193-4D87-8528-691F2AD44110}" name="Column9026"/>
    <tableColumn id="9032" xr3:uid="{53B73F07-D504-4F60-9E47-22D9A7B04C58}" name="Column9027"/>
    <tableColumn id="9033" xr3:uid="{0EB23DF9-D1BA-4C8A-A1C4-F18FD579FBDD}" name="Column9028"/>
    <tableColumn id="9034" xr3:uid="{C6EA780D-962E-45C2-BE29-D30E3D1522B6}" name="Column9029"/>
    <tableColumn id="9035" xr3:uid="{1139956D-3E37-4857-9224-39AA5B378B08}" name="Column9030"/>
    <tableColumn id="9036" xr3:uid="{224B7334-0699-4005-9BF6-8CF3724404BA}" name="Column9031"/>
    <tableColumn id="9037" xr3:uid="{279264D1-0309-4B7F-8E36-F1DF8C13F063}" name="Column9032"/>
    <tableColumn id="9038" xr3:uid="{CD68DE31-A7AC-41E3-B43E-DD41C60BC53D}" name="Column9033"/>
    <tableColumn id="9039" xr3:uid="{05A2B01D-3C66-454A-BD37-7E33F8FB832F}" name="Column9034"/>
    <tableColumn id="9040" xr3:uid="{1D5041A3-DA7D-4E74-8224-CCCF4317163A}" name="Column9035"/>
    <tableColumn id="9041" xr3:uid="{6E6E3EB2-0813-477F-8CB8-FEADF8118FB9}" name="Column9036"/>
    <tableColumn id="9042" xr3:uid="{20316B77-F59B-4DF0-83B0-6FCB52B30B21}" name="Column9037"/>
    <tableColumn id="9043" xr3:uid="{1B145B4F-9341-4C28-A139-980BA963691B}" name="Column9038"/>
    <tableColumn id="9044" xr3:uid="{1AEF006B-96C9-4A64-AC8B-37C5E1DB129F}" name="Column9039"/>
    <tableColumn id="9045" xr3:uid="{2C1B92BF-2D56-4FF1-BFF9-A45349CBB6C8}" name="Column9040"/>
    <tableColumn id="9046" xr3:uid="{58FBCA13-8FA0-4131-BA61-C9F1A33A2551}" name="Column9041"/>
    <tableColumn id="9047" xr3:uid="{4B961316-AF0D-4C9F-BED6-A5E47B55A434}" name="Column9042"/>
    <tableColumn id="9048" xr3:uid="{0BE3D5E5-B514-4AEA-8A92-D90D10437CA8}" name="Column9043"/>
    <tableColumn id="9049" xr3:uid="{8204C044-37A8-46C9-AEA8-E933917D3ADC}" name="Column9044"/>
    <tableColumn id="9050" xr3:uid="{08BC7005-3D14-4969-952F-FFBBCE5D5674}" name="Column9045"/>
    <tableColumn id="9051" xr3:uid="{18D9988D-223F-4E48-A398-6FE6AEC60066}" name="Column9046"/>
    <tableColumn id="9052" xr3:uid="{755BA04A-D439-4C00-97D7-EF22CBAAD1FD}" name="Column9047"/>
    <tableColumn id="9053" xr3:uid="{3EB2C6D0-6373-4CF6-B6AA-12B046D9B708}" name="Column9048"/>
    <tableColumn id="9054" xr3:uid="{8F6F8F2A-9F35-48CD-A9B2-94D28D18EA4E}" name="Column9049"/>
    <tableColumn id="9055" xr3:uid="{9E389094-60E6-4B98-9109-74562B32C867}" name="Column9050"/>
    <tableColumn id="9056" xr3:uid="{17B2CBEE-B20D-405E-A3A6-3C371EE79C8A}" name="Column9051"/>
    <tableColumn id="9057" xr3:uid="{B27BBEA3-E82F-45AE-BE64-4DB03504B925}" name="Column9052"/>
    <tableColumn id="9058" xr3:uid="{4389B503-6699-4C80-BAAC-584A859E00D8}" name="Column9053"/>
    <tableColumn id="9059" xr3:uid="{92026D95-6AFD-4B69-A0DA-442A1DB3A467}" name="Column9054"/>
    <tableColumn id="9060" xr3:uid="{0A68818C-989F-4BD2-A1CD-33A6891D2BD5}" name="Column9055"/>
    <tableColumn id="9061" xr3:uid="{21FA873E-19A5-4443-8E43-56C5C9192BF4}" name="Column9056"/>
    <tableColumn id="9062" xr3:uid="{6A7223A9-FDFC-4EB5-81E3-D116AB8E7410}" name="Column9057"/>
    <tableColumn id="9063" xr3:uid="{4B1B0001-F09F-4F07-8DD0-7BAE613BD299}" name="Column9058"/>
    <tableColumn id="9064" xr3:uid="{46B04F91-B4E0-4BE0-BB0A-461FDCC75CA9}" name="Column9059"/>
    <tableColumn id="9065" xr3:uid="{1C6A8876-93EE-4DDA-8854-FD0F547E55FF}" name="Column9060"/>
    <tableColumn id="9066" xr3:uid="{4A63929C-DD14-49E7-9430-1A7CB7BC6DF7}" name="Column9061"/>
    <tableColumn id="9067" xr3:uid="{5F943BE8-5F53-416D-BD83-92A50A8A768D}" name="Column9062"/>
    <tableColumn id="9068" xr3:uid="{CA091374-7425-4F58-ACA3-D1C4E5197871}" name="Column9063"/>
    <tableColumn id="9069" xr3:uid="{0417FDED-C2EC-4E31-B3DE-8643ABB3E1F6}" name="Column9064"/>
    <tableColumn id="9070" xr3:uid="{5A699038-EFFB-4950-90A0-5DE9A4CBCAB7}" name="Column9065"/>
    <tableColumn id="9071" xr3:uid="{A0170D0B-6FB3-45B8-B2DF-9B1302A11DF6}" name="Column9066"/>
    <tableColumn id="9072" xr3:uid="{653CC974-ECC4-40F3-9DBB-1631B34AB853}" name="Column9067"/>
    <tableColumn id="9073" xr3:uid="{F5ACF0C8-C753-42D9-A696-D0B384150018}" name="Column9068"/>
    <tableColumn id="9074" xr3:uid="{1921345E-9B17-47C1-8F6C-4C16D287A81E}" name="Column9069"/>
    <tableColumn id="9075" xr3:uid="{DA919947-62DD-43CF-95DE-42F2B2D933EE}" name="Column9070"/>
    <tableColumn id="9076" xr3:uid="{C63DD829-9921-4837-A18D-6EA7115D799E}" name="Column9071"/>
    <tableColumn id="9077" xr3:uid="{76B56ECA-6429-4F17-BDCF-0ED88CD7E002}" name="Column9072"/>
    <tableColumn id="9078" xr3:uid="{624C0EE6-A0BF-47A8-8BC4-715759EC81FD}" name="Column9073"/>
    <tableColumn id="9079" xr3:uid="{BF82DC06-81DB-4F6C-A90E-7C5282AC40BE}" name="Column9074"/>
    <tableColumn id="9080" xr3:uid="{38788B5A-4656-42F1-98A4-A2098CFC5D1B}" name="Column9075"/>
    <tableColumn id="9081" xr3:uid="{6B915FB2-8AE9-4432-AFA3-AAAA58863C7C}" name="Column9076"/>
    <tableColumn id="9082" xr3:uid="{07315CDB-8D67-4684-A5DB-8C8916983357}" name="Column9077"/>
    <tableColumn id="9083" xr3:uid="{E4FD8EEF-08BA-45EB-AF49-481F8434A56B}" name="Column9078"/>
    <tableColumn id="9084" xr3:uid="{281502FA-0C72-45A0-A06A-3CDD46AC3F09}" name="Column9079"/>
    <tableColumn id="9085" xr3:uid="{D3ECC192-5654-40B3-B05C-99E3144D0780}" name="Column9080"/>
    <tableColumn id="9086" xr3:uid="{9F29C366-3521-4688-9775-FFDFA9556624}" name="Column9081"/>
    <tableColumn id="9087" xr3:uid="{E10740A7-1443-4BFD-BDE6-A6E2BFB762F8}" name="Column9082"/>
    <tableColumn id="9088" xr3:uid="{303F4197-8694-4278-A958-1BA718E771AA}" name="Column9083"/>
    <tableColumn id="9089" xr3:uid="{A3207F73-4D2A-4203-89D3-D911BDA2851D}" name="Column9084"/>
    <tableColumn id="9090" xr3:uid="{670438BC-842C-4353-9472-359DCB85EC84}" name="Column9085"/>
    <tableColumn id="9091" xr3:uid="{006FFC97-A4FA-40B5-8DC7-CF1D2E65773D}" name="Column9086"/>
    <tableColumn id="9092" xr3:uid="{3B5506B2-6CEC-4337-8E5D-0B998378A926}" name="Column9087"/>
    <tableColumn id="9093" xr3:uid="{A259AF66-EAF7-4359-9866-3FC8A580C41A}" name="Column9088"/>
    <tableColumn id="9094" xr3:uid="{F2E82413-81D2-4C85-B6F1-55BC4DBB553B}" name="Column9089"/>
    <tableColumn id="9095" xr3:uid="{2C2F803C-EE99-4558-A495-7BA7C97066E2}" name="Column9090"/>
    <tableColumn id="9096" xr3:uid="{C5E8BA1A-87C3-470E-9288-F9496AE445B7}" name="Column9091"/>
    <tableColumn id="9097" xr3:uid="{1C604743-A8E1-46B9-AD68-9892B1205C12}" name="Column9092"/>
    <tableColumn id="9098" xr3:uid="{74394C8E-41A1-4C42-A3C2-F41CC0483C7B}" name="Column9093"/>
    <tableColumn id="9099" xr3:uid="{5E119305-33BF-4D11-A735-217B02F1BCDC}" name="Column9094"/>
    <tableColumn id="9100" xr3:uid="{2BF6B15C-7DBA-4723-AD5C-35BD051C4B20}" name="Column9095"/>
    <tableColumn id="9101" xr3:uid="{CC701004-594B-4898-AE02-A05638FD1322}" name="Column9096"/>
    <tableColumn id="9102" xr3:uid="{F43BFA5C-EBBF-4BEF-8D8C-3EC0B4117002}" name="Column9097"/>
    <tableColumn id="9103" xr3:uid="{D3EF2B4D-F028-4E62-B94A-3A55B24B6E50}" name="Column9098"/>
    <tableColumn id="9104" xr3:uid="{906AD77C-BFAE-417F-9C82-A8667BCDF63B}" name="Column9099"/>
    <tableColumn id="9105" xr3:uid="{5BEBBA47-DC9E-4BF4-BF9F-62DAE6D1CFC3}" name="Column9100"/>
    <tableColumn id="9106" xr3:uid="{7FFBCD3E-A46F-47EB-B1D4-2AD1E2DF0156}" name="Column9101"/>
    <tableColumn id="9107" xr3:uid="{0E1B9027-00B0-46B9-8A33-68111C9AA9D8}" name="Column9102"/>
    <tableColumn id="9108" xr3:uid="{4C7493BD-18FE-4D89-9A53-2B1AD585E820}" name="Column9103"/>
    <tableColumn id="9109" xr3:uid="{8CB4A106-1A42-4457-B822-46611F2E37ED}" name="Column9104"/>
    <tableColumn id="9110" xr3:uid="{A69691A7-232F-498E-B671-53BAF83A0B33}" name="Column9105"/>
    <tableColumn id="9111" xr3:uid="{30EF3A4F-251E-4512-8812-051BF0C652CF}" name="Column9106"/>
    <tableColumn id="9112" xr3:uid="{76C330CF-15B2-4628-B93A-B975445FF599}" name="Column9107"/>
    <tableColumn id="9113" xr3:uid="{5670D6C8-716F-4FDD-9F61-66774F68EAFE}" name="Column9108"/>
    <tableColumn id="9114" xr3:uid="{D1CD6204-181C-4B50-BD01-5194FE260DCA}" name="Column9109"/>
    <tableColumn id="9115" xr3:uid="{77B97C5F-5900-4347-A2AD-AB752138A628}" name="Column9110"/>
    <tableColumn id="9116" xr3:uid="{7BC156EA-84FF-43B6-ACB7-CA0210298A1E}" name="Column9111"/>
    <tableColumn id="9117" xr3:uid="{5DE39A26-E9A8-4788-ACF2-173DC1CEF321}" name="Column9112"/>
    <tableColumn id="9118" xr3:uid="{AB91E16B-946C-471D-9F58-77EB79ED3F88}" name="Column9113"/>
    <tableColumn id="9119" xr3:uid="{4A81386F-1CB7-4E43-8D09-D384E0E2B74E}" name="Column9114"/>
    <tableColumn id="9120" xr3:uid="{3AE89B57-5247-4574-AEC4-8D5822C12E5F}" name="Column9115"/>
    <tableColumn id="9121" xr3:uid="{37960AFE-00EF-4497-A56C-6F6B98B3CA46}" name="Column9116"/>
    <tableColumn id="9122" xr3:uid="{DEBD6114-34EC-4598-A54A-5ABE9F4B7320}" name="Column9117"/>
    <tableColumn id="9123" xr3:uid="{BB4F71B8-C6DE-4CCB-8E89-511F5488413C}" name="Column9118"/>
    <tableColumn id="9124" xr3:uid="{FB571812-C20D-4C8D-BACD-E141A6C09F3D}" name="Column9119"/>
    <tableColumn id="9125" xr3:uid="{29551396-E298-4C12-98F2-A7E6C919DDAA}" name="Column9120"/>
    <tableColumn id="9126" xr3:uid="{6E35136C-5F08-4688-8285-0AF7F8753455}" name="Column9121"/>
    <tableColumn id="9127" xr3:uid="{41AC804B-A2E7-4D03-9DD6-5FCBD88BFB99}" name="Column9122"/>
    <tableColumn id="9128" xr3:uid="{D8618947-B6A4-4F60-9566-575D7F924D05}" name="Column9123"/>
    <tableColumn id="9129" xr3:uid="{27D175CD-1AED-4519-9CD6-367C1B3BE696}" name="Column9124"/>
    <tableColumn id="9130" xr3:uid="{FB9AA8E0-23B5-4AE5-89E3-BE9B3C227FB1}" name="Column9125"/>
    <tableColumn id="9131" xr3:uid="{F9924A62-EB25-4218-9559-C2EB8A586DBB}" name="Column9126"/>
    <tableColumn id="9132" xr3:uid="{71752A10-D750-40AE-A383-15F34BEBE674}" name="Column9127"/>
    <tableColumn id="9133" xr3:uid="{EB0F8695-7DB0-43C6-91E6-9E5E4E3FDA90}" name="Column9128"/>
    <tableColumn id="9134" xr3:uid="{F38441D2-E62E-4C8F-B680-BD39B86791F8}" name="Column9129"/>
    <tableColumn id="9135" xr3:uid="{79DDEBAF-37EB-406E-90E3-0DB5F1B5752A}" name="Column9130"/>
    <tableColumn id="9136" xr3:uid="{5C254985-4B9F-4FDD-B24B-01DA5221ACA0}" name="Column9131"/>
    <tableColumn id="9137" xr3:uid="{3AB0D2B5-B8A1-4C52-9951-3C92261C7C71}" name="Column9132"/>
    <tableColumn id="9138" xr3:uid="{F648F95B-0903-40F2-81EC-6B7B4470D915}" name="Column9133"/>
    <tableColumn id="9139" xr3:uid="{AC7AC5D1-7388-4A5B-9636-95E4FA1E4189}" name="Column9134"/>
    <tableColumn id="9140" xr3:uid="{34A90B44-75FC-4B2B-939C-D730D018345C}" name="Column9135"/>
    <tableColumn id="9141" xr3:uid="{28F03FDD-CF06-4D2D-AFD7-22592C768546}" name="Column9136"/>
    <tableColumn id="9142" xr3:uid="{E023A315-CCF6-4B3D-ACE7-10EFA232B057}" name="Column9137"/>
    <tableColumn id="9143" xr3:uid="{88444111-B610-49B9-BD31-69935291669B}" name="Column9138"/>
    <tableColumn id="9144" xr3:uid="{661B1D12-D66E-47D1-8F63-53813473CD36}" name="Column9139"/>
    <tableColumn id="9145" xr3:uid="{264C2630-564E-4E92-9831-5CF3267648F4}" name="Column9140"/>
    <tableColumn id="9146" xr3:uid="{F1BC1535-99F1-478C-81E6-F5801385F6E4}" name="Column9141"/>
    <tableColumn id="9147" xr3:uid="{40A871F3-FBEE-4BF9-A63E-A40CE163DFD3}" name="Column9142"/>
    <tableColumn id="9148" xr3:uid="{E413C606-D36C-4805-9B22-7F062E76E520}" name="Column9143"/>
    <tableColumn id="9149" xr3:uid="{714FBB59-7AC6-4504-958F-41451F72DD6F}" name="Column9144"/>
    <tableColumn id="9150" xr3:uid="{432207FC-D0DE-4B6F-9424-E8FD85744550}" name="Column9145"/>
    <tableColumn id="9151" xr3:uid="{1B826285-22CD-4991-B02B-60194015566B}" name="Column9146"/>
    <tableColumn id="9152" xr3:uid="{086E97E0-0AAD-4A2C-983D-F0E9685B4F50}" name="Column9147"/>
    <tableColumn id="9153" xr3:uid="{853D57C7-2D8D-4CED-B4C4-B96009E39AC6}" name="Column9148"/>
    <tableColumn id="9154" xr3:uid="{6B78F180-8AAD-4BD2-9A14-6CFF2F2DD5FE}" name="Column9149"/>
    <tableColumn id="9155" xr3:uid="{ECEAEB36-43B7-4708-9949-DFE649A3E2CC}" name="Column9150"/>
    <tableColumn id="9156" xr3:uid="{01D97773-CB8C-4501-BCF5-2CE4CCE3E577}" name="Column9151"/>
    <tableColumn id="9157" xr3:uid="{07C66D1A-2D68-4B6C-BCEC-C02778C369FA}" name="Column9152"/>
    <tableColumn id="9158" xr3:uid="{24BAE99A-CB7A-4112-9093-1E3233D262E9}" name="Column9153"/>
    <tableColumn id="9159" xr3:uid="{6B6A2922-F099-4234-8A6B-E5B3D9CE565D}" name="Column9154"/>
    <tableColumn id="9160" xr3:uid="{0DA0A03C-8E2A-4DFE-B63E-5C7C49F39008}" name="Column9155"/>
    <tableColumn id="9161" xr3:uid="{E610D3E1-413F-4EE6-B75C-3AF8D97C7983}" name="Column9156"/>
    <tableColumn id="9162" xr3:uid="{4A6276F7-C6EF-4028-B71C-7653787F456B}" name="Column9157"/>
    <tableColumn id="9163" xr3:uid="{8AC25620-44FC-4CEE-BF4D-FBFFE585E003}" name="Column9158"/>
    <tableColumn id="9164" xr3:uid="{F8DA3ACE-9763-4A56-89A5-B713FEB02A8D}" name="Column9159"/>
    <tableColumn id="9165" xr3:uid="{EE00DECD-6BFE-4B7E-8157-E7AF2E1F0298}" name="Column9160"/>
    <tableColumn id="9166" xr3:uid="{8D329492-DD02-47DA-A511-197EE203CFDE}" name="Column9161"/>
    <tableColumn id="9167" xr3:uid="{60E85805-FC08-4312-A985-AFAAD2111D58}" name="Column9162"/>
    <tableColumn id="9168" xr3:uid="{3B95AD65-F35A-4F9F-A08B-31FC359F1542}" name="Column9163"/>
    <tableColumn id="9169" xr3:uid="{731B9A37-7850-46D3-8832-3E9DB5E07CC5}" name="Column9164"/>
    <tableColumn id="9170" xr3:uid="{14FBCA34-A67F-4712-9E80-CC9A47CA8B28}" name="Column9165"/>
    <tableColumn id="9171" xr3:uid="{4D825205-9E35-43C4-B66A-D7D45ECB56E1}" name="Column9166"/>
    <tableColumn id="9172" xr3:uid="{4473A5DC-5309-42D9-B131-11B312AB3584}" name="Column9167"/>
    <tableColumn id="9173" xr3:uid="{1730C97C-F0D9-46ED-B143-5200386D4839}" name="Column9168"/>
    <tableColumn id="9174" xr3:uid="{46B443BB-AE6E-4FC9-8591-361DA5985BE0}" name="Column9169"/>
    <tableColumn id="9175" xr3:uid="{E58A7395-B7F2-4F2E-8FAD-3952E2977BD5}" name="Column9170"/>
    <tableColumn id="9176" xr3:uid="{E2ED7673-3390-4262-A3F0-F3879CE126CC}" name="Column9171"/>
    <tableColumn id="9177" xr3:uid="{468DFD87-31F4-424A-B520-E7B685B1A434}" name="Column9172"/>
    <tableColumn id="9178" xr3:uid="{B6FDA1FD-2CA1-4CAB-8BC1-5245E838238F}" name="Column9173"/>
    <tableColumn id="9179" xr3:uid="{D287AD90-DE4A-4529-B2A1-228DF068C5CF}" name="Column9174"/>
    <tableColumn id="9180" xr3:uid="{14EF2CCB-0CE1-4D9B-87CD-41C031F5655D}" name="Column9175"/>
    <tableColumn id="9181" xr3:uid="{2D289A0E-EAC6-4F64-8DD2-254678C0AA29}" name="Column9176"/>
    <tableColumn id="9182" xr3:uid="{17CD6BBF-FDCF-4690-A942-D8F7E1581606}" name="Column9177"/>
    <tableColumn id="9183" xr3:uid="{C3939F2D-511C-4AF0-969D-2D4ACCDBCBEB}" name="Column9178"/>
    <tableColumn id="9184" xr3:uid="{261E74E6-4885-4CEA-94E4-9D451E026402}" name="Column9179"/>
    <tableColumn id="9185" xr3:uid="{BB4A1FC9-6D5F-43A2-9226-6F675D9CDE55}" name="Column9180"/>
    <tableColumn id="9186" xr3:uid="{894BF965-EFF1-4A97-A2EB-B754E00812D7}" name="Column9181"/>
    <tableColumn id="9187" xr3:uid="{65EFD9D9-7A3A-4FFA-BFAE-488857264C42}" name="Column9182"/>
    <tableColumn id="9188" xr3:uid="{9F390635-8958-431D-9C8B-F39702855AC3}" name="Column9183"/>
    <tableColumn id="9189" xr3:uid="{D111FF6C-6EED-4DF3-BECA-7E0FFB457EEC}" name="Column9184"/>
    <tableColumn id="9190" xr3:uid="{377D0438-E7D0-4D7D-A1A6-314C0BAA04A5}" name="Column9185"/>
    <tableColumn id="9191" xr3:uid="{57D0633F-D207-470B-B130-B95C0EA0CAA1}" name="Column9186"/>
    <tableColumn id="9192" xr3:uid="{D950CF30-AA5B-47F0-AAF7-74E9988E6062}" name="Column9187"/>
    <tableColumn id="9193" xr3:uid="{E355CF1F-E585-41C0-A845-6F63DA353E08}" name="Column9188"/>
    <tableColumn id="9194" xr3:uid="{5AC38365-A619-41DA-AD37-88D309F896EA}" name="Column9189"/>
    <tableColumn id="9195" xr3:uid="{98CED0CC-8C9B-488D-87E8-C79BD4D43560}" name="Column9190"/>
    <tableColumn id="9196" xr3:uid="{8C355EE1-BD2E-420F-B33C-5E5597C39A25}" name="Column9191"/>
    <tableColumn id="9197" xr3:uid="{CCB3605B-3442-4F88-B777-D125BFFF4B7E}" name="Column9192"/>
    <tableColumn id="9198" xr3:uid="{6616F77E-B247-4B12-884C-C4098D1FA017}" name="Column9193"/>
    <tableColumn id="9199" xr3:uid="{12348D83-53E2-41BE-9F14-4B07D301A74F}" name="Column9194"/>
    <tableColumn id="9200" xr3:uid="{13C7C5BF-B15D-4B3D-B76A-26E76D7010CC}" name="Column9195"/>
    <tableColumn id="9201" xr3:uid="{D318AAE3-EB68-409F-BC10-868A51B83FAF}" name="Column9196"/>
    <tableColumn id="9202" xr3:uid="{84744814-0A5A-470C-8FFB-B5839360CD92}" name="Column9197"/>
    <tableColumn id="9203" xr3:uid="{C2801D1A-8FBB-477A-AAC6-4531C1EC118A}" name="Column9198"/>
    <tableColumn id="9204" xr3:uid="{B234EC03-43F7-428A-A821-7E9A1B017383}" name="Column9199"/>
    <tableColumn id="9205" xr3:uid="{B5C4D464-F183-41D0-8BCF-EE30DF3F72FC}" name="Column9200"/>
    <tableColumn id="9206" xr3:uid="{B70E534A-A3B2-4A6A-9D15-D1654ECC91B6}" name="Column9201"/>
    <tableColumn id="9207" xr3:uid="{D0A7356D-D616-43E1-BC43-9866B07A26E5}" name="Column9202"/>
    <tableColumn id="9208" xr3:uid="{6E8AE417-D589-478F-B016-12C989E586B4}" name="Column9203"/>
    <tableColumn id="9209" xr3:uid="{E14F5CDE-2D02-4E8A-87F2-E9A5757BE486}" name="Column9204"/>
    <tableColumn id="9210" xr3:uid="{0F308B76-57C7-4F6F-B1A9-80AA750691AA}" name="Column9205"/>
    <tableColumn id="9211" xr3:uid="{0C000D91-CAAD-423C-9DED-A4B8CDBBE985}" name="Column9206"/>
    <tableColumn id="9212" xr3:uid="{872F4BB4-7838-43AA-8AF6-16B83CD84188}" name="Column9207"/>
    <tableColumn id="9213" xr3:uid="{5E75A9E1-1D0D-4CB5-8C83-958BE0550847}" name="Column9208"/>
    <tableColumn id="9214" xr3:uid="{5A7720CA-FCA3-4BC5-B575-0BA716C03DB9}" name="Column9209"/>
    <tableColumn id="9215" xr3:uid="{84414B32-8B6E-429C-A994-7D85986BE071}" name="Column9210"/>
    <tableColumn id="9216" xr3:uid="{28994EA7-F3A0-48C3-ACEA-5042096661A0}" name="Column9211"/>
    <tableColumn id="9217" xr3:uid="{44E79BFE-6E83-4316-A880-475E00811661}" name="Column9212"/>
    <tableColumn id="9218" xr3:uid="{C3B6F2DE-4D94-43B1-9B90-16A1CBC32994}" name="Column9213"/>
    <tableColumn id="9219" xr3:uid="{CBB22491-2DF0-4435-9D73-7E4B3CBA595A}" name="Column9214"/>
    <tableColumn id="9220" xr3:uid="{F5D44398-6736-4C60-B88C-6B0D5C9ACB6D}" name="Column9215"/>
    <tableColumn id="9221" xr3:uid="{E95965E8-5D46-413A-A474-63D4FCC782AF}" name="Column9216"/>
    <tableColumn id="9222" xr3:uid="{97835112-2458-4E19-869A-CBBCCEDF4220}" name="Column9217"/>
    <tableColumn id="9223" xr3:uid="{84CE630C-D17A-4E30-95AE-51AA0E458D50}" name="Column9218"/>
    <tableColumn id="9224" xr3:uid="{0BD479F8-78EB-4101-AF62-5C6A4DB14F55}" name="Column9219"/>
    <tableColumn id="9225" xr3:uid="{632A574C-0411-49CD-BC52-BD7DB5998C2E}" name="Column9220"/>
    <tableColumn id="9226" xr3:uid="{97CACCC3-1F47-4DA3-82C4-C8E54C22B9A5}" name="Column9221"/>
    <tableColumn id="9227" xr3:uid="{DB2B77A0-3A84-4D21-BF8B-BEE612CE5207}" name="Column9222"/>
    <tableColumn id="9228" xr3:uid="{FA59232A-F692-45D4-A871-1CF658710D7E}" name="Column9223"/>
    <tableColumn id="9229" xr3:uid="{9D8647F8-FE12-442B-B3CA-19C6B98754ED}" name="Column9224"/>
    <tableColumn id="9230" xr3:uid="{A5C2E4FA-325F-4ADA-BA1E-7FAE3B4C836B}" name="Column9225"/>
    <tableColumn id="9231" xr3:uid="{6AC2B3D0-6086-44D2-B3EF-FE10E850370C}" name="Column9226"/>
    <tableColumn id="9232" xr3:uid="{C2A8F535-1A23-42A0-A05A-20189F9D407F}" name="Column9227"/>
    <tableColumn id="9233" xr3:uid="{024DF8E3-B985-41DC-A761-5AD002C94B8D}" name="Column9228"/>
    <tableColumn id="9234" xr3:uid="{4FBE6DAE-1A74-4807-A6BB-366F70A349D4}" name="Column9229"/>
    <tableColumn id="9235" xr3:uid="{DB9D12E2-EAEB-4118-88F3-610C6CE0FBB1}" name="Column9230"/>
    <tableColumn id="9236" xr3:uid="{9B58B814-E42E-4E82-80FE-5FF75B19675E}" name="Column9231"/>
    <tableColumn id="9237" xr3:uid="{AFAAFB4F-CDBE-45B3-A504-F83DBC7A9EDA}" name="Column9232"/>
    <tableColumn id="9238" xr3:uid="{1832AB09-6E69-4603-AD31-22C9B06601E2}" name="Column9233"/>
    <tableColumn id="9239" xr3:uid="{85B35FC5-1F36-46EC-9AFA-1113244AF33C}" name="Column9234"/>
    <tableColumn id="9240" xr3:uid="{8261DFE6-224F-4952-BCA4-80D8BE20F8AE}" name="Column9235"/>
    <tableColumn id="9241" xr3:uid="{A18C2292-447A-46DA-A2EE-DE84EE589838}" name="Column9236"/>
    <tableColumn id="9242" xr3:uid="{33C70081-6D8C-4429-A90F-F974A7EEA07A}" name="Column9237"/>
    <tableColumn id="9243" xr3:uid="{3CD1816A-A10D-4EFD-906E-23362462C12E}" name="Column9238"/>
    <tableColumn id="9244" xr3:uid="{2BD711E9-6E49-4CF8-826A-CAD465596AA2}" name="Column9239"/>
    <tableColumn id="9245" xr3:uid="{FC55FE57-265C-47D1-B748-1C3214EA28C2}" name="Column9240"/>
    <tableColumn id="9246" xr3:uid="{2B1591EC-6C3E-47C9-9C1C-51D7B7CF7BFB}" name="Column9241"/>
    <tableColumn id="9247" xr3:uid="{BBF9A9C3-6272-424D-B05D-2E494060C4E5}" name="Column9242"/>
    <tableColumn id="9248" xr3:uid="{04E590E1-AC8E-412A-972E-9CDBFED75684}" name="Column9243"/>
    <tableColumn id="9249" xr3:uid="{B1ECBFAA-A250-4F34-A7F3-1D1815F62068}" name="Column9244"/>
    <tableColumn id="9250" xr3:uid="{D9C28F84-3528-4C1E-B321-AE1C37753346}" name="Column9245"/>
    <tableColumn id="9251" xr3:uid="{7200841C-AE86-4A3B-8B5B-E729B398766D}" name="Column9246"/>
    <tableColumn id="9252" xr3:uid="{BE4B9AAF-BAA4-4E9F-AA43-C8F29DBDF6C1}" name="Column9247"/>
    <tableColumn id="9253" xr3:uid="{FBD94BDB-A71A-4DFA-BB1C-A5DD3113B58F}" name="Column9248"/>
    <tableColumn id="9254" xr3:uid="{E25684F6-71EB-4338-BDF5-072FB232EE9B}" name="Column9249"/>
    <tableColumn id="9255" xr3:uid="{E2B867F2-BBFE-4335-8AC3-0BB09827FE01}" name="Column9250"/>
    <tableColumn id="9256" xr3:uid="{F9B3AF96-BF6A-4798-94AA-49E48BE60920}" name="Column9251"/>
    <tableColumn id="9257" xr3:uid="{0EB8BBB4-8605-4B31-AC90-3CFD7205382C}" name="Column9252"/>
    <tableColumn id="9258" xr3:uid="{027E4681-51B0-4266-A43F-B96E7F73879F}" name="Column9253"/>
    <tableColumn id="9259" xr3:uid="{C88A72F2-74DA-4574-87CC-FC107147479E}" name="Column9254"/>
    <tableColumn id="9260" xr3:uid="{C3B8316D-31E0-480E-84D0-96E605727285}" name="Column9255"/>
    <tableColumn id="9261" xr3:uid="{2C27E1F0-0B6D-4962-858B-1736B7CA3428}" name="Column9256"/>
    <tableColumn id="9262" xr3:uid="{562C34C6-EE7E-4F9E-9837-B5820C245B28}" name="Column9257"/>
    <tableColumn id="9263" xr3:uid="{51817C1A-4EA8-4E31-A913-CB1AB8E5C6A2}" name="Column9258"/>
    <tableColumn id="9264" xr3:uid="{9769B1AD-4239-449C-BDEC-2922A842A4A5}" name="Column9259"/>
    <tableColumn id="9265" xr3:uid="{07B59604-5C2F-45D1-ACCB-50443090577A}" name="Column9260"/>
    <tableColumn id="9266" xr3:uid="{3A0F8E84-0E0A-475B-A30B-B6FEB80CB15F}" name="Column9261"/>
    <tableColumn id="9267" xr3:uid="{95191EDE-2D60-46E4-83ED-5D713459B18C}" name="Column9262"/>
    <tableColumn id="9268" xr3:uid="{A7210437-FB51-4BA0-A452-C715740B53EC}" name="Column9263"/>
    <tableColumn id="9269" xr3:uid="{C1CE63A1-2C70-4364-A9E0-293FFCFCED78}" name="Column9264"/>
    <tableColumn id="9270" xr3:uid="{26CFCBC6-7776-4C49-9692-6B7878AA1E42}" name="Column9265"/>
    <tableColumn id="9271" xr3:uid="{F10E6831-F8A7-422A-B185-0CFAB0C677CD}" name="Column9266"/>
    <tableColumn id="9272" xr3:uid="{2B67C72F-1FB1-4A8E-9476-5E9934923B0F}" name="Column9267"/>
    <tableColumn id="9273" xr3:uid="{0060F6E7-8200-42A5-AE52-D8DDAD1CD998}" name="Column9268"/>
    <tableColumn id="9274" xr3:uid="{82F28720-E1E7-463D-98D2-D65E5B9D43DB}" name="Column9269"/>
    <tableColumn id="9275" xr3:uid="{AA384047-28A3-4740-8CC8-83918227D2C2}" name="Column9270"/>
    <tableColumn id="9276" xr3:uid="{1C415893-2A78-4A3C-BBF9-D3619FFD26DA}" name="Column9271"/>
    <tableColumn id="9277" xr3:uid="{314AF197-0D97-4E9E-AFA2-CD6A559B2580}" name="Column9272"/>
    <tableColumn id="9278" xr3:uid="{A1E01A92-83C0-477E-AC02-4A30F181E490}" name="Column9273"/>
    <tableColumn id="9279" xr3:uid="{C4104BFA-EED9-459D-B0FE-6B95D3B61A7D}" name="Column9274"/>
    <tableColumn id="9280" xr3:uid="{C30CBB3B-FCE7-48C8-8245-FF8A5D3E4118}" name="Column9275"/>
    <tableColumn id="9281" xr3:uid="{763F7966-B98A-425D-9877-8F1DC65F179A}" name="Column9276"/>
    <tableColumn id="9282" xr3:uid="{6892496A-59EA-48AE-9FAD-DBF267A5EDB4}" name="Column9277"/>
    <tableColumn id="9283" xr3:uid="{8604D7FF-34DE-48CE-B7F2-0A991A3B4AB7}" name="Column9278"/>
    <tableColumn id="9284" xr3:uid="{CD003690-A36B-4F02-ACE1-EFF6DBE0957B}" name="Column9279"/>
    <tableColumn id="9285" xr3:uid="{B2BCEC40-7B12-4428-998E-05EDD5E93540}" name="Column9280"/>
    <tableColumn id="9286" xr3:uid="{E4F92CC4-2145-4EE1-938F-667E01A9A69C}" name="Column9281"/>
    <tableColumn id="9287" xr3:uid="{4A7109A2-05C6-4CEF-8027-3C07E871459A}" name="Column9282"/>
    <tableColumn id="9288" xr3:uid="{91F2E975-9BA2-4059-BE7E-0E5E5AD16912}" name="Column9283"/>
    <tableColumn id="9289" xr3:uid="{E812A81F-C07C-4815-B603-E12327496FD1}" name="Column9284"/>
    <tableColumn id="9290" xr3:uid="{F401B3DA-E891-40D5-8949-DC57C975D59B}" name="Column9285"/>
    <tableColumn id="9291" xr3:uid="{CFC71A06-D253-4BB6-A26C-3D5FF3E81DAB}" name="Column9286"/>
    <tableColumn id="9292" xr3:uid="{C084F335-4222-44B6-BD5C-BA51CFECD13B}" name="Column9287"/>
    <tableColumn id="9293" xr3:uid="{A3F63FC3-C5B2-456D-AF75-1201DBB90FEA}" name="Column9288"/>
    <tableColumn id="9294" xr3:uid="{A05F3996-EA5A-412C-B589-7ED8A0EB3E4C}" name="Column9289"/>
    <tableColumn id="9295" xr3:uid="{7BE3F137-C508-49EB-AA74-DE11DC4763B4}" name="Column9290"/>
    <tableColumn id="9296" xr3:uid="{F9C584B6-DD2D-4AED-9E32-B5AB67710101}" name="Column9291"/>
    <tableColumn id="9297" xr3:uid="{504B2582-04DD-49C6-9814-2F01C84B9162}" name="Column9292"/>
    <tableColumn id="9298" xr3:uid="{28D5CCFF-9FA7-4320-A5D0-E4CAC5D538B9}" name="Column9293"/>
    <tableColumn id="9299" xr3:uid="{1D4D2486-D928-4EF7-8058-5E2E0C61981F}" name="Column9294"/>
    <tableColumn id="9300" xr3:uid="{7D3A1F94-D9EA-495F-A972-FDA47A40A61F}" name="Column9295"/>
    <tableColumn id="9301" xr3:uid="{A3067E47-BEA7-4019-B348-4ACBA25EE508}" name="Column9296"/>
    <tableColumn id="9302" xr3:uid="{E91FAFD7-05A1-4EE9-B5C4-534B78AA9443}" name="Column9297"/>
    <tableColumn id="9303" xr3:uid="{A3456A61-AE73-4510-8184-8C4343DF26CD}" name="Column9298"/>
    <tableColumn id="9304" xr3:uid="{BE43F4A2-9BA4-4265-AD0D-B42F546AC9AE}" name="Column9299"/>
    <tableColumn id="9305" xr3:uid="{69EB0FD4-9E58-4A3F-803A-FD38A5D8BADA}" name="Column9300"/>
    <tableColumn id="9306" xr3:uid="{B3A79ECC-1592-4CB9-A740-AF41CB3FEDED}" name="Column9301"/>
    <tableColumn id="9307" xr3:uid="{5A3073E3-D131-42DE-9CA4-1C93CC96C646}" name="Column9302"/>
    <tableColumn id="9308" xr3:uid="{F57E1C26-AD40-4692-888B-B54BD7DE96EA}" name="Column9303"/>
    <tableColumn id="9309" xr3:uid="{AF79C428-3272-4F76-9AC5-1C2B628A18D7}" name="Column9304"/>
    <tableColumn id="9310" xr3:uid="{4B1DC619-10C6-4467-8726-FF661D8BC305}" name="Column9305"/>
    <tableColumn id="9311" xr3:uid="{0263A982-4B69-4422-9D79-606EEB106BD1}" name="Column9306"/>
    <tableColumn id="9312" xr3:uid="{0AE3E736-BDE6-4048-BB89-9049D428B997}" name="Column9307"/>
    <tableColumn id="9313" xr3:uid="{4AC6D35E-6FF1-49F8-8C6E-417DDB0F2A3B}" name="Column9308"/>
    <tableColumn id="9314" xr3:uid="{12BD2270-419D-4B03-A3B3-FF2AA8C03344}" name="Column9309"/>
    <tableColumn id="9315" xr3:uid="{5792125A-B64A-428A-9912-108F84C931F8}" name="Column9310"/>
    <tableColumn id="9316" xr3:uid="{A819736F-8B8C-499F-8FB0-869FF20AC60E}" name="Column9311"/>
    <tableColumn id="9317" xr3:uid="{CD4CB1C4-2C2C-4BE7-91C7-4ACD7830E188}" name="Column9312"/>
    <tableColumn id="9318" xr3:uid="{523A2B0A-DF9B-4021-A220-63F5957BAB72}" name="Column9313"/>
    <tableColumn id="9319" xr3:uid="{FEDCAF18-1E24-465E-A658-E2F67922D1C3}" name="Column9314"/>
    <tableColumn id="9320" xr3:uid="{38B50DB8-D887-4BD9-9BA3-21A13087E17A}" name="Column9315"/>
    <tableColumn id="9321" xr3:uid="{7BF25821-33BD-42EB-A063-F06B67A1EEDC}" name="Column9316"/>
    <tableColumn id="9322" xr3:uid="{1980B44B-CBD3-4933-983B-BE9E79F0ABA0}" name="Column9317"/>
    <tableColumn id="9323" xr3:uid="{75B7A39A-2B74-4DF0-8EFB-B9DDD9880960}" name="Column9318"/>
    <tableColumn id="9324" xr3:uid="{233FB66B-2F87-47BD-94E6-AA8D4C194BCA}" name="Column9319"/>
    <tableColumn id="9325" xr3:uid="{0550040A-1DAD-4C13-9606-3FC46978DEF1}" name="Column9320"/>
    <tableColumn id="9326" xr3:uid="{977A275E-E37C-4593-B44A-C01882AA5301}" name="Column9321"/>
    <tableColumn id="9327" xr3:uid="{6F1E6C0A-7304-4BED-8E3B-179FABC18332}" name="Column9322"/>
    <tableColumn id="9328" xr3:uid="{B461ADB2-0CC4-43B4-88BD-09082418A241}" name="Column9323"/>
    <tableColumn id="9329" xr3:uid="{2C651C13-48E1-40AE-8A22-A311EC677B89}" name="Column9324"/>
    <tableColumn id="9330" xr3:uid="{2C0DF607-DFF9-4601-B30B-6163B21C0814}" name="Column9325"/>
    <tableColumn id="9331" xr3:uid="{0F37B506-814B-4435-A91B-7857329656C4}" name="Column9326"/>
    <tableColumn id="9332" xr3:uid="{D0AAE140-A4E2-4960-AC09-56ACEAAC1812}" name="Column9327"/>
    <tableColumn id="9333" xr3:uid="{A91E47C9-BBE4-4661-BE43-20DD6B2A7E18}" name="Column9328"/>
    <tableColumn id="9334" xr3:uid="{F36A1268-049E-4463-8641-F6049E3512BA}" name="Column9329"/>
    <tableColumn id="9335" xr3:uid="{7D0C749C-2023-4D1A-8E4C-EB9AF78D956A}" name="Column9330"/>
    <tableColumn id="9336" xr3:uid="{55243D22-8446-472E-91E9-67996F0C984A}" name="Column9331"/>
    <tableColumn id="9337" xr3:uid="{0FADC386-0A68-47E5-A33B-B4EA67A5F2DD}" name="Column9332"/>
    <tableColumn id="9338" xr3:uid="{44A5E872-0568-4CC1-970E-5A3E571F2742}" name="Column9333"/>
    <tableColumn id="9339" xr3:uid="{7F4B99B9-5B08-4DD2-B27D-24E9CF93200E}" name="Column9334"/>
    <tableColumn id="9340" xr3:uid="{AD3D374C-B704-4C7E-9430-899111505AC3}" name="Column9335"/>
    <tableColumn id="9341" xr3:uid="{2C93AB96-A0BC-44A9-9EB1-2E476E2B04E9}" name="Column9336"/>
    <tableColumn id="9342" xr3:uid="{B57C5C38-47E8-4A60-B8D7-14A3A9D95F24}" name="Column9337"/>
    <tableColumn id="9343" xr3:uid="{77B5CD6D-024F-4943-B261-600055675814}" name="Column9338"/>
    <tableColumn id="9344" xr3:uid="{D6A4C68F-DAB1-4E3C-88B5-9512DCD3BC61}" name="Column9339"/>
    <tableColumn id="9345" xr3:uid="{7ADF71C2-94BC-4591-83EA-EA9C09B10395}" name="Column9340"/>
    <tableColumn id="9346" xr3:uid="{57F3B127-8679-4F86-A995-F52653F57A7E}" name="Column9341"/>
    <tableColumn id="9347" xr3:uid="{92A0DC63-CEC9-4FA9-8F6F-5C1ACC06133B}" name="Column9342"/>
    <tableColumn id="9348" xr3:uid="{F33534BD-8D52-4C99-878D-5651B8128F32}" name="Column9343"/>
    <tableColumn id="9349" xr3:uid="{C5B1279F-BC5E-4DCE-B6F9-86FF283BD102}" name="Column9344"/>
    <tableColumn id="9350" xr3:uid="{0218EB27-2892-43FC-BE1D-AC7A6FD512B4}" name="Column9345"/>
    <tableColumn id="9351" xr3:uid="{58D95963-A817-47F0-B87B-A70E8BB51F5A}" name="Column9346"/>
    <tableColumn id="9352" xr3:uid="{C6317F1E-4F1D-4408-88BA-8221917E6987}" name="Column9347"/>
    <tableColumn id="9353" xr3:uid="{C7B0E3DC-3FF4-4409-9FE5-1D7E7459FF36}" name="Column9348"/>
    <tableColumn id="9354" xr3:uid="{D050183F-23F5-4E43-A0EE-5D2F2A3E57C5}" name="Column9349"/>
    <tableColumn id="9355" xr3:uid="{529F3F12-D442-43E2-BFBC-E2B14348DAB3}" name="Column9350"/>
    <tableColumn id="9356" xr3:uid="{AE6C2DB6-C1C1-4D5C-B42B-B29689CF278E}" name="Column9351"/>
    <tableColumn id="9357" xr3:uid="{85715F23-0AED-4CC1-B5A7-460F146CB41C}" name="Column9352"/>
    <tableColumn id="9358" xr3:uid="{42FDBA10-13BF-49B9-B29A-E3DAFF3DDB1B}" name="Column9353"/>
    <tableColumn id="9359" xr3:uid="{1BB07CBF-7FD1-4FED-A317-20887AA8DAB8}" name="Column9354"/>
    <tableColumn id="9360" xr3:uid="{34749380-8DC1-4687-A5EB-73139F17974C}" name="Column9355"/>
    <tableColumn id="9361" xr3:uid="{225A23EE-B4E6-4655-A5C6-42B9997B688D}" name="Column9356"/>
    <tableColumn id="9362" xr3:uid="{E05B0B93-EF10-4E91-8448-DB9CDA1E15B4}" name="Column9357"/>
    <tableColumn id="9363" xr3:uid="{22B49F8F-2896-43FF-9B54-340EDBA7BCE6}" name="Column9358"/>
    <tableColumn id="9364" xr3:uid="{1D2B16EF-E2F0-4F63-A511-32D81812D9F7}" name="Column9359"/>
    <tableColumn id="9365" xr3:uid="{432CD4C1-399C-4DB7-99AD-3662C4CEF861}" name="Column9360"/>
    <tableColumn id="9366" xr3:uid="{9FA1F1C7-3DB8-47C9-B1DB-EB509E4DAEE5}" name="Column9361"/>
    <tableColumn id="9367" xr3:uid="{E45A45CE-BAA2-4180-A607-7DA943A9EFBB}" name="Column9362"/>
    <tableColumn id="9368" xr3:uid="{E78F3139-2448-49ED-999F-F432583F87CC}" name="Column9363"/>
    <tableColumn id="9369" xr3:uid="{D6D4F5FB-B4B6-4DBB-ABA1-24B630A046F3}" name="Column9364"/>
    <tableColumn id="9370" xr3:uid="{A3F6AE5F-12C2-4A23-BB54-02CA543CA18F}" name="Column9365"/>
    <tableColumn id="9371" xr3:uid="{94CBCBC9-44DA-4CA2-A379-3D9BE43945AB}" name="Column9366"/>
    <tableColumn id="9372" xr3:uid="{8A57B157-8FAD-42BD-8E39-62EAFB0D74F7}" name="Column9367"/>
    <tableColumn id="9373" xr3:uid="{F0BDFC48-95F4-4AA3-A120-DAFA9F75985E}" name="Column9368"/>
    <tableColumn id="9374" xr3:uid="{4A11EB7D-FE01-4834-BD7B-E5A36F12F18B}" name="Column9369"/>
    <tableColumn id="9375" xr3:uid="{4D984A6B-84B1-4446-8791-FFF641F193E1}" name="Column9370"/>
    <tableColumn id="9376" xr3:uid="{062ED337-261C-4662-8BFC-2EA6682DEA6B}" name="Column9371"/>
    <tableColumn id="9377" xr3:uid="{F034EE97-2F63-4DE7-866D-429539B489F5}" name="Column9372"/>
    <tableColumn id="9378" xr3:uid="{FFD95C80-23C6-442B-A31C-B778F2B3FC1A}" name="Column9373"/>
    <tableColumn id="9379" xr3:uid="{E6914D4F-DD73-4FB9-8B2B-8E528E0389F8}" name="Column9374"/>
    <tableColumn id="9380" xr3:uid="{E891CD74-7EEE-4C04-841F-4D4E4F54A707}" name="Column9375"/>
    <tableColumn id="9381" xr3:uid="{93D2B503-FD7D-4375-9CD0-6DCD262B7724}" name="Column9376"/>
    <tableColumn id="9382" xr3:uid="{17469274-1937-4F71-9238-203A8FA5768B}" name="Column9377"/>
    <tableColumn id="9383" xr3:uid="{821E19A7-333F-4948-9010-ACA6EF3F45EF}" name="Column9378"/>
    <tableColumn id="9384" xr3:uid="{9FBAF940-6589-464E-834D-A354F5903AB6}" name="Column9379"/>
    <tableColumn id="9385" xr3:uid="{298B80F3-6D95-4262-B039-242F22E2A725}" name="Column9380"/>
    <tableColumn id="9386" xr3:uid="{CF49D749-53F2-4B66-A878-8FEDA0BB3F22}" name="Column9381"/>
    <tableColumn id="9387" xr3:uid="{2E73B9E2-4D01-4FB6-855B-93F705B94B5C}" name="Column9382"/>
    <tableColumn id="9388" xr3:uid="{BE11B718-DDC9-44F6-891B-78B8770DEB00}" name="Column9383"/>
    <tableColumn id="9389" xr3:uid="{A51B5BC7-0A42-4A6B-B276-E1915440256E}" name="Column9384"/>
    <tableColumn id="9390" xr3:uid="{772803BE-2734-4AFA-BBC8-B39EE1ED0FCA}" name="Column9385"/>
    <tableColumn id="9391" xr3:uid="{2C30D12B-EEEA-4A7F-AD78-58A6DEBF45C1}" name="Column9386"/>
    <tableColumn id="9392" xr3:uid="{573C1297-2C42-45EB-AD5B-592C6D8FE39F}" name="Column9387"/>
    <tableColumn id="9393" xr3:uid="{716B0B4A-590E-4715-ADF3-08EE16B89965}" name="Column9388"/>
    <tableColumn id="9394" xr3:uid="{2E4E9FED-FAF7-4DA3-A2B7-7ED0A0B90AAF}" name="Column9389"/>
    <tableColumn id="9395" xr3:uid="{60809A75-B997-4EB6-A663-FAB47293171F}" name="Column9390"/>
    <tableColumn id="9396" xr3:uid="{7E0635CB-A875-478C-B230-DB3826966AB7}" name="Column9391"/>
    <tableColumn id="9397" xr3:uid="{F01EC24F-65D0-41FC-A161-9509CCC59BE6}" name="Column9392"/>
    <tableColumn id="9398" xr3:uid="{E0D3EB79-C740-4CE1-9257-78155042D69A}" name="Column9393"/>
    <tableColumn id="9399" xr3:uid="{F2C56A03-A83B-4A3C-B399-BCC11DF6B186}" name="Column9394"/>
    <tableColumn id="9400" xr3:uid="{CAE303E4-0189-4809-B987-DF5992860D34}" name="Column9395"/>
    <tableColumn id="9401" xr3:uid="{86E2CECE-4F4C-4A4F-B915-9954BA2B29B9}" name="Column9396"/>
    <tableColumn id="9402" xr3:uid="{B4829B2E-C346-4414-926D-7566326FCE95}" name="Column9397"/>
    <tableColumn id="9403" xr3:uid="{C21525BA-67C1-4A5A-8C55-1934ED4C6CD3}" name="Column9398"/>
    <tableColumn id="9404" xr3:uid="{E98B1EC1-47BE-4D79-8DFC-B2DEFB1C02EC}" name="Column9399"/>
    <tableColumn id="9405" xr3:uid="{F8C1DFC9-78EB-46F8-A60E-36CA4811BF59}" name="Column9400"/>
    <tableColumn id="9406" xr3:uid="{42E493E8-66B4-4A59-9705-22127B8D1DC5}" name="Column9401"/>
    <tableColumn id="9407" xr3:uid="{6B2E70B8-F879-45FA-8290-5EE2384E05D0}" name="Column9402"/>
    <tableColumn id="9408" xr3:uid="{832F8977-4D10-4E74-A83D-A4F4F31FB475}" name="Column9403"/>
    <tableColumn id="9409" xr3:uid="{754A2505-FF9C-4F89-94A4-68C94F5E284F}" name="Column9404"/>
    <tableColumn id="9410" xr3:uid="{16D56B18-0A7A-4137-910C-CE43A7E2FD69}" name="Column9405"/>
    <tableColumn id="9411" xr3:uid="{407CAE51-27FF-4E42-B0D7-9D3431FF3F76}" name="Column9406"/>
    <tableColumn id="9412" xr3:uid="{5B1D705A-A94D-4013-8D0C-9B46923CF35E}" name="Column9407"/>
    <tableColumn id="9413" xr3:uid="{9C2BEB7D-8C43-4977-86E6-8EBD5665DDEC}" name="Column9408"/>
    <tableColumn id="9414" xr3:uid="{29F7D69A-8FA1-4158-A9FD-B3D794E0500B}" name="Column9409"/>
    <tableColumn id="9415" xr3:uid="{9984C365-AF2C-4697-88B6-6EAE85D1F2F6}" name="Column9410"/>
    <tableColumn id="9416" xr3:uid="{84EF3781-05DF-42C5-AE41-2ED3A6812F32}" name="Column9411"/>
    <tableColumn id="9417" xr3:uid="{AECCD097-69C0-44DA-A364-1DC25370A8FC}" name="Column9412"/>
    <tableColumn id="9418" xr3:uid="{67EFBCAB-7CB1-4A5C-868A-8B42ED78B50A}" name="Column9413"/>
    <tableColumn id="9419" xr3:uid="{20FFF3E0-B873-4223-8BDA-C2C9E98282BF}" name="Column9414"/>
    <tableColumn id="9420" xr3:uid="{7F613F76-AB9A-4754-8998-CD7930047322}" name="Column9415"/>
    <tableColumn id="9421" xr3:uid="{6A41E5D7-658D-4DEF-A209-B9DA6B2FBADB}" name="Column9416"/>
    <tableColumn id="9422" xr3:uid="{E6637015-4F0B-4406-9F66-2740151AC779}" name="Column9417"/>
    <tableColumn id="9423" xr3:uid="{6B8E4294-C7E9-4B6D-A6FB-6B32A775C257}" name="Column9418"/>
    <tableColumn id="9424" xr3:uid="{23BF11B3-A945-402C-86E9-3A5F90150A04}" name="Column9419"/>
    <tableColumn id="9425" xr3:uid="{EE486005-B3B8-4320-BFFB-2D14DA4E2C6F}" name="Column9420"/>
    <tableColumn id="9426" xr3:uid="{25E97422-7810-4392-ACFE-89A3DF9E50C2}" name="Column9421"/>
    <tableColumn id="9427" xr3:uid="{51EB81A5-74D7-42B7-B18A-67239958E7D2}" name="Column9422"/>
    <tableColumn id="9428" xr3:uid="{13EBF4CA-4C1A-44DA-87EB-CA46BD3CE16D}" name="Column9423"/>
    <tableColumn id="9429" xr3:uid="{0DDD0A69-9921-4444-AA04-EA5DB8A011EC}" name="Column9424"/>
    <tableColumn id="9430" xr3:uid="{656FEDA2-9924-47E8-9D0A-E59559F5420C}" name="Column9425"/>
    <tableColumn id="9431" xr3:uid="{D3A58E8E-4125-4E98-9AA8-144101AE2E48}" name="Column9426"/>
    <tableColumn id="9432" xr3:uid="{D6A40B88-14AF-4072-A26D-EE9259E7CE65}" name="Column9427"/>
    <tableColumn id="9433" xr3:uid="{0BA80326-C3ED-480A-93E2-6188ECBCBF31}" name="Column9428"/>
    <tableColumn id="9434" xr3:uid="{2BFB98AB-F735-4B80-94F6-1A4AB276DC17}" name="Column9429"/>
    <tableColumn id="9435" xr3:uid="{32712015-22E6-4273-B4FA-8DEDEC1F3DE1}" name="Column9430"/>
    <tableColumn id="9436" xr3:uid="{C4878D70-0AD3-4D78-BEFD-1A9FE70DCA92}" name="Column9431"/>
    <tableColumn id="9437" xr3:uid="{DBBE54D1-77AF-42A6-B192-B80D94C42F0F}" name="Column9432"/>
    <tableColumn id="9438" xr3:uid="{77434515-3603-4112-86B3-4E9B438CC5A4}" name="Column9433"/>
    <tableColumn id="9439" xr3:uid="{0F815A53-6D74-41A0-A976-849CB6F61FA9}" name="Column9434"/>
    <tableColumn id="9440" xr3:uid="{C9B7A137-12E4-4F88-B1A7-E757F5F7C178}" name="Column9435"/>
    <tableColumn id="9441" xr3:uid="{833E2001-124A-45C3-B5A9-81F8AF34F2B5}" name="Column9436"/>
    <tableColumn id="9442" xr3:uid="{D9819CF2-0C58-4AF1-9DF8-FCD38CC17CA1}" name="Column9437"/>
    <tableColumn id="9443" xr3:uid="{9E36F569-7C5B-49B2-BC90-E2093B71E27C}" name="Column9438"/>
    <tableColumn id="9444" xr3:uid="{6608A67B-A0EF-4553-9861-C108E025A7CE}" name="Column9439"/>
    <tableColumn id="9445" xr3:uid="{BCE0BBCA-7408-4C12-8A67-F16CCEA1E569}" name="Column9440"/>
    <tableColumn id="9446" xr3:uid="{A43C1DD7-7D24-435B-B4A6-1D6A38574DC0}" name="Column9441"/>
    <tableColumn id="9447" xr3:uid="{3A59119B-2A48-48EA-81E0-6B1940BBF4DC}" name="Column9442"/>
    <tableColumn id="9448" xr3:uid="{B37D6484-8E1A-4A8A-92CE-78869C0EE59E}" name="Column9443"/>
    <tableColumn id="9449" xr3:uid="{C47603E8-B35C-48C7-BE3A-DBC62F629DBD}" name="Column9444"/>
    <tableColumn id="9450" xr3:uid="{A75E0A75-404C-4A79-9A49-CD8594E6C698}" name="Column9445"/>
    <tableColumn id="9451" xr3:uid="{E6C8B75C-993A-4D11-A25F-AB21F59C74B9}" name="Column9446"/>
    <tableColumn id="9452" xr3:uid="{D9177752-B4C5-48C6-A4BF-B8DA9569FB68}" name="Column9447"/>
    <tableColumn id="9453" xr3:uid="{9AA23065-A12D-45BF-B37B-E96EE60F2607}" name="Column9448"/>
    <tableColumn id="9454" xr3:uid="{08F635E9-43A8-40EE-B280-B9567F0CC0F8}" name="Column9449"/>
    <tableColumn id="9455" xr3:uid="{C77C9F12-FF59-4090-A9EE-DC125228B0C4}" name="Column9450"/>
    <tableColumn id="9456" xr3:uid="{77D9F271-953A-4231-9F75-0F442E16923E}" name="Column9451"/>
    <tableColumn id="9457" xr3:uid="{E5BFE984-065C-49E6-A4E1-83BF559CC3DA}" name="Column9452"/>
    <tableColumn id="9458" xr3:uid="{933A2254-7B3C-4806-AE7A-80F593CB723F}" name="Column9453"/>
    <tableColumn id="9459" xr3:uid="{3CFE7894-333F-4E91-B518-CBAD2F31BFEF}" name="Column9454"/>
    <tableColumn id="9460" xr3:uid="{80C9162F-7623-4477-92BA-3DA67A46D035}" name="Column9455"/>
    <tableColumn id="9461" xr3:uid="{A3E76C63-C8E3-4C76-9C9D-8AE5B7191FD9}" name="Column9456"/>
    <tableColumn id="9462" xr3:uid="{78E211DA-B909-4F28-B589-DCFE545DEA6E}" name="Column9457"/>
    <tableColumn id="9463" xr3:uid="{59F530BF-7FE3-4A4D-B64F-B3663602530E}" name="Column9458"/>
    <tableColumn id="9464" xr3:uid="{28C340D8-3551-4431-9D16-B7ABCB4D7E5B}" name="Column9459"/>
    <tableColumn id="9465" xr3:uid="{57890E3B-1A90-4B2A-A044-789DB7A91EAA}" name="Column9460"/>
    <tableColumn id="9466" xr3:uid="{AEE42342-2EBC-47DC-81BC-CC8D85C761D1}" name="Column9461"/>
    <tableColumn id="9467" xr3:uid="{35AFCC86-E6FF-43D2-A07D-E1C4843AC6AD}" name="Column9462"/>
    <tableColumn id="9468" xr3:uid="{6F78CF0A-2A70-43FB-A073-BAAF2489FE6B}" name="Column9463"/>
    <tableColumn id="9469" xr3:uid="{1BAA53F7-B59A-4EC6-A702-B33F72D08E00}" name="Column9464"/>
    <tableColumn id="9470" xr3:uid="{CF320B88-9321-49BE-929B-2262A5BA0B3D}" name="Column9465"/>
    <tableColumn id="9471" xr3:uid="{62B5E8CC-9B68-4BC3-B0C0-98541DD4FA5F}" name="Column9466"/>
    <tableColumn id="9472" xr3:uid="{4127307B-E47C-4C6A-A719-5B3C4DD3AC4A}" name="Column9467"/>
    <tableColumn id="9473" xr3:uid="{E92826E8-89D9-494E-8DC3-C69E4BC7FAA0}" name="Column9468"/>
    <tableColumn id="9474" xr3:uid="{C280D37C-753B-451C-9FC4-D971B4AC06DA}" name="Column9469"/>
    <tableColumn id="9475" xr3:uid="{F6B20D17-D3D7-485B-978D-F170FD3B00A1}" name="Column9470"/>
    <tableColumn id="9476" xr3:uid="{8F3176C5-B684-4E90-B787-9F12D2B194A0}" name="Column9471"/>
    <tableColumn id="9477" xr3:uid="{6150CCAE-1898-4400-B8EE-64E5196C93B8}" name="Column9472"/>
    <tableColumn id="9478" xr3:uid="{8FAC1343-BEA5-45AD-985F-0B97EEBBDA69}" name="Column9473"/>
    <tableColumn id="9479" xr3:uid="{409DFE17-C084-4488-AD06-5E2AE91C75DB}" name="Column9474"/>
    <tableColumn id="9480" xr3:uid="{455438BD-7348-4B37-AA4D-B3D7E5506658}" name="Column9475"/>
    <tableColumn id="9481" xr3:uid="{E7062B03-CFBA-4828-9C3A-8EDEE02A79C1}" name="Column9476"/>
    <tableColumn id="9482" xr3:uid="{E4AE2694-DA81-401C-BCE5-F778A9B12BCF}" name="Column9477"/>
    <tableColumn id="9483" xr3:uid="{E24B0BD7-00D2-4B5C-80C8-01CBB6B44D4C}" name="Column9478"/>
    <tableColumn id="9484" xr3:uid="{E8A99DC7-53F0-45A4-80D3-12AA9821A6AD}" name="Column9479"/>
    <tableColumn id="9485" xr3:uid="{F7FAC305-BC96-4A94-AB02-D111C8285B16}" name="Column9480"/>
    <tableColumn id="9486" xr3:uid="{4DD7BD4F-0927-43E0-9E30-8A6B3F4877D9}" name="Column9481"/>
    <tableColumn id="9487" xr3:uid="{017477BB-FD11-4759-AC2B-06C31605797B}" name="Column9482"/>
    <tableColumn id="9488" xr3:uid="{B12A6857-31C7-4CD6-9040-9041C8976A90}" name="Column9483"/>
    <tableColumn id="9489" xr3:uid="{6B7F1125-5619-4748-8E4D-7896521D6E07}" name="Column9484"/>
    <tableColumn id="9490" xr3:uid="{36D92DB8-962B-4D98-A3D4-351135E37FFC}" name="Column9485"/>
    <tableColumn id="9491" xr3:uid="{078C213D-6334-481E-935E-0884A8149955}" name="Column9486"/>
    <tableColumn id="9492" xr3:uid="{CDE7ED8E-7516-4BAF-87DD-9CF50BAF31B6}" name="Column9487"/>
    <tableColumn id="9493" xr3:uid="{CB8678C3-2D03-437B-8C16-7497F4667DA3}" name="Column9488"/>
    <tableColumn id="9494" xr3:uid="{CD6319AF-C351-435A-95D6-A79C13760E07}" name="Column9489"/>
    <tableColumn id="9495" xr3:uid="{73262006-1716-4405-B11F-6B0D9E889373}" name="Column9490"/>
    <tableColumn id="9496" xr3:uid="{020B2477-9ED3-40DD-BD94-231322EED83B}" name="Column9491"/>
    <tableColumn id="9497" xr3:uid="{512D744D-B314-40DD-BE8B-19A63705C911}" name="Column9492"/>
    <tableColumn id="9498" xr3:uid="{7DFA6EE8-C3C3-4E74-A3D4-7FBFD1EB3D16}" name="Column9493"/>
    <tableColumn id="9499" xr3:uid="{5BE0A74D-33C0-4222-A418-C1BF83F0A9AC}" name="Column9494"/>
    <tableColumn id="9500" xr3:uid="{66A16EBC-6E6B-470C-AD27-FCFFE7EA32E3}" name="Column9495"/>
    <tableColumn id="9501" xr3:uid="{433DF60C-1C41-4724-B61D-7A1A2CCD5FC9}" name="Column9496"/>
    <tableColumn id="9502" xr3:uid="{8E6CBE48-FA17-437C-B34B-256BD30A62CC}" name="Column9497"/>
    <tableColumn id="9503" xr3:uid="{E2270C02-4C08-4470-9222-2B1FF4D68B68}" name="Column9498"/>
    <tableColumn id="9504" xr3:uid="{D2424EDC-5E39-487E-A52A-477CD81A6D33}" name="Column9499"/>
    <tableColumn id="9505" xr3:uid="{A8BA49E1-5767-4126-8AEB-1BF264B33AC6}" name="Column9500"/>
    <tableColumn id="9506" xr3:uid="{C6A7670D-1AB2-4D5B-B0B9-8BDC95322102}" name="Column9501"/>
    <tableColumn id="9507" xr3:uid="{103CE077-5454-44AB-A5CC-C3349346140D}" name="Column9502"/>
    <tableColumn id="9508" xr3:uid="{7048AA31-4142-4961-B5B5-4803FD9ED368}" name="Column9503"/>
    <tableColumn id="9509" xr3:uid="{B0F6BF36-9193-4090-AC37-0EB16809B8C8}" name="Column9504"/>
    <tableColumn id="9510" xr3:uid="{01157F22-005E-4B3E-869F-ACC99E5B83A4}" name="Column9505"/>
    <tableColumn id="9511" xr3:uid="{02431947-E513-4C21-B5EC-FEA6CD09639A}" name="Column9506"/>
    <tableColumn id="9512" xr3:uid="{E55E1311-FD26-4C60-A144-6934F93C0B9B}" name="Column9507"/>
    <tableColumn id="9513" xr3:uid="{74244139-B79F-4070-86EF-149DFD1B622E}" name="Column9508"/>
    <tableColumn id="9514" xr3:uid="{DCC4DCB7-F362-4965-880C-88BB3AF2C963}" name="Column9509"/>
    <tableColumn id="9515" xr3:uid="{F5888E7F-3612-41C3-AE6F-E04D11DA267D}" name="Column9510"/>
    <tableColumn id="9516" xr3:uid="{0AA701D2-1DF1-41BB-90D7-DF92E90825EF}" name="Column9511"/>
    <tableColumn id="9517" xr3:uid="{0F80E5B7-93C4-444F-967F-FDE2822745AE}" name="Column9512"/>
    <tableColumn id="9518" xr3:uid="{C02BF6C1-C1B9-4BB0-BD9C-21A0FBE3A29F}" name="Column9513"/>
    <tableColumn id="9519" xr3:uid="{678822D8-33CE-4841-BEC7-4479502A1073}" name="Column9514"/>
    <tableColumn id="9520" xr3:uid="{CB57E570-EBBB-4274-B774-BCB719F27C1E}" name="Column9515"/>
    <tableColumn id="9521" xr3:uid="{4320982E-1AF8-4E03-96B4-5C4EC5664264}" name="Column9516"/>
    <tableColumn id="9522" xr3:uid="{54624FCF-8025-425A-9ED4-03FD5B791063}" name="Column9517"/>
    <tableColumn id="9523" xr3:uid="{3494B60E-2C15-4CE3-AED2-456D2EB9D446}" name="Column9518"/>
    <tableColumn id="9524" xr3:uid="{F75F6EE9-100D-4333-8FAF-5FE54DA0BE21}" name="Column9519"/>
    <tableColumn id="9525" xr3:uid="{2D0F91C7-28E8-468B-A176-B19AF954D245}" name="Column9520"/>
    <tableColumn id="9526" xr3:uid="{166D2713-4961-44C2-B0D0-3ED24B3DE481}" name="Column9521"/>
    <tableColumn id="9527" xr3:uid="{7378C148-F48A-45F6-8604-A41F0EC1AE29}" name="Column9522"/>
    <tableColumn id="9528" xr3:uid="{14C0C2B9-7386-4402-AD87-C8D2630E3600}" name="Column9523"/>
    <tableColumn id="9529" xr3:uid="{BF00A33D-C747-4E07-B859-B21E3A39DA63}" name="Column9524"/>
    <tableColumn id="9530" xr3:uid="{ABBB8247-525E-421D-9209-BCD4D6F02159}" name="Column9525"/>
    <tableColumn id="9531" xr3:uid="{79A38E6D-8FC6-4E96-BD34-001D336258E1}" name="Column9526"/>
    <tableColumn id="9532" xr3:uid="{51741D0F-BBA6-41D7-B012-8360DF49D2E0}" name="Column9527"/>
    <tableColumn id="9533" xr3:uid="{7A47520D-1553-4F71-8328-5CBFD98A5DC2}" name="Column9528"/>
    <tableColumn id="9534" xr3:uid="{BD8D059A-2209-4D52-895E-F1D44DB12D29}" name="Column9529"/>
    <tableColumn id="9535" xr3:uid="{0D0955F8-D22D-4B1B-A3FD-58DBC0CE5BE7}" name="Column9530"/>
    <tableColumn id="9536" xr3:uid="{A7AE32A2-0BA0-4A71-9B07-BEE6C112956A}" name="Column9531"/>
    <tableColumn id="9537" xr3:uid="{B27A2B64-4BAB-4F54-84A4-24315DD995BD}" name="Column9532"/>
    <tableColumn id="9538" xr3:uid="{5BD59D40-7CFF-4FC6-9DD6-421ABD985650}" name="Column9533"/>
    <tableColumn id="9539" xr3:uid="{6E91F7DF-8A19-4133-80D6-8BFCC56FA51A}" name="Column9534"/>
    <tableColumn id="9540" xr3:uid="{9EE07096-875C-4192-9973-5DB0A9B34157}" name="Column9535"/>
    <tableColumn id="9541" xr3:uid="{873D1EDB-C139-4949-8294-10C7529707E3}" name="Column9536"/>
    <tableColumn id="9542" xr3:uid="{ADB9B0D7-2D39-45A4-B1B4-35DB0C3D02AB}" name="Column9537"/>
    <tableColumn id="9543" xr3:uid="{D280E603-420A-430B-8426-A285E43D50F6}" name="Column9538"/>
    <tableColumn id="9544" xr3:uid="{8C7C45A0-19B1-4267-AEAB-4B33E7D90D8C}" name="Column9539"/>
    <tableColumn id="9545" xr3:uid="{FA91CEFD-7E6E-4554-8279-99BDF5979E3F}" name="Column9540"/>
    <tableColumn id="9546" xr3:uid="{75EBF2AA-5DB2-4D05-8B47-A96A414E280B}" name="Column9541"/>
    <tableColumn id="9547" xr3:uid="{38760730-B3A0-4A3D-9843-C8AF7B6A49EC}" name="Column9542"/>
    <tableColumn id="9548" xr3:uid="{499452AE-4F50-44B8-8431-90A99CF944F4}" name="Column9543"/>
    <tableColumn id="9549" xr3:uid="{9EC0C772-A992-46B1-9E30-5F87472DD2D3}" name="Column9544"/>
    <tableColumn id="9550" xr3:uid="{70545BAA-8CE8-417B-A3DD-3A39147A30B2}" name="Column9545"/>
    <tableColumn id="9551" xr3:uid="{5C53E911-315C-460F-BC4E-3FAFDF05F674}" name="Column9546"/>
    <tableColumn id="9552" xr3:uid="{500CA125-1C31-4030-8AA7-8E2A4282D49A}" name="Column9547"/>
    <tableColumn id="9553" xr3:uid="{F8910F96-121E-4462-A657-F844FAD0B744}" name="Column9548"/>
    <tableColumn id="9554" xr3:uid="{9E5F2841-F1F7-41E7-96D5-49BB4BE72CD7}" name="Column9549"/>
    <tableColumn id="9555" xr3:uid="{AD62A2E1-4BFE-446A-8C57-DD430A0A85EF}" name="Column9550"/>
    <tableColumn id="9556" xr3:uid="{6CB3ADEF-553E-4F88-8263-A26A077A2A20}" name="Column9551"/>
    <tableColumn id="9557" xr3:uid="{0C113F5C-D54D-429D-99A8-C3DE7FEA821D}" name="Column9552"/>
    <tableColumn id="9558" xr3:uid="{F0DA081C-B1F2-4D6D-ACD8-3F5AE5EB71A2}" name="Column9553"/>
    <tableColumn id="9559" xr3:uid="{406AB80A-A20E-4FF3-ACC1-ADE0707EC9F4}" name="Column9554"/>
    <tableColumn id="9560" xr3:uid="{EEC03D88-3EDF-4BD4-A82D-04F5FE73521F}" name="Column9555"/>
    <tableColumn id="9561" xr3:uid="{452F931F-8820-4CAE-9CF8-BAEB604A9F68}" name="Column9556"/>
    <tableColumn id="9562" xr3:uid="{F61FCC7A-2821-400C-863B-FE0C1161954A}" name="Column9557"/>
    <tableColumn id="9563" xr3:uid="{3DC15397-E432-4C83-96B0-6AC0F5753B9D}" name="Column9558"/>
    <tableColumn id="9564" xr3:uid="{F64006BA-4724-4D2F-A9F0-0899A508A038}" name="Column9559"/>
    <tableColumn id="9565" xr3:uid="{7663662F-392B-4E5B-939D-1EAD41814E4B}" name="Column9560"/>
    <tableColumn id="9566" xr3:uid="{29AA2573-E729-4A32-9667-4874621558FE}" name="Column9561"/>
    <tableColumn id="9567" xr3:uid="{B3DE72BB-FD21-4B07-9C8F-D73DBFF1943C}" name="Column9562"/>
    <tableColumn id="9568" xr3:uid="{83106A23-6A5F-4339-9A0E-65882CF08EA8}" name="Column9563"/>
    <tableColumn id="9569" xr3:uid="{3C4802F8-6267-48DC-9C50-807852F1E49B}" name="Column9564"/>
    <tableColumn id="9570" xr3:uid="{4D4AB4A2-16B1-489E-9F35-4F5E87E53C92}" name="Column9565"/>
    <tableColumn id="9571" xr3:uid="{FC20E818-E8E6-419D-A336-D547AC70C910}" name="Column9566"/>
    <tableColumn id="9572" xr3:uid="{17EC1354-6769-416F-98EA-14367DE161C4}" name="Column9567"/>
    <tableColumn id="9573" xr3:uid="{82C7C324-03C6-4F16-91FE-1B03DEFF30D9}" name="Column9568"/>
    <tableColumn id="9574" xr3:uid="{88951BBD-DF57-48C7-847E-5253874FA800}" name="Column9569"/>
    <tableColumn id="9575" xr3:uid="{8A3042E8-8833-4024-A9CB-0DBCE5881D4F}" name="Column9570"/>
    <tableColumn id="9576" xr3:uid="{16FAC794-0ACC-4480-A9AE-E40536A0E8FF}" name="Column9571"/>
    <tableColumn id="9577" xr3:uid="{D231F630-A647-4A89-B362-ACA4423A177D}" name="Column9572"/>
    <tableColumn id="9578" xr3:uid="{BF66F358-18A2-49EE-A954-82A6D82BAFAA}" name="Column9573"/>
    <tableColumn id="9579" xr3:uid="{BEE507E4-A86F-4464-BA53-497C2130F415}" name="Column9574"/>
    <tableColumn id="9580" xr3:uid="{0DD7EBB5-9A82-448E-84FA-DF1EB3A22BC3}" name="Column9575"/>
    <tableColumn id="9581" xr3:uid="{D9C16823-F013-4F45-9A09-C4B42B8F4FBD}" name="Column9576"/>
    <tableColumn id="9582" xr3:uid="{57F7D7FD-2982-426E-85A9-2FFD5C873CC6}" name="Column9577"/>
    <tableColumn id="9583" xr3:uid="{BC0FED71-E99E-4D1F-A240-94F4209636CA}" name="Column9578"/>
    <tableColumn id="9584" xr3:uid="{7F4392EF-5659-48B4-BA90-A65553A16973}" name="Column9579"/>
    <tableColumn id="9585" xr3:uid="{C99A0C37-A2A0-4C37-8966-3C184999A744}" name="Column9580"/>
    <tableColumn id="9586" xr3:uid="{0F509677-E4F8-42CC-9A40-1AADDDD365BE}" name="Column9581"/>
    <tableColumn id="9587" xr3:uid="{4417805B-0E08-4E85-994D-7141D5055182}" name="Column9582"/>
    <tableColumn id="9588" xr3:uid="{558D824C-012B-418F-B954-A508F9B02CD9}" name="Column9583"/>
    <tableColumn id="9589" xr3:uid="{E0457893-3FF2-47AC-B558-F439FBA02791}" name="Column9584"/>
    <tableColumn id="9590" xr3:uid="{F2AAF1A8-EB92-4EE5-A83B-4EC2E2CFF985}" name="Column9585"/>
    <tableColumn id="9591" xr3:uid="{F317A9E3-C31C-45BF-9284-8010340EAFD7}" name="Column9586"/>
    <tableColumn id="9592" xr3:uid="{7077FB37-C9F3-4B01-83B6-67ECCA7E917D}" name="Column9587"/>
    <tableColumn id="9593" xr3:uid="{1A234BC3-591B-455A-86B1-0E4505023BF6}" name="Column9588"/>
    <tableColumn id="9594" xr3:uid="{895082C2-CB21-449F-BF06-29836F12001E}" name="Column9589"/>
    <tableColumn id="9595" xr3:uid="{CF33AB05-A5AE-4FE4-A594-EF86BB35FAC4}" name="Column9590"/>
    <tableColumn id="9596" xr3:uid="{7435ECD3-445C-469C-AA8B-D8A2F5B4F11B}" name="Column9591"/>
    <tableColumn id="9597" xr3:uid="{18B055C4-779A-48DE-A2B2-5F0FE0244E2A}" name="Column9592"/>
    <tableColumn id="9598" xr3:uid="{737AB7B4-1FDC-4E45-8CF9-B044E11A2EDA}" name="Column9593"/>
    <tableColumn id="9599" xr3:uid="{41FB1F85-BDC1-456C-9752-26A76C38315A}" name="Column9594"/>
    <tableColumn id="9600" xr3:uid="{B6AFAA78-8426-4FD2-999F-47492E8D91E0}" name="Column9595"/>
    <tableColumn id="9601" xr3:uid="{3329E4E6-5960-4B34-8138-E4AC59A91A7A}" name="Column9596"/>
    <tableColumn id="9602" xr3:uid="{16E4BF77-1949-448A-A4E1-9115D0F1D4F5}" name="Column9597"/>
    <tableColumn id="9603" xr3:uid="{CE21AD56-4DAA-4437-A3F6-FA1A2EB84732}" name="Column9598"/>
    <tableColumn id="9604" xr3:uid="{98BF225F-1F8A-4DB2-AD1F-7FFD2B553842}" name="Column9599"/>
    <tableColumn id="9605" xr3:uid="{5B8806D4-F3B7-459F-879A-BD06C892B423}" name="Column9600"/>
    <tableColumn id="9606" xr3:uid="{E9D986B5-20E8-40F9-95A7-C24F3199577E}" name="Column9601"/>
    <tableColumn id="9607" xr3:uid="{BEB714FC-54DF-4FA6-94E6-8E91792307C7}" name="Column9602"/>
    <tableColumn id="9608" xr3:uid="{746FE122-DAD5-4B22-9B2E-0D092838B7FC}" name="Column9603"/>
    <tableColumn id="9609" xr3:uid="{B69FFB97-5C27-4373-ABE6-E232EC42DA53}" name="Column9604"/>
    <tableColumn id="9610" xr3:uid="{4950E7E3-BBF1-4417-AB9F-A471EE857781}" name="Column9605"/>
    <tableColumn id="9611" xr3:uid="{16D5E54A-5EB3-4C55-94D6-3130155E9E75}" name="Column9606"/>
    <tableColumn id="9612" xr3:uid="{F6C22947-8A10-40AA-B4F3-0B82FA516130}" name="Column9607"/>
    <tableColumn id="9613" xr3:uid="{AE46B613-FEC4-4F99-95F6-072ACC991242}" name="Column9608"/>
    <tableColumn id="9614" xr3:uid="{161520D1-584C-447D-AF60-F1EDD524D3FC}" name="Column9609"/>
    <tableColumn id="9615" xr3:uid="{B8F71C37-E345-4082-B8CF-745AA555AC6D}" name="Column9610"/>
    <tableColumn id="9616" xr3:uid="{33D09A2E-75C8-4CF5-9CB9-CCC3693CDFEA}" name="Column9611"/>
    <tableColumn id="9617" xr3:uid="{D06AC85F-5793-4621-8674-66AA8AB8AA2D}" name="Column9612"/>
    <tableColumn id="9618" xr3:uid="{4D2BD4BE-FE1E-43A5-86E1-C976D6B19519}" name="Column9613"/>
    <tableColumn id="9619" xr3:uid="{320EB79B-0C43-4E85-9517-BDE838DEA797}" name="Column9614"/>
    <tableColumn id="9620" xr3:uid="{870C76B8-A65A-4F22-9867-A61200416A2F}" name="Column9615"/>
    <tableColumn id="9621" xr3:uid="{DAA030DC-49ED-46C6-8FF8-57ED69FAC2AF}" name="Column9616"/>
    <tableColumn id="9622" xr3:uid="{C7EFFAB4-5691-4E7A-97F2-8E0E234B34F8}" name="Column9617"/>
    <tableColumn id="9623" xr3:uid="{318A8C2A-21C0-4FE2-8C2E-6B495900CA43}" name="Column9618"/>
    <tableColumn id="9624" xr3:uid="{6C84F836-AB9C-44FC-A584-F05A2FF113DC}" name="Column9619"/>
    <tableColumn id="9625" xr3:uid="{8EED08BB-B1E6-4A04-B901-E8A6A1E5805A}" name="Column9620"/>
    <tableColumn id="9626" xr3:uid="{6DE87209-C336-4CE5-834D-32640AF8DCC1}" name="Column9621"/>
    <tableColumn id="9627" xr3:uid="{D603366B-6C13-4A7B-A911-524991E15250}" name="Column9622"/>
    <tableColumn id="9628" xr3:uid="{E0CE652F-760D-41A3-98EF-CAA94BF686D1}" name="Column9623"/>
    <tableColumn id="9629" xr3:uid="{DD98B498-2521-473B-AF89-0ED6D2E0FA73}" name="Column9624"/>
    <tableColumn id="9630" xr3:uid="{6800E5AC-AD8E-4354-B656-1AE3BE8D98C4}" name="Column9625"/>
    <tableColumn id="9631" xr3:uid="{AB6BB49B-2843-4648-BE94-92A5353BCD26}" name="Column9626"/>
    <tableColumn id="9632" xr3:uid="{A8AE709F-5AAB-4DBA-A3ED-4B146CD84FD4}" name="Column9627"/>
    <tableColumn id="9633" xr3:uid="{4938649F-C261-49EB-A761-AE6E8A904304}" name="Column9628"/>
    <tableColumn id="9634" xr3:uid="{6E6C8791-2B3D-4725-BAD3-17BD4C023126}" name="Column9629"/>
    <tableColumn id="9635" xr3:uid="{7BCE7F64-C0D1-485A-838C-43707569B96B}" name="Column9630"/>
    <tableColumn id="9636" xr3:uid="{148AE1FF-8DDB-4508-B232-F402D4851161}" name="Column9631"/>
    <tableColumn id="9637" xr3:uid="{529FDF36-E7A5-4EF3-A743-411396BB7C77}" name="Column9632"/>
    <tableColumn id="9638" xr3:uid="{44E78580-E872-4DD1-973B-618031E31E08}" name="Column9633"/>
    <tableColumn id="9639" xr3:uid="{B5BF267A-3EEE-4BB3-8E76-DA81F8C7B786}" name="Column9634"/>
    <tableColumn id="9640" xr3:uid="{0D8AA050-DF8A-4E98-A7A0-381253C94E6E}" name="Column9635"/>
    <tableColumn id="9641" xr3:uid="{2268E55E-370E-4BCB-9368-7B8C328BFD68}" name="Column9636"/>
    <tableColumn id="9642" xr3:uid="{CB8F14B8-B499-4E91-8F56-2A33897067BC}" name="Column9637"/>
    <tableColumn id="9643" xr3:uid="{2C7CD618-82FD-4952-8F39-0ACCA16622DF}" name="Column9638"/>
    <tableColumn id="9644" xr3:uid="{D9141FFB-8A95-4FD1-8BE8-C855534C0E23}" name="Column9639"/>
    <tableColumn id="9645" xr3:uid="{796D88CC-C1B1-44E2-B5A0-EB09F8A83284}" name="Column9640"/>
    <tableColumn id="9646" xr3:uid="{EE365487-1FF4-4F27-8B38-B1EBE187B744}" name="Column9641"/>
    <tableColumn id="9647" xr3:uid="{1BB328DE-F663-4F0A-B5E4-AB2D53D86ACC}" name="Column9642"/>
    <tableColumn id="9648" xr3:uid="{DE7610A5-A257-4DCC-8BC3-8BCD4A24C267}" name="Column9643"/>
    <tableColumn id="9649" xr3:uid="{B7318BA9-55E1-4312-A651-8D0768ABC7B0}" name="Column9644"/>
    <tableColumn id="9650" xr3:uid="{4816BF93-4C6A-4D26-A153-4FFC978B4031}" name="Column9645"/>
    <tableColumn id="9651" xr3:uid="{4E583265-54B8-4D08-84F1-4EDE6206086B}" name="Column9646"/>
    <tableColumn id="9652" xr3:uid="{4CA5E36C-8883-4EF0-883A-6C219790F638}" name="Column9647"/>
    <tableColumn id="9653" xr3:uid="{55895827-0C5A-4948-8A76-641099E794F1}" name="Column9648"/>
    <tableColumn id="9654" xr3:uid="{D1215583-FBA9-413A-8645-2B2B6814F7E6}" name="Column9649"/>
    <tableColumn id="9655" xr3:uid="{B36C604C-026A-4279-86B7-987EF2DE840F}" name="Column9650"/>
    <tableColumn id="9656" xr3:uid="{8E25521E-7FD1-44D8-85E4-FA8207CF9E32}" name="Column9651"/>
    <tableColumn id="9657" xr3:uid="{C328C088-D81D-43E9-9B4A-A4B10B37049B}" name="Column9652"/>
    <tableColumn id="9658" xr3:uid="{98166D60-8D4A-40F4-9909-B7D71D90395C}" name="Column9653"/>
    <tableColumn id="9659" xr3:uid="{7C98C947-7723-4434-A150-DD111881F073}" name="Column9654"/>
    <tableColumn id="9660" xr3:uid="{3059C4FD-F7F5-4276-98E1-9AD5E6BBFABB}" name="Column9655"/>
    <tableColumn id="9661" xr3:uid="{EEB1E96E-D22D-47E6-8EC5-B3282B4EC3FC}" name="Column9656"/>
    <tableColumn id="9662" xr3:uid="{CD8E7243-FA71-4C9D-B159-FB8343D74839}" name="Column9657"/>
    <tableColumn id="9663" xr3:uid="{346FF207-7BF7-4394-A987-64E8D62D85C6}" name="Column9658"/>
    <tableColumn id="9664" xr3:uid="{19047BC6-A742-4316-AADE-921BBFE74327}" name="Column9659"/>
    <tableColumn id="9665" xr3:uid="{EC264089-8EE7-4BB9-AB26-C3364B2AD444}" name="Column9660"/>
    <tableColumn id="9666" xr3:uid="{FD57FEA2-8F72-4435-9795-53124760FCF5}" name="Column9661"/>
    <tableColumn id="9667" xr3:uid="{D9C72431-B048-48EB-B23D-338E2C89F1B8}" name="Column9662"/>
    <tableColumn id="9668" xr3:uid="{74B5FDEA-2BED-4B69-8B30-C69016885EF1}" name="Column9663"/>
    <tableColumn id="9669" xr3:uid="{0FF76D92-B8A0-42EB-80C9-84F1E35F9BD0}" name="Column9664"/>
    <tableColumn id="9670" xr3:uid="{1999523A-1C0D-4370-B9C9-FC0A7D038664}" name="Column9665"/>
    <tableColumn id="9671" xr3:uid="{42E2EA94-4D9E-4850-9591-3C9C0A552235}" name="Column9666"/>
    <tableColumn id="9672" xr3:uid="{06AF9022-DDF2-4691-BF93-537014276602}" name="Column9667"/>
    <tableColumn id="9673" xr3:uid="{87A85E65-367D-451E-A31C-F1F30FF85D07}" name="Column9668"/>
    <tableColumn id="9674" xr3:uid="{9F77A4E6-FFE2-4D0E-B76C-D7CE0B403CDA}" name="Column9669"/>
    <tableColumn id="9675" xr3:uid="{B35CD0C5-DCEB-4215-BD28-C7E9EC6B7FB2}" name="Column9670"/>
    <tableColumn id="9676" xr3:uid="{9587AB06-48EE-4618-91E2-1782684F4D97}" name="Column9671"/>
    <tableColumn id="9677" xr3:uid="{B839648B-38CC-4609-A115-ED6ABF7EDC45}" name="Column9672"/>
    <tableColumn id="9678" xr3:uid="{76E9B205-773A-40C4-ADD7-C9C919DFA95A}" name="Column9673"/>
    <tableColumn id="9679" xr3:uid="{F2635814-C119-4A90-86BD-34A122B7EB6A}" name="Column9674"/>
    <tableColumn id="9680" xr3:uid="{1B20B849-9F49-4E19-B5D8-DA06EE76BA7B}" name="Column9675"/>
    <tableColumn id="9681" xr3:uid="{64905C7C-216B-43C1-A1E2-250111081DA5}" name="Column9676"/>
    <tableColumn id="9682" xr3:uid="{F72672FD-478F-4D37-9051-D12CF6605E8D}" name="Column9677"/>
    <tableColumn id="9683" xr3:uid="{A6C427EA-77B0-4C19-BC73-4C131C3337C1}" name="Column9678"/>
    <tableColumn id="9684" xr3:uid="{37FE2322-45AB-4CF6-9B7E-2C70E033E5BE}" name="Column9679"/>
    <tableColumn id="9685" xr3:uid="{951AC26F-8BA7-4A61-9393-82134AEFA0C4}" name="Column9680"/>
    <tableColumn id="9686" xr3:uid="{ABFDDAA4-8702-4976-82E1-0DBFE427D340}" name="Column9681"/>
    <tableColumn id="9687" xr3:uid="{915DBF99-0C6E-4816-B4F2-6A5436761A23}" name="Column9682"/>
    <tableColumn id="9688" xr3:uid="{173EA431-1A97-4122-8D8D-4F18CBAECC54}" name="Column9683"/>
    <tableColumn id="9689" xr3:uid="{5CFF9A12-8ABA-44EF-ACB1-8DB7ECE7160B}" name="Column9684"/>
    <tableColumn id="9690" xr3:uid="{16DC2FDF-50A1-4384-B29F-B586EC852D6A}" name="Column9685"/>
    <tableColumn id="9691" xr3:uid="{4FA498D9-8BB3-471A-8063-8AD4368D36DD}" name="Column9686"/>
    <tableColumn id="9692" xr3:uid="{5EA83241-70A1-4638-8881-8AB390DACDAC}" name="Column9687"/>
    <tableColumn id="9693" xr3:uid="{DEC85E04-F332-4EB5-AA95-7BF7E7750B06}" name="Column9688"/>
    <tableColumn id="9694" xr3:uid="{FA73650A-8F38-49A9-B208-D3D7D83BD5FF}" name="Column9689"/>
    <tableColumn id="9695" xr3:uid="{B362A25C-7C8C-4C9F-9F42-FDABFF3A43D0}" name="Column9690"/>
    <tableColumn id="9696" xr3:uid="{B50CE6F6-2124-455E-9DBE-0849AFD5F413}" name="Column9691"/>
    <tableColumn id="9697" xr3:uid="{98A9FA5D-48E0-4D06-B825-3BB77ECF0E37}" name="Column9692"/>
    <tableColumn id="9698" xr3:uid="{5EE7F4BB-2BAA-4E93-9FF9-D11211C25954}" name="Column9693"/>
    <tableColumn id="9699" xr3:uid="{0570D008-B11F-4B71-8CAF-42F097931926}" name="Column9694"/>
    <tableColumn id="9700" xr3:uid="{8FB907B8-B410-4E23-9139-469F2ACA5061}" name="Column9695"/>
    <tableColumn id="9701" xr3:uid="{576854E3-D705-4BD9-889B-7B86CFC4FEDC}" name="Column9696"/>
    <tableColumn id="9702" xr3:uid="{BFE919B8-1DAB-42D0-A565-C2C9750C717A}" name="Column9697"/>
    <tableColumn id="9703" xr3:uid="{B38AABC1-EFA8-4703-953A-8F9039A52757}" name="Column9698"/>
    <tableColumn id="9704" xr3:uid="{68309F2C-1A8C-468D-A5F1-51C3126DB322}" name="Column9699"/>
    <tableColumn id="9705" xr3:uid="{59D10BC5-E18D-4CE1-A1C8-6591CB49D458}" name="Column9700"/>
    <tableColumn id="9706" xr3:uid="{8324C8B7-6B0F-4ED9-B0AE-5B12E27EE4E4}" name="Column9701"/>
    <tableColumn id="9707" xr3:uid="{42165753-88A6-460B-A1F8-E864C0446480}" name="Column9702"/>
    <tableColumn id="9708" xr3:uid="{87F68997-F288-475F-84AF-9306FEBD0788}" name="Column9703"/>
    <tableColumn id="9709" xr3:uid="{91AEBA84-D541-4A83-92CA-6772ECB02992}" name="Column9704"/>
    <tableColumn id="9710" xr3:uid="{510F4F44-26DE-4198-BF4B-C15736566EC6}" name="Column9705"/>
    <tableColumn id="9711" xr3:uid="{5B0998D1-59C7-4A3D-9E2C-D814DE8D939D}" name="Column9706"/>
    <tableColumn id="9712" xr3:uid="{3BE2B532-D177-4AD6-B3FA-E26571A85B56}" name="Column9707"/>
    <tableColumn id="9713" xr3:uid="{B21CF988-2AC6-440A-AA04-68DC8FF47D3F}" name="Column9708"/>
    <tableColumn id="9714" xr3:uid="{F28BF767-CFDE-46FC-8A4E-ABD3CF116B83}" name="Column9709"/>
    <tableColumn id="9715" xr3:uid="{6A18E76B-A2F9-4258-882C-DEB4A993589C}" name="Column9710"/>
    <tableColumn id="9716" xr3:uid="{A963F13D-AB06-47BD-B623-936990AB2A06}" name="Column9711"/>
    <tableColumn id="9717" xr3:uid="{83123D00-1CC2-4121-9E2E-4AB3AA6F01B1}" name="Column9712"/>
    <tableColumn id="9718" xr3:uid="{196F1341-E046-4F2B-9109-2DB0C1EC431B}" name="Column9713"/>
    <tableColumn id="9719" xr3:uid="{82CC9758-5D14-41F2-A36E-9C717C323185}" name="Column9714"/>
    <tableColumn id="9720" xr3:uid="{4AA4B065-2A92-4BD8-BCD6-0D531C299C1E}" name="Column9715"/>
    <tableColumn id="9721" xr3:uid="{3047E13A-2641-413C-A833-6C88375DCB58}" name="Column9716"/>
    <tableColumn id="9722" xr3:uid="{31AB8DAA-C91E-4B9B-9328-F5C5A8640610}" name="Column9717"/>
    <tableColumn id="9723" xr3:uid="{61911C5E-B2F5-469C-8043-45FB18431ECE}" name="Column9718"/>
    <tableColumn id="9724" xr3:uid="{46E69C00-6C3B-4460-A3DA-EC7772709520}" name="Column9719"/>
    <tableColumn id="9725" xr3:uid="{EB4434BE-C525-4962-947D-0DFB98B0480D}" name="Column9720"/>
    <tableColumn id="9726" xr3:uid="{96CC76AE-C843-481A-8C3D-4241189EDFF2}" name="Column9721"/>
    <tableColumn id="9727" xr3:uid="{D2C72B3C-9E90-43DC-9AC4-A67AF2EBBA30}" name="Column9722"/>
    <tableColumn id="9728" xr3:uid="{452A5243-7103-41F6-837D-E1969B1CFF79}" name="Column9723"/>
    <tableColumn id="9729" xr3:uid="{54630C45-171D-4B06-BB67-C2C76AA95089}" name="Column9724"/>
    <tableColumn id="9730" xr3:uid="{2F29BA46-2453-4704-800A-1FDA7F9D46CC}" name="Column9725"/>
    <tableColumn id="9731" xr3:uid="{650A14B9-7A9F-4405-9405-1C50BA7D425C}" name="Column9726"/>
    <tableColumn id="9732" xr3:uid="{C4C29E40-53B9-4580-9F1A-13BD3059F929}" name="Column9727"/>
    <tableColumn id="9733" xr3:uid="{B37D5075-0032-4F87-9C1C-80F1052A72B7}" name="Column9728"/>
    <tableColumn id="9734" xr3:uid="{62061E42-1F90-44C8-BF8E-D9A65DD3D134}" name="Column9729"/>
    <tableColumn id="9735" xr3:uid="{F8E5B87C-3497-4EB2-8D81-7D97725B66C5}" name="Column9730"/>
    <tableColumn id="9736" xr3:uid="{A715E71B-6C6D-485A-98C7-D4EFF3D787A8}" name="Column9731"/>
    <tableColumn id="9737" xr3:uid="{168983E4-63D3-4281-AE97-CDD7EE511014}" name="Column9732"/>
    <tableColumn id="9738" xr3:uid="{E8478DE4-6B01-488F-B0C3-8BAF1FE17E0A}" name="Column9733"/>
    <tableColumn id="9739" xr3:uid="{90A41E3A-AB67-49BA-9122-5141FD0A66AC}" name="Column9734"/>
    <tableColumn id="9740" xr3:uid="{AC079E10-7CF7-47DD-AA91-770896E9F9F8}" name="Column9735"/>
    <tableColumn id="9741" xr3:uid="{6A0A6334-39A3-4B3D-9F6F-EB2D7BCD9E1A}" name="Column9736"/>
    <tableColumn id="9742" xr3:uid="{FC83C1B5-0FFF-47B8-9D5C-AF5FFE9A8B72}" name="Column9737"/>
    <tableColumn id="9743" xr3:uid="{0CD3CFC6-ECA1-4F1F-B196-1FA38F6B7405}" name="Column9738"/>
    <tableColumn id="9744" xr3:uid="{54C83361-F559-4FAC-B4F6-3A002BB81A6C}" name="Column9739"/>
    <tableColumn id="9745" xr3:uid="{0300CA95-0011-4CB6-A4F2-F5DA8CFD9842}" name="Column9740"/>
    <tableColumn id="9746" xr3:uid="{A7DB3F2F-6546-4E0F-93B9-06AE88FB1FAB}" name="Column9741"/>
    <tableColumn id="9747" xr3:uid="{2CC82623-7C4A-4B60-8521-807899EAF8ED}" name="Column9742"/>
    <tableColumn id="9748" xr3:uid="{96ED9D3B-1602-43DD-990C-9DC3DD51D9D9}" name="Column9743"/>
    <tableColumn id="9749" xr3:uid="{88954E2F-1852-49D3-A648-166D48A6EE22}" name="Column9744"/>
    <tableColumn id="9750" xr3:uid="{9287E179-2E70-4312-B670-965970D048E9}" name="Column9745"/>
    <tableColumn id="9751" xr3:uid="{38D858D2-509D-4605-A401-29D85944431D}" name="Column9746"/>
    <tableColumn id="9752" xr3:uid="{80ABA388-1672-4EB9-A2E0-1DDBEF235B33}" name="Column9747"/>
    <tableColumn id="9753" xr3:uid="{9B2F7587-8ECE-4BC6-BDAA-55C5871DAD8D}" name="Column9748"/>
    <tableColumn id="9754" xr3:uid="{F802F213-8043-4953-9476-C7161C4E5C95}" name="Column9749"/>
    <tableColumn id="9755" xr3:uid="{125A1AB5-0C23-43DE-9D40-80B2924C0636}" name="Column9750"/>
    <tableColumn id="9756" xr3:uid="{5520AF4F-4ED3-4559-AD34-6D69030B6173}" name="Column9751"/>
    <tableColumn id="9757" xr3:uid="{27E8CF1A-992A-4577-BDC5-F19C11DFAF2B}" name="Column9752"/>
    <tableColumn id="9758" xr3:uid="{550EDC4D-9E2B-4932-8E27-C445DE043D6A}" name="Column9753"/>
    <tableColumn id="9759" xr3:uid="{C76F1466-717B-4812-892B-E19FF9A492B9}" name="Column9754"/>
    <tableColumn id="9760" xr3:uid="{1FD49C5E-A9B7-493E-895D-7EC0AB07C133}" name="Column9755"/>
    <tableColumn id="9761" xr3:uid="{442CB65D-5976-4DD9-8268-E42BED10F456}" name="Column9756"/>
    <tableColumn id="9762" xr3:uid="{4C4AA9B5-FF6B-4248-B06B-B34B98CFA70C}" name="Column9757"/>
    <tableColumn id="9763" xr3:uid="{BF827A40-E878-4DF7-9377-A7AB16F6EABE}" name="Column9758"/>
    <tableColumn id="9764" xr3:uid="{9C2F541C-3D63-4797-93B7-B7D63F8367BA}" name="Column9759"/>
    <tableColumn id="9765" xr3:uid="{73A67ABB-D225-491D-9E5C-0B960CFC4B58}" name="Column9760"/>
    <tableColumn id="9766" xr3:uid="{BA650B1C-50DD-413E-884A-2F30F7852CE4}" name="Column9761"/>
    <tableColumn id="9767" xr3:uid="{52AE0B0D-F3C6-4317-B851-89F813593FBB}" name="Column9762"/>
    <tableColumn id="9768" xr3:uid="{4894D1C4-3C0D-4C09-8C33-9C9BFFFCD245}" name="Column9763"/>
    <tableColumn id="9769" xr3:uid="{C12D5DB5-688B-4B6B-BADB-D10BBE6F74BF}" name="Column9764"/>
    <tableColumn id="9770" xr3:uid="{50C2C444-056E-43C9-9013-7BF097A06BF3}" name="Column9765"/>
    <tableColumn id="9771" xr3:uid="{8B4B9EC5-5A09-4030-B21F-40346E47BF61}" name="Column9766"/>
    <tableColumn id="9772" xr3:uid="{D71C0291-F6F4-486C-8FE0-C0B1BB2D9C9F}" name="Column9767"/>
    <tableColumn id="9773" xr3:uid="{52D8A59E-74B5-495E-9115-258938F3C3F4}" name="Column9768"/>
    <tableColumn id="9774" xr3:uid="{5C0A0C6C-5D1A-490E-A895-F32E6664DA97}" name="Column9769"/>
    <tableColumn id="9775" xr3:uid="{6941785F-A99F-49DE-9DEB-D5750FA70E68}" name="Column9770"/>
    <tableColumn id="9776" xr3:uid="{441B93BB-4F5E-494F-9972-370D6A2CC8AC}" name="Column9771"/>
    <tableColumn id="9777" xr3:uid="{0D2B4652-21B0-4AAE-8D3B-9EFB95E2AFEF}" name="Column9772"/>
    <tableColumn id="9778" xr3:uid="{ACBA99CA-E5FE-4A20-8289-A5BA7C197298}" name="Column9773"/>
    <tableColumn id="9779" xr3:uid="{9E117B30-4DAA-410A-A07C-AE6E490E5148}" name="Column9774"/>
    <tableColumn id="9780" xr3:uid="{89595E61-432A-4E57-A82E-3045820D06E1}" name="Column9775"/>
    <tableColumn id="9781" xr3:uid="{BA5B005C-E94C-45BA-AEE5-FAB2DF4BC2CE}" name="Column9776"/>
    <tableColumn id="9782" xr3:uid="{ADE64A3F-8BF8-4BCE-ACFC-B4FD53FD3D78}" name="Column9777"/>
    <tableColumn id="9783" xr3:uid="{7062702A-DA72-4C64-9AE4-A86A59439FC1}" name="Column9778"/>
    <tableColumn id="9784" xr3:uid="{08B83C22-7263-41A8-87CB-204C3C9F3FFD}" name="Column9779"/>
    <tableColumn id="9785" xr3:uid="{3E639606-B090-4EC6-8DC2-1FDA324AA963}" name="Column9780"/>
    <tableColumn id="9786" xr3:uid="{80A27CE4-5DEC-4D63-8FE3-5A3C44F70321}" name="Column9781"/>
    <tableColumn id="9787" xr3:uid="{77E12E94-3D6C-4F97-A3DC-99FC6742955C}" name="Column9782"/>
    <tableColumn id="9788" xr3:uid="{7953DA10-C978-4C1D-B922-EACD362A066A}" name="Column9783"/>
    <tableColumn id="9789" xr3:uid="{78737275-8AF9-4785-95AB-41B127BD0D5C}" name="Column9784"/>
    <tableColumn id="9790" xr3:uid="{9AD4B528-732D-4507-B2E7-7CB151FD6B95}" name="Column9785"/>
    <tableColumn id="9791" xr3:uid="{A90F8CFF-4877-4478-ADAA-E2ED31D1EAF2}" name="Column9786"/>
    <tableColumn id="9792" xr3:uid="{E48B5AE4-8E3C-4D39-A8E2-E866F978C0EA}" name="Column9787"/>
    <tableColumn id="9793" xr3:uid="{59F390C5-6C77-4932-B2D7-586E62F4749B}" name="Column9788"/>
    <tableColumn id="9794" xr3:uid="{99D9F4FD-3121-4108-AFE3-C24088EDE017}" name="Column9789"/>
    <tableColumn id="9795" xr3:uid="{5FA2267B-93F8-4CE0-B80E-6D3D5B286188}" name="Column9790"/>
    <tableColumn id="9796" xr3:uid="{D8B7F97E-B5A1-44D4-8990-4CF77C215564}" name="Column9791"/>
    <tableColumn id="9797" xr3:uid="{97813C04-36A9-40AC-9F74-E631BAE887CF}" name="Column9792"/>
    <tableColumn id="9798" xr3:uid="{D6677441-7AB6-42EA-A30E-6D6079CCA06D}" name="Column9793"/>
    <tableColumn id="9799" xr3:uid="{ECA0A357-5DAB-4F48-A7D8-74494DCAA899}" name="Column9794"/>
    <tableColumn id="9800" xr3:uid="{820DB4C9-B96A-4593-A539-E49A0EC49DA8}" name="Column9795"/>
    <tableColumn id="9801" xr3:uid="{61EFE847-30BA-4C1A-8FED-920832E7D2EB}" name="Column9796"/>
    <tableColumn id="9802" xr3:uid="{4BBBD173-8EF2-4438-9670-692B09E1A19F}" name="Column9797"/>
    <tableColumn id="9803" xr3:uid="{1F83E44F-8F43-43A6-B39E-8153A47C3499}" name="Column9798"/>
    <tableColumn id="9804" xr3:uid="{D625D0B0-510E-4223-AB92-9D1FDA600C5C}" name="Column9799"/>
    <tableColumn id="9805" xr3:uid="{D246DF1D-F977-4208-81EC-35AF7D55442D}" name="Column9800"/>
    <tableColumn id="9806" xr3:uid="{F21FC793-B6B1-4F8A-B4AA-D8E71A20ACA9}" name="Column9801"/>
    <tableColumn id="9807" xr3:uid="{6F3762E5-9D0A-4B82-ADCB-9256FD11F7E4}" name="Column9802"/>
    <tableColumn id="9808" xr3:uid="{AD2906A1-50BD-442C-A863-7C086D77AF49}" name="Column9803"/>
    <tableColumn id="9809" xr3:uid="{632017A2-0144-4DD7-A74E-35E8182AA12A}" name="Column9804"/>
    <tableColumn id="9810" xr3:uid="{71A73EA1-4625-478E-86F6-EA8C4FC63B02}" name="Column9805"/>
    <tableColumn id="9811" xr3:uid="{BE361812-0E2A-45B8-A714-62C708DB5FA6}" name="Column9806"/>
    <tableColumn id="9812" xr3:uid="{ED43DD0F-BC4A-44E0-B932-DD7CBFBEC15A}" name="Column9807"/>
    <tableColumn id="9813" xr3:uid="{0ED8B315-4EE5-4779-9EEB-67DDFE479462}" name="Column9808"/>
    <tableColumn id="9814" xr3:uid="{0C575EE8-7657-4602-9F59-9967D30B79EB}" name="Column9809"/>
    <tableColumn id="9815" xr3:uid="{7D246D0B-D424-4E48-9627-AB62AF814010}" name="Column9810"/>
    <tableColumn id="9816" xr3:uid="{988715FF-06F0-4780-BB42-198CCA4C358B}" name="Column9811"/>
    <tableColumn id="9817" xr3:uid="{29B0F748-43A7-4A5D-A327-3A49A778F00E}" name="Column9812"/>
    <tableColumn id="9818" xr3:uid="{AD1243BC-7E4C-42A9-BAA8-116392A7E28F}" name="Column9813"/>
    <tableColumn id="9819" xr3:uid="{B1394200-2FA3-45C1-90B9-AD55494E6E09}" name="Column9814"/>
    <tableColumn id="9820" xr3:uid="{2F79BCA3-4943-407A-8B97-981263DBDF57}" name="Column9815"/>
    <tableColumn id="9821" xr3:uid="{FD08F856-DA2C-416B-95A2-603C75CD34F9}" name="Column9816"/>
    <tableColumn id="9822" xr3:uid="{18865AC2-25A9-4FCC-BB68-EFE2B1D761F7}" name="Column9817"/>
    <tableColumn id="9823" xr3:uid="{D98E4963-CFCA-4C74-97CC-BBDF9FDDD077}" name="Column9818"/>
    <tableColumn id="9824" xr3:uid="{85A2C81D-D9B5-45CB-B507-F4C70F082778}" name="Column9819"/>
    <tableColumn id="9825" xr3:uid="{784A77E7-6F1B-40D8-8BE2-667780F5B967}" name="Column9820"/>
    <tableColumn id="9826" xr3:uid="{6F4346CB-680E-4D29-9BEA-2E4259752839}" name="Column9821"/>
    <tableColumn id="9827" xr3:uid="{476BCE16-1A91-4515-B77E-38A5BC9D9FD9}" name="Column9822"/>
    <tableColumn id="9828" xr3:uid="{E6346534-1EE7-49BA-8A73-C9FD222EB684}" name="Column9823"/>
    <tableColumn id="9829" xr3:uid="{CCE22DDB-AC0B-47B6-8065-E0373E4851DD}" name="Column9824"/>
    <tableColumn id="9830" xr3:uid="{107FC06E-59A4-4CC7-9E0A-0F0071E55143}" name="Column9825"/>
    <tableColumn id="9831" xr3:uid="{C32B5C63-F6FF-4E4B-84C9-BAA79FA87E1E}" name="Column9826"/>
    <tableColumn id="9832" xr3:uid="{4030D5DC-9124-44EB-9616-F1AD016FB845}" name="Column9827"/>
    <tableColumn id="9833" xr3:uid="{FBCA4554-0940-4F1C-9541-3FEAF6EBBB6D}" name="Column9828"/>
    <tableColumn id="9834" xr3:uid="{A758BDD0-155A-47A7-A95E-8C3BE2BB3586}" name="Column9829"/>
    <tableColumn id="9835" xr3:uid="{825A8716-4207-44F6-9760-CA21E3452C7A}" name="Column9830"/>
    <tableColumn id="9836" xr3:uid="{5AD7279E-019F-49B9-8FA4-76AD1B98C835}" name="Column9831"/>
    <tableColumn id="9837" xr3:uid="{541C0454-009D-4488-BC0B-8ACF7CFF67E0}" name="Column9832"/>
    <tableColumn id="9838" xr3:uid="{4D4DEDC8-B661-49F2-B4C1-D42D086583D7}" name="Column9833"/>
    <tableColumn id="9839" xr3:uid="{1D530044-C9B2-4040-B875-B63F92005547}" name="Column9834"/>
    <tableColumn id="9840" xr3:uid="{B1B292B8-0BE2-4104-BD44-08EBC2310FFA}" name="Column9835"/>
    <tableColumn id="9841" xr3:uid="{CE02BD8F-35D6-4F0F-97B6-E0BA07250E41}" name="Column9836"/>
    <tableColumn id="9842" xr3:uid="{826B0738-EEE5-472E-81F8-AF06508CFE99}" name="Column9837"/>
    <tableColumn id="9843" xr3:uid="{48E2A65E-0740-4C08-9037-F73B7018277F}" name="Column9838"/>
    <tableColumn id="9844" xr3:uid="{BA042EF1-4997-4480-8335-94887918487B}" name="Column9839"/>
    <tableColumn id="9845" xr3:uid="{83525F68-8209-4BBF-A0A0-4557C7C46210}" name="Column9840"/>
    <tableColumn id="9846" xr3:uid="{9C4FD0E5-5C17-49A4-A427-5765D1F57653}" name="Column9841"/>
    <tableColumn id="9847" xr3:uid="{A16CB207-5988-4C28-9C85-9C4CC6FEF7B1}" name="Column9842"/>
    <tableColumn id="9848" xr3:uid="{180B3DE7-966C-48F6-AC55-ADF81AA52E68}" name="Column9843"/>
    <tableColumn id="9849" xr3:uid="{49FB7AE3-BF4B-40A3-AA3E-875FBC3ACB92}" name="Column9844"/>
    <tableColumn id="9850" xr3:uid="{02F31464-4E21-499F-9627-721BA659BB0A}" name="Column9845"/>
    <tableColumn id="9851" xr3:uid="{A155801B-3A20-492D-B1F6-CE417112A575}" name="Column9846"/>
    <tableColumn id="9852" xr3:uid="{21401A57-9C85-463B-B1A9-933BED0A4190}" name="Column9847"/>
    <tableColumn id="9853" xr3:uid="{EB839D63-6102-4101-9A4A-41B89D5FF35F}" name="Column9848"/>
    <tableColumn id="9854" xr3:uid="{BF7EB310-62C4-4B69-9C1B-BBD8E039F11E}" name="Column9849"/>
    <tableColumn id="9855" xr3:uid="{A3077E86-A580-42E5-8F3A-2FC918F4485D}" name="Column9850"/>
    <tableColumn id="9856" xr3:uid="{F4847EC1-E3EC-4462-9159-003F3D31BBEB}" name="Column9851"/>
    <tableColumn id="9857" xr3:uid="{5A009342-3F55-461C-BD90-B57A803802DA}" name="Column9852"/>
    <tableColumn id="9858" xr3:uid="{D6A90CAC-99D6-4BDA-87F4-5E9C111FD255}" name="Column9853"/>
    <tableColumn id="9859" xr3:uid="{39CA82BA-6DE4-47E3-ABBD-945778D65B98}" name="Column9854"/>
    <tableColumn id="9860" xr3:uid="{3C3EC304-EF5E-438F-8ECB-5AC1FBD5BB6F}" name="Column9855"/>
    <tableColumn id="9861" xr3:uid="{4FD80A7B-9079-4CE3-9ADD-51937AF12172}" name="Column9856"/>
    <tableColumn id="9862" xr3:uid="{3EB7E4C0-A6F0-461E-8EAD-884052B68AC7}" name="Column9857"/>
    <tableColumn id="9863" xr3:uid="{6E29C7C5-ED8F-44E5-BF56-5C05AC4BE1BC}" name="Column9858"/>
    <tableColumn id="9864" xr3:uid="{33CCD6D4-2E58-4B4A-8DFD-39C19BA35ABB}" name="Column9859"/>
    <tableColumn id="9865" xr3:uid="{BA1C9C91-68A3-42A8-B07B-693BBE9BA5C6}" name="Column9860"/>
    <tableColumn id="9866" xr3:uid="{0CF0F3A7-FD46-4B83-B54D-F95D64ABF30F}" name="Column9861"/>
    <tableColumn id="9867" xr3:uid="{994474B5-07EE-4510-83AF-95220FE3E95C}" name="Column9862"/>
    <tableColumn id="9868" xr3:uid="{17C69511-BA87-4408-8419-BB764843F06F}" name="Column9863"/>
    <tableColumn id="9869" xr3:uid="{834A586D-1992-4B72-B7C2-3B2A2F75907D}" name="Column9864"/>
    <tableColumn id="9870" xr3:uid="{CF15D0E4-3DA4-40AF-8BF7-3D1D4522D08D}" name="Column9865"/>
    <tableColumn id="9871" xr3:uid="{581D2B99-A606-4EAA-8A7C-CF1C10849387}" name="Column9866"/>
    <tableColumn id="9872" xr3:uid="{AF3DECB2-2589-4255-B634-A2C46569A979}" name="Column9867"/>
    <tableColumn id="9873" xr3:uid="{1BC5C080-D84B-4366-8014-2E422C3DCB75}" name="Column9868"/>
    <tableColumn id="9874" xr3:uid="{A7E134CD-82C6-404D-AE39-3987C9AB18FB}" name="Column9869"/>
    <tableColumn id="9875" xr3:uid="{DD1D7FE3-7CA7-4BCF-89EA-D00BA2D3F195}" name="Column9870"/>
    <tableColumn id="9876" xr3:uid="{1E540869-A424-45D0-92E8-AAB59A5BC048}" name="Column9871"/>
    <tableColumn id="9877" xr3:uid="{F19952A7-9787-48F7-A053-830D1F517C39}" name="Column9872"/>
    <tableColumn id="9878" xr3:uid="{9628A7A7-4EF3-40D5-A0B8-B81193321F64}" name="Column9873"/>
    <tableColumn id="9879" xr3:uid="{16C8AEA4-031B-4744-AE2C-938A982151DD}" name="Column9874"/>
    <tableColumn id="9880" xr3:uid="{38FA9CE9-4116-4A0A-AF90-3722A21DC39C}" name="Column9875"/>
    <tableColumn id="9881" xr3:uid="{4A2009D8-B669-4EB2-8438-B957F40E376D}" name="Column9876"/>
    <tableColumn id="9882" xr3:uid="{60F4BDBB-FB8E-4804-B38F-B3850292FB1A}" name="Column9877"/>
    <tableColumn id="9883" xr3:uid="{8045A122-C215-42C9-BE41-4122BB648F20}" name="Column9878"/>
    <tableColumn id="9884" xr3:uid="{93171EAD-00D1-485D-B121-4C2919F28640}" name="Column9879"/>
    <tableColumn id="9885" xr3:uid="{146830A0-A348-4CB9-A978-A8DB98077836}" name="Column9880"/>
    <tableColumn id="9886" xr3:uid="{090EEE44-BA32-4C1F-AD71-ADE703C682C1}" name="Column9881"/>
    <tableColumn id="9887" xr3:uid="{802FEE64-9C6B-4F2F-8C7F-8CB044CC423A}" name="Column9882"/>
    <tableColumn id="9888" xr3:uid="{7B471B44-C8DF-413E-B374-240C8AB67B84}" name="Column9883"/>
    <tableColumn id="9889" xr3:uid="{C44699C0-4B12-4935-81F4-CA2B613BF4D9}" name="Column9884"/>
    <tableColumn id="9890" xr3:uid="{68A58A41-8F3A-4C05-94DD-B5454DDC535E}" name="Column9885"/>
    <tableColumn id="9891" xr3:uid="{5041D6F5-16AB-4F60-B95C-766BC3274017}" name="Column9886"/>
    <tableColumn id="9892" xr3:uid="{A727DFBF-C11A-4D11-BB8E-6287C4CD76F6}" name="Column9887"/>
    <tableColumn id="9893" xr3:uid="{885ADF2F-5130-4D57-B458-D8D5C8306D1C}" name="Column9888"/>
    <tableColumn id="9894" xr3:uid="{B64EE332-8141-430E-8CFE-698807D70631}" name="Column9889"/>
    <tableColumn id="9895" xr3:uid="{FA46C834-A9B2-4ACE-A462-E6BC83270528}" name="Column9890"/>
    <tableColumn id="9896" xr3:uid="{78FF92B1-DB0C-4C4B-A9EC-82FC80D0D456}" name="Column9891"/>
    <tableColumn id="9897" xr3:uid="{8CF4B201-86AB-4DBC-9CAE-658387AC3657}" name="Column9892"/>
    <tableColumn id="9898" xr3:uid="{32EF26DC-C885-415A-86BF-7CFE2F103A28}" name="Column9893"/>
    <tableColumn id="9899" xr3:uid="{B12AA68F-4161-4A5A-A2FD-4A707DB2B822}" name="Column9894"/>
    <tableColumn id="9900" xr3:uid="{B89DF8CB-4746-4949-8D7C-6331BBFD2E71}" name="Column9895"/>
    <tableColumn id="9901" xr3:uid="{ACE0437E-208F-479F-86E3-421F3F469666}" name="Column9896"/>
    <tableColumn id="9902" xr3:uid="{0856D874-E4F1-482B-9B32-BA6D6AD3370B}" name="Column9897"/>
    <tableColumn id="9903" xr3:uid="{49233292-847B-4B96-9896-A927835421E8}" name="Column9898"/>
    <tableColumn id="9904" xr3:uid="{E81A8B4D-882A-4C18-9E06-651A7A499B2A}" name="Column9899"/>
    <tableColumn id="9905" xr3:uid="{2D1B7EE4-66A8-415A-A288-E0144FE543A6}" name="Column9900"/>
    <tableColumn id="9906" xr3:uid="{BD07CBF7-AD56-4F9F-A45F-823FF6D34C4B}" name="Column9901"/>
    <tableColumn id="9907" xr3:uid="{F0804BAD-312F-44EE-AC6D-02F8598B57C8}" name="Column9902"/>
    <tableColumn id="9908" xr3:uid="{F90D8137-81AB-4E72-8B60-204F7BF127A7}" name="Column9903"/>
    <tableColumn id="9909" xr3:uid="{6F2B7356-0FFD-4F96-B5DC-7CF120C4CBDD}" name="Column9904"/>
    <tableColumn id="9910" xr3:uid="{B5C3A78A-F4C8-4B03-AA53-3E11CD79CFB5}" name="Column9905"/>
    <tableColumn id="9911" xr3:uid="{6FF5AB2F-9D64-4F1D-906A-D2071F127AEA}" name="Column9906"/>
    <tableColumn id="9912" xr3:uid="{FC09A5BC-1E9F-4EA3-92DD-A24E7150F628}" name="Column9907"/>
    <tableColumn id="9913" xr3:uid="{F7E39B31-C09C-4F73-97A8-D8605FCA55F5}" name="Column9908"/>
    <tableColumn id="9914" xr3:uid="{2E88D2A7-5D6D-4598-85CE-5D660950E341}" name="Column9909"/>
    <tableColumn id="9915" xr3:uid="{DBD256D9-A5EB-43FD-A083-466BBE3B97D5}" name="Column9910"/>
    <tableColumn id="9916" xr3:uid="{A816E72C-18DC-4865-B368-7C1387D17EB6}" name="Column9911"/>
    <tableColumn id="9917" xr3:uid="{1C6555C7-E9A4-4AF8-B8A6-1A07D3D3600A}" name="Column9912"/>
    <tableColumn id="9918" xr3:uid="{BA347C9E-D9C5-4642-877D-C9AE4FC5593B}" name="Column9913"/>
    <tableColumn id="9919" xr3:uid="{2AF39C61-7C04-4B5A-AE40-596F14A97C00}" name="Column9914"/>
    <tableColumn id="9920" xr3:uid="{324E0BB0-29D3-4590-B23B-2BF07787B4C5}" name="Column9915"/>
    <tableColumn id="9921" xr3:uid="{0C373D5B-18FE-4CCD-BDC5-7C83B4A399EC}" name="Column9916"/>
    <tableColumn id="9922" xr3:uid="{E39BA0E2-7925-4FE6-B586-57FBFADCC12F}" name="Column9917"/>
    <tableColumn id="9923" xr3:uid="{3C046322-4594-4563-AF19-D4B21EFF968E}" name="Column9918"/>
    <tableColumn id="9924" xr3:uid="{E665B6D1-8F09-41AB-9B7E-CB945CC0ECBC}" name="Column9919"/>
    <tableColumn id="9925" xr3:uid="{5E976EB3-7D44-4E28-A558-0CD6584BB05C}" name="Column9920"/>
    <tableColumn id="9926" xr3:uid="{EAA4425C-66C1-46C2-92D4-181BC1F7FDE5}" name="Column9921"/>
    <tableColumn id="9927" xr3:uid="{27C293DA-8549-44BE-A82B-B2B71EF5DF92}" name="Column9922"/>
    <tableColumn id="9928" xr3:uid="{165A8486-51EF-49AF-9868-5AA6D1CE9C95}" name="Column9923"/>
    <tableColumn id="9929" xr3:uid="{7A2035C7-BC26-46BC-BB86-C638F9843269}" name="Column9924"/>
    <tableColumn id="9930" xr3:uid="{8F387785-727F-40F0-ABC3-08C313CCF522}" name="Column9925"/>
    <tableColumn id="9931" xr3:uid="{C5764E2C-7260-407D-B650-155695F8777E}" name="Column9926"/>
    <tableColumn id="9932" xr3:uid="{ABF4758D-30E1-49F4-834B-69C7A7ABE636}" name="Column9927"/>
    <tableColumn id="9933" xr3:uid="{EAF6C7C0-4063-4544-8481-CDCDEFBEA7C3}" name="Column9928"/>
    <tableColumn id="9934" xr3:uid="{668F53B2-B99A-4ED4-A6AE-EFA4EA823AB4}" name="Column9929"/>
    <tableColumn id="9935" xr3:uid="{674FA792-3A1E-461D-85B9-CD90AA8B5453}" name="Column9930"/>
    <tableColumn id="9936" xr3:uid="{BDE5C251-BF9A-4FF6-BA54-3918932A0B89}" name="Column9931"/>
    <tableColumn id="9937" xr3:uid="{64623B34-98F4-407B-81F5-4D874815EC1A}" name="Column9932"/>
    <tableColumn id="9938" xr3:uid="{E1F67017-5741-4424-94C4-DDDF7F9C5812}" name="Column9933"/>
    <tableColumn id="9939" xr3:uid="{4531826A-8D63-4C5A-A79D-125388991D57}" name="Column9934"/>
    <tableColumn id="9940" xr3:uid="{3AA79829-EA83-4635-B525-5BD62CDCB506}" name="Column9935"/>
    <tableColumn id="9941" xr3:uid="{D997CC71-C109-41BB-ABB2-01012267304C}" name="Column9936"/>
    <tableColumn id="9942" xr3:uid="{507AD98A-EA9F-4CC1-B28B-2198C6782EAF}" name="Column9937"/>
    <tableColumn id="9943" xr3:uid="{51DBA47E-1043-459B-B9F0-96A25ACB9B48}" name="Column9938"/>
    <tableColumn id="9944" xr3:uid="{F766C8DA-EBA5-49CD-BD27-32F5D0D45985}" name="Column9939"/>
    <tableColumn id="9945" xr3:uid="{50E928FA-7877-4690-B162-6A8D9F6D079F}" name="Column9940"/>
    <tableColumn id="9946" xr3:uid="{AD872D08-871B-415D-B31B-015445198A89}" name="Column9941"/>
    <tableColumn id="9947" xr3:uid="{63FADDAB-AB10-49AF-8BC5-7FFA86828A2F}" name="Column9942"/>
    <tableColumn id="9948" xr3:uid="{DDE31A06-AB53-402B-8A5F-BCA8E5B0BDE0}" name="Column9943"/>
    <tableColumn id="9949" xr3:uid="{CB48E9A9-0936-48D1-8BDC-3842DED0DAD9}" name="Column9944"/>
    <tableColumn id="9950" xr3:uid="{78B6775B-A77F-447A-8A5B-38536A19488D}" name="Column9945"/>
    <tableColumn id="9951" xr3:uid="{A6E5A05D-15A3-474E-896A-BA861A3E266E}" name="Column9946"/>
    <tableColumn id="9952" xr3:uid="{4489B2EA-2353-4C89-9E54-DDACB06344CE}" name="Column9947"/>
    <tableColumn id="9953" xr3:uid="{3893CA20-97CC-4FD8-B454-2EE31B19D628}" name="Column9948"/>
    <tableColumn id="9954" xr3:uid="{957B7717-DA73-43A0-9976-A4C0556C6D06}" name="Column9949"/>
    <tableColumn id="9955" xr3:uid="{0461597B-22C6-46D5-BB9B-37376AC1605D}" name="Column9950"/>
    <tableColumn id="9956" xr3:uid="{4F18BEB1-2538-4E0F-BCE0-113675BBE9C8}" name="Column9951"/>
    <tableColumn id="9957" xr3:uid="{5901A25A-BCFA-4B06-BA18-0B9EF72E89B1}" name="Column9952"/>
    <tableColumn id="9958" xr3:uid="{B96C77B4-8B16-4409-BCC4-0752119D318D}" name="Column9953"/>
    <tableColumn id="9959" xr3:uid="{347DA035-FF12-4E69-84AE-28080EBFB387}" name="Column9954"/>
    <tableColumn id="9960" xr3:uid="{DAE6811B-9AD6-4B91-A179-15C5FD1E3FA9}" name="Column9955"/>
    <tableColumn id="9961" xr3:uid="{9AD3A6F7-DC43-455F-8E94-DCDA9842B081}" name="Column9956"/>
    <tableColumn id="9962" xr3:uid="{32C16798-4E9E-48F7-914C-435C455252E4}" name="Column9957"/>
    <tableColumn id="9963" xr3:uid="{3444A747-1F36-4D26-963F-87BB21E4526B}" name="Column9958"/>
    <tableColumn id="9964" xr3:uid="{1BEACD72-DE00-42E4-96C9-D38A5C06CF25}" name="Column9959"/>
    <tableColumn id="9965" xr3:uid="{1DF460E8-E105-4018-8CA5-E876F55A688F}" name="Column9960"/>
    <tableColumn id="9966" xr3:uid="{D131C7F4-C5B5-4790-92C2-33954B0E6C31}" name="Column9961"/>
    <tableColumn id="9967" xr3:uid="{7D5569EE-2CB5-426A-B944-7A5268751C21}" name="Column9962"/>
    <tableColumn id="9968" xr3:uid="{7EB51089-61C2-4132-8212-FD6311524CD7}" name="Column9963"/>
    <tableColumn id="9969" xr3:uid="{B54030D6-F5A7-4C40-B79B-803428F690E0}" name="Column9964"/>
    <tableColumn id="9970" xr3:uid="{82BFA185-31D8-43CA-BAD0-7411C3914754}" name="Column9965"/>
    <tableColumn id="9971" xr3:uid="{D5F53E3A-5E75-421E-A62F-6F0E77E2B779}" name="Column9966"/>
    <tableColumn id="9972" xr3:uid="{45F4D8D6-221C-45B4-81CE-A07535A2C53D}" name="Column9967"/>
    <tableColumn id="9973" xr3:uid="{46A12217-4E02-4246-8D50-F1CFA1741C43}" name="Column9968"/>
    <tableColumn id="9974" xr3:uid="{5D26C066-69CA-4794-A05A-73B01BFE5C47}" name="Column9969"/>
    <tableColumn id="9975" xr3:uid="{0C4082F1-3708-42F7-8CF1-2D45972CB212}" name="Column9970"/>
    <tableColumn id="9976" xr3:uid="{0ED5BB11-C4D9-4563-A4AB-C83BDDB9412C}" name="Column9971"/>
    <tableColumn id="9977" xr3:uid="{37B9136D-4034-43EC-BF0B-276C3FCC4F9E}" name="Column9972"/>
    <tableColumn id="9978" xr3:uid="{30D3685C-946F-4699-B58A-A009793BCC96}" name="Column9973"/>
    <tableColumn id="9979" xr3:uid="{1F2B37F7-A611-4364-9C13-F3A96385A351}" name="Column9974"/>
    <tableColumn id="9980" xr3:uid="{6CAB6306-B400-4DE9-BD65-6006E33392DF}" name="Column9975"/>
    <tableColumn id="9981" xr3:uid="{7A8571BD-7154-4A9A-B19F-C0F669233877}" name="Column9976"/>
    <tableColumn id="9982" xr3:uid="{892ED034-C979-4CCD-91DC-92D93F5A2923}" name="Column9977"/>
    <tableColumn id="9983" xr3:uid="{59506C4C-319E-4B4A-8387-1461E9EBC316}" name="Column9978"/>
    <tableColumn id="9984" xr3:uid="{9B8A6C70-8AA0-4CF5-BE10-3DE6820AC46A}" name="Column9979"/>
    <tableColumn id="9985" xr3:uid="{59A8F00A-932E-4C6E-84E0-07578007D47C}" name="Column9980"/>
    <tableColumn id="9986" xr3:uid="{F2D3C641-0883-4910-B108-DF04EE0AABAC}" name="Column9981"/>
    <tableColumn id="9987" xr3:uid="{D2E5DB96-981D-41F2-B672-F97E23A0D279}" name="Column9982"/>
    <tableColumn id="9988" xr3:uid="{A97F1594-1959-4C7A-9E2C-565DE5DBB5B1}" name="Column9983"/>
    <tableColumn id="9989" xr3:uid="{172D43EA-F95E-4186-9AD6-AB20A3AF6715}" name="Column9984"/>
    <tableColumn id="9990" xr3:uid="{BFE57BF0-CD5A-434D-BBEC-65DE63FD58FA}" name="Column9985"/>
    <tableColumn id="9991" xr3:uid="{12B4B0AE-86DE-4C99-A703-D1981B2F724D}" name="Column9986"/>
    <tableColumn id="9992" xr3:uid="{4B4BF721-B446-46D3-BE41-FFF226523931}" name="Column9987"/>
    <tableColumn id="9993" xr3:uid="{CF5E7F67-17F3-4AF1-A884-73779BFF00C1}" name="Column9988"/>
    <tableColumn id="9994" xr3:uid="{90DF12BD-23C8-443F-982C-97B16277A546}" name="Column9989"/>
    <tableColumn id="9995" xr3:uid="{60FBADBA-E797-42C0-B829-00DEA894FC15}" name="Column9990"/>
    <tableColumn id="9996" xr3:uid="{DE1A7139-E000-433E-87A3-718A9C8FD2EB}" name="Column9991"/>
    <tableColumn id="9997" xr3:uid="{05C4BDF3-B118-45E4-82CC-57CA7C5544E1}" name="Column9992"/>
    <tableColumn id="9998" xr3:uid="{FB76504B-C25B-47E6-BE26-DDA2C36483A7}" name="Column9993"/>
    <tableColumn id="9999" xr3:uid="{4E4E5DE5-CC24-43D2-BA39-F5692B5FE850}" name="Column9994"/>
    <tableColumn id="10000" xr3:uid="{DD1B8146-809A-427D-AFC4-9125AA03A101}" name="Column9995"/>
    <tableColumn id="10001" xr3:uid="{34C8078D-16A3-42DA-903C-CEA198920994}" name="Column9996"/>
    <tableColumn id="10002" xr3:uid="{DC980B5B-B051-4CE8-997D-F1E5CB6E0C00}" name="Column9997"/>
    <tableColumn id="10003" xr3:uid="{D534C684-C85A-40B0-9B17-B7607B744673}" name="Column9998"/>
    <tableColumn id="10004" xr3:uid="{D64A962D-728F-4221-A91A-746B6D68A4CE}" name="Column9999"/>
    <tableColumn id="10005" xr3:uid="{29958709-E8C1-401D-B2DC-7D92AF6B7BEB}" name="Column10000"/>
    <tableColumn id="10006" xr3:uid="{5AACA806-5E22-4A78-9E54-DAFF853AAE22}" name="Column10001"/>
    <tableColumn id="10007" xr3:uid="{207BC873-75AC-4393-8D85-9780D7B4AF84}" name="Column10002"/>
    <tableColumn id="10008" xr3:uid="{EED1D2C1-C624-463A-8475-2A9E1636E783}" name="Column10003"/>
    <tableColumn id="10009" xr3:uid="{E1D51948-1B4C-400F-9473-5D39192CC60E}" name="Column10004"/>
    <tableColumn id="10010" xr3:uid="{80BC7AB4-D324-4138-B30B-C55C1C7827D9}" name="Column10005"/>
    <tableColumn id="10011" xr3:uid="{FAEDBF8A-E697-4D3D-906D-D141C155A70B}" name="Column10006"/>
    <tableColumn id="10012" xr3:uid="{A1817BC8-BB0B-4740-975A-E52725A950B3}" name="Column10007"/>
    <tableColumn id="10013" xr3:uid="{A2DE945F-267E-483F-B665-AE89FC359CF0}" name="Column10008"/>
    <tableColumn id="10014" xr3:uid="{815BA177-6D4C-43AF-B8EC-64E414D03A9B}" name="Column10009"/>
    <tableColumn id="10015" xr3:uid="{354F3F03-F2ED-4FAA-8CA4-96AC3E0CDC1A}" name="Column10010"/>
    <tableColumn id="10016" xr3:uid="{29275416-D6B9-4CD6-A8C2-6159732B1741}" name="Column10011"/>
    <tableColumn id="10017" xr3:uid="{A7B4B4B2-6EC1-4C24-B338-4D1342482794}" name="Column10012"/>
    <tableColumn id="10018" xr3:uid="{0DF6AE68-1416-4F52-B528-7B53D1EB0A05}" name="Column10013"/>
    <tableColumn id="10019" xr3:uid="{62491FB3-AD0C-407A-A968-4B976872BB36}" name="Column10014"/>
    <tableColumn id="10020" xr3:uid="{20138E69-8918-4D3C-9446-7B0DABAEB88C}" name="Column10015"/>
    <tableColumn id="10021" xr3:uid="{EDB1A759-BCAC-4390-93E5-EED037561093}" name="Column10016"/>
    <tableColumn id="10022" xr3:uid="{9BCEFAA8-ABCD-470C-B0A8-937288C646D2}" name="Column10017"/>
    <tableColumn id="10023" xr3:uid="{99074338-6FFD-41D7-AED8-6C43A92F013F}" name="Column10018"/>
    <tableColumn id="10024" xr3:uid="{ED4CAEF0-9671-405D-A7D0-4EA88F2A68D5}" name="Column10019"/>
    <tableColumn id="10025" xr3:uid="{1FFA6162-E5AD-4956-BC08-017A6624DF58}" name="Column10020"/>
    <tableColumn id="10026" xr3:uid="{EF26A063-2CBF-4600-9097-88AE266C07B4}" name="Column10021"/>
    <tableColumn id="10027" xr3:uid="{D95F992C-ECD4-4959-8D7B-40FB46F217CB}" name="Column10022"/>
    <tableColumn id="10028" xr3:uid="{B46E5441-CE8E-40AB-A07F-6C95857E4FD7}" name="Column10023"/>
    <tableColumn id="10029" xr3:uid="{4BFAB58B-3E74-4F6C-9B7E-46256412C126}" name="Column10024"/>
    <tableColumn id="10030" xr3:uid="{9926FB54-098E-46D3-B1DD-19AE777F7EE7}" name="Column10025"/>
    <tableColumn id="10031" xr3:uid="{9A52C0D1-EA56-4B4D-96B9-A66EEEC2CB4B}" name="Column10026"/>
    <tableColumn id="10032" xr3:uid="{281547E0-E2BE-43D7-9A29-E972F6307E48}" name="Column10027"/>
    <tableColumn id="10033" xr3:uid="{B1E7A3D7-688A-42FD-AB15-E81A8CDF5691}" name="Column10028"/>
    <tableColumn id="10034" xr3:uid="{C26EAEDF-D6E1-4A1F-B8DE-2F82978B085F}" name="Column10029"/>
    <tableColumn id="10035" xr3:uid="{45929B57-5E7C-43D7-837A-F25C07D7D9B8}" name="Column10030"/>
    <tableColumn id="10036" xr3:uid="{B90664BE-C7FC-4E2D-8377-CB905D8FAF20}" name="Column10031"/>
    <tableColumn id="10037" xr3:uid="{03723565-E62F-42E2-9C73-B350CC5C04AA}" name="Column10032"/>
    <tableColumn id="10038" xr3:uid="{7082E8DB-2C24-4FE8-A2CA-85132BE5406E}" name="Column10033"/>
    <tableColumn id="10039" xr3:uid="{A504AE1A-8525-45A9-B437-A21C3868971C}" name="Column10034"/>
    <tableColumn id="10040" xr3:uid="{B7F9D141-67E0-434F-A36F-64724545FEEE}" name="Column10035"/>
    <tableColumn id="10041" xr3:uid="{B76E9453-7A54-4DFB-829F-36EC815AEAA5}" name="Column10036"/>
    <tableColumn id="10042" xr3:uid="{A5008DE8-326F-4B28-A3A6-7E4EE2FBF9A9}" name="Column10037"/>
    <tableColumn id="10043" xr3:uid="{D7F561B0-B83E-4950-9372-9BBB1BD586E9}" name="Column10038"/>
    <tableColumn id="10044" xr3:uid="{4858E5B0-9720-4D69-A75E-48720B802A74}" name="Column10039"/>
    <tableColumn id="10045" xr3:uid="{C03B075A-1EFC-411B-97A5-8855DA902766}" name="Column10040"/>
    <tableColumn id="10046" xr3:uid="{2B7DE4A4-128E-4A1A-A5F9-4C8E61C82DDE}" name="Column10041"/>
    <tableColumn id="10047" xr3:uid="{FDC26517-5EE0-492F-8A23-F892261A85B7}" name="Column10042"/>
    <tableColumn id="10048" xr3:uid="{D308875F-A0F6-4364-902D-B90333C19C76}" name="Column10043"/>
    <tableColumn id="10049" xr3:uid="{8E2607E9-C8FD-4E2B-8F69-0306C1FA7A62}" name="Column10044"/>
    <tableColumn id="10050" xr3:uid="{C6DE3D61-1CC3-4A14-9615-DD803EF79883}" name="Column10045"/>
    <tableColumn id="10051" xr3:uid="{B003C23B-FE63-4C52-8FDE-F2BC840547DA}" name="Column10046"/>
    <tableColumn id="10052" xr3:uid="{0990EF5C-0D6A-4F66-AA1F-532B722C447B}" name="Column10047"/>
    <tableColumn id="10053" xr3:uid="{D1A1D3A4-5D19-4C8C-9F22-DB15C0095F93}" name="Column10048"/>
    <tableColumn id="10054" xr3:uid="{A1788ABF-E70B-468B-80E0-5BDA6468DE5A}" name="Column10049"/>
    <tableColumn id="10055" xr3:uid="{3B345E69-094B-48BA-8D00-5C69285B458F}" name="Column10050"/>
    <tableColumn id="10056" xr3:uid="{61DD6B42-7E2A-47CC-9CA5-0CA8BD866972}" name="Column10051"/>
    <tableColumn id="10057" xr3:uid="{2B67AF25-B8A7-4081-B171-33FDF250947C}" name="Column10052"/>
    <tableColumn id="10058" xr3:uid="{27E5FD63-79FA-4BA6-B169-E0334572399A}" name="Column10053"/>
    <tableColumn id="10059" xr3:uid="{0AB16091-F057-4DD4-8D53-D79D6B037664}" name="Column10054"/>
    <tableColumn id="10060" xr3:uid="{6CA84434-9AF8-4703-92FE-91FFFEF03035}" name="Column10055"/>
    <tableColumn id="10061" xr3:uid="{125F037B-1047-4B87-B9AE-15CFD110459F}" name="Column10056"/>
    <tableColumn id="10062" xr3:uid="{B2A2500E-CA70-49D3-BC83-641B858D1482}" name="Column10057"/>
    <tableColumn id="10063" xr3:uid="{201ADEF4-777A-48B0-884F-AC02B71C275E}" name="Column10058"/>
    <tableColumn id="10064" xr3:uid="{292750B8-7C06-4B65-BE1A-3BF7084362D3}" name="Column10059"/>
    <tableColumn id="10065" xr3:uid="{588FDBF1-96FE-4D88-AFFA-E4D18BBC099C}" name="Column10060"/>
    <tableColumn id="10066" xr3:uid="{CC815CA3-7C18-4437-8DE3-FCD4F8DB75C2}" name="Column10061"/>
    <tableColumn id="10067" xr3:uid="{612A196B-F155-402B-9743-6EAEB5A2DEF1}" name="Column10062"/>
    <tableColumn id="10068" xr3:uid="{D49F3923-F901-41E5-AA3C-84C627FFADD8}" name="Column10063"/>
    <tableColumn id="10069" xr3:uid="{346CB51B-5619-4A9D-A394-150391D8901D}" name="Column10064"/>
    <tableColumn id="10070" xr3:uid="{0DA56993-126A-4671-9106-1A3E2E7E0469}" name="Column10065"/>
    <tableColumn id="10071" xr3:uid="{0481E77C-F7ED-4CF5-AE46-B53015B55CC8}" name="Column10066"/>
    <tableColumn id="10072" xr3:uid="{268F1C5F-25B3-47EF-BAE5-A5602F766E6A}" name="Column10067"/>
    <tableColumn id="10073" xr3:uid="{F6DFD94B-9627-4313-B3A8-649979325F30}" name="Column10068"/>
    <tableColumn id="10074" xr3:uid="{2B206839-F95E-45E8-998F-460D511A115A}" name="Column10069"/>
    <tableColumn id="10075" xr3:uid="{7DD7B0DE-D623-471C-AD73-A02FB14EABA4}" name="Column10070"/>
    <tableColumn id="10076" xr3:uid="{0BB1FEE6-ACA3-4C1C-87F4-3AACFCACBF0F}" name="Column10071"/>
    <tableColumn id="10077" xr3:uid="{3170604E-6C6B-4650-A401-2EC2E89120F0}" name="Column10072"/>
    <tableColumn id="10078" xr3:uid="{CA3FC388-EC75-46F4-8622-5B53AB1F3EE0}" name="Column10073"/>
    <tableColumn id="10079" xr3:uid="{4F5F044F-FBB9-4E26-9A75-3E24C93E6071}" name="Column10074"/>
    <tableColumn id="10080" xr3:uid="{A3FB8147-CCB2-4506-BFB3-367BFCCB68EE}" name="Column10075"/>
    <tableColumn id="10081" xr3:uid="{854EF06B-4C36-4111-AC63-06FAE65DAB1B}" name="Column10076"/>
    <tableColumn id="10082" xr3:uid="{465893AC-3CB9-405D-98D5-23057D05D65E}" name="Column10077"/>
    <tableColumn id="10083" xr3:uid="{191646E9-30A3-4CCF-87CF-D925B1F3ED77}" name="Column10078"/>
    <tableColumn id="10084" xr3:uid="{4F506420-FEB1-4B1B-83B6-1A54DAA36631}" name="Column10079"/>
    <tableColumn id="10085" xr3:uid="{48258BB0-CC20-44AB-A02B-19A04B7A9B9A}" name="Column10080"/>
    <tableColumn id="10086" xr3:uid="{607B9F89-E7DE-41AB-98B8-D3CFF9F53A6D}" name="Column10081"/>
    <tableColumn id="10087" xr3:uid="{B6F98977-565A-4F65-B6BC-8FB6A811D75D}" name="Column10082"/>
    <tableColumn id="10088" xr3:uid="{C6995101-BA2E-4520-97C2-E69651BF56D9}" name="Column10083"/>
    <tableColumn id="10089" xr3:uid="{05E8DDBB-CD91-4461-96F2-A48B276E71A7}" name="Column10084"/>
    <tableColumn id="10090" xr3:uid="{5B03F173-B1D2-4F66-909B-AB5A5483D0FE}" name="Column10085"/>
    <tableColumn id="10091" xr3:uid="{F3830488-19BC-437D-8829-B4864CA07747}" name="Column10086"/>
    <tableColumn id="10092" xr3:uid="{D1796789-08B7-433B-BEA9-BC81F938B5DE}" name="Column10087"/>
    <tableColumn id="10093" xr3:uid="{A78B6AA9-3B61-4DC8-AF87-9BD98809C84B}" name="Column10088"/>
    <tableColumn id="10094" xr3:uid="{8293734A-C4D5-450A-9D5D-C707DB40861F}" name="Column10089"/>
    <tableColumn id="10095" xr3:uid="{AC32AD19-44B3-42E8-A1EF-6A002A0E55E9}" name="Column10090"/>
    <tableColumn id="10096" xr3:uid="{391774CD-E594-42FE-9455-1DFE1D4E078F}" name="Column10091"/>
    <tableColumn id="10097" xr3:uid="{4909BFCD-B41F-4575-BD16-08AB8BA8EB33}" name="Column10092"/>
    <tableColumn id="10098" xr3:uid="{92EAF212-5265-4806-908F-63967875BDDC}" name="Column10093"/>
    <tableColumn id="10099" xr3:uid="{98A7E687-6DB3-49EA-A274-1DEB39EF8F15}" name="Column10094"/>
    <tableColumn id="10100" xr3:uid="{52CA2827-E0CB-459E-93FB-7EAE5FA8C7F3}" name="Column10095"/>
    <tableColumn id="10101" xr3:uid="{D0C11402-F294-4088-9755-B7B806C5BA8F}" name="Column10096"/>
    <tableColumn id="10102" xr3:uid="{D0C5DC38-A99A-45F8-B553-58A187DA8BEF}" name="Column10097"/>
    <tableColumn id="10103" xr3:uid="{C0CED966-2887-4810-A48A-9EF742219C5E}" name="Column10098"/>
    <tableColumn id="10104" xr3:uid="{2E36EBFC-CAE8-420E-84BA-75E3F463720D}" name="Column10099"/>
    <tableColumn id="10105" xr3:uid="{7539B875-CE3E-4588-8F8C-F3EFFF810C79}" name="Column10100"/>
    <tableColumn id="10106" xr3:uid="{0B007E00-5986-437F-BFE5-548D78F5D39D}" name="Column10101"/>
    <tableColumn id="10107" xr3:uid="{D16AB564-52B8-41C2-B424-AA988E3A6797}" name="Column10102"/>
    <tableColumn id="10108" xr3:uid="{EB62A158-A96E-438A-A659-4328B0675AD1}" name="Column10103"/>
    <tableColumn id="10109" xr3:uid="{68F82BEA-5D79-4E33-A527-366E949EBD01}" name="Column10104"/>
    <tableColumn id="10110" xr3:uid="{8CA296F3-CF6B-4FA8-91ED-BA9EF48FDFF0}" name="Column10105"/>
    <tableColumn id="10111" xr3:uid="{65C7BA0D-3C5D-4B54-B339-DEE21E9D0C6A}" name="Column10106"/>
    <tableColumn id="10112" xr3:uid="{4595BB00-4656-423C-A9CE-50683D239C63}" name="Column10107"/>
    <tableColumn id="10113" xr3:uid="{25674913-3B0C-4CFB-811A-EA85935B50BA}" name="Column10108"/>
    <tableColumn id="10114" xr3:uid="{51D84CF7-89F1-47A1-86BB-330AFA05212F}" name="Column10109"/>
    <tableColumn id="10115" xr3:uid="{D1D3354E-5705-4B04-89BF-CB43E0DB6194}" name="Column10110"/>
    <tableColumn id="10116" xr3:uid="{7ADAA1FB-EEC6-4D81-A04C-BE85027DA440}" name="Column10111"/>
    <tableColumn id="10117" xr3:uid="{64E2E0B6-CCBD-4604-8A4D-563E9DB8C284}" name="Column10112"/>
    <tableColumn id="10118" xr3:uid="{02D3725D-6628-406D-8EA5-B7D10DD5937F}" name="Column10113"/>
    <tableColumn id="10119" xr3:uid="{649B48AA-35B4-47F1-8ADB-724B9406E9EC}" name="Column10114"/>
    <tableColumn id="10120" xr3:uid="{ADC59302-DEAE-4537-AF38-EA984A5CB103}" name="Column10115"/>
    <tableColumn id="10121" xr3:uid="{9FEC816F-0C2E-4EC2-AD8E-B78E0A6AC1E3}" name="Column10116"/>
    <tableColumn id="10122" xr3:uid="{A8AB90F7-CEEC-4BE0-B52D-C29CD4A7F397}" name="Column10117"/>
    <tableColumn id="10123" xr3:uid="{5E4254F0-E387-4768-9F88-9D3D9F9C58D0}" name="Column10118"/>
    <tableColumn id="10124" xr3:uid="{BE8D430B-035A-44A8-BEA7-AF4918E30D2F}" name="Column10119"/>
    <tableColumn id="10125" xr3:uid="{98ECAB9E-DC56-442D-B0C5-D0B09FD865C0}" name="Column10120"/>
    <tableColumn id="10126" xr3:uid="{4A094CE1-3A85-4988-B4B2-A7A7AE70C22A}" name="Column10121"/>
    <tableColumn id="10127" xr3:uid="{D50EDBFF-1C71-46EF-B214-ADF03CD88FAF}" name="Column10122"/>
    <tableColumn id="10128" xr3:uid="{9EBF7903-FB3A-4CA3-AA56-91A065675B91}" name="Column10123"/>
    <tableColumn id="10129" xr3:uid="{097CC7A6-031A-46FE-860F-C5066DA6D9EA}" name="Column10124"/>
    <tableColumn id="10130" xr3:uid="{75B51B00-6476-42F6-B49D-207FB835A56C}" name="Column10125"/>
    <tableColumn id="10131" xr3:uid="{ED46385B-88FD-412C-88D9-6D29503B7073}" name="Column10126"/>
    <tableColumn id="10132" xr3:uid="{A5452DB2-912C-4F30-B96A-987FDBC7E960}" name="Column10127"/>
    <tableColumn id="10133" xr3:uid="{DA3BDE80-A7E3-414B-9E68-B5F5FCAC91FB}" name="Column10128"/>
    <tableColumn id="10134" xr3:uid="{E3452605-F9E1-4503-A78C-71C33C0263A8}" name="Column10129"/>
    <tableColumn id="10135" xr3:uid="{425491AE-3D8B-48BE-975D-16320B93A6A8}" name="Column10130"/>
    <tableColumn id="10136" xr3:uid="{27460EB4-06DB-43D4-98AF-1B130D8FEC13}" name="Column10131"/>
    <tableColumn id="10137" xr3:uid="{E407B8E6-2CF4-49A9-8298-E63C2AD2994D}" name="Column10132"/>
    <tableColumn id="10138" xr3:uid="{7B394AC6-EBC2-4D97-BA04-298C53292729}" name="Column10133"/>
    <tableColumn id="10139" xr3:uid="{03C4116F-8D42-4E91-BF45-3F338C21DA69}" name="Column10134"/>
    <tableColumn id="10140" xr3:uid="{B0F3A911-DD8F-405D-985A-8B6AC1A92384}" name="Column10135"/>
    <tableColumn id="10141" xr3:uid="{C70E42A3-98E6-4F7A-9AA9-79151C6DF815}" name="Column10136"/>
    <tableColumn id="10142" xr3:uid="{E8E20A49-2C8B-4B3B-AB1A-134CDC3128B1}" name="Column10137"/>
    <tableColumn id="10143" xr3:uid="{FD7ED74F-81B2-456D-8E95-BFEFC914E43C}" name="Column10138"/>
    <tableColumn id="10144" xr3:uid="{31730A2C-F50D-4021-BCDD-C3F78CE82B96}" name="Column10139"/>
    <tableColumn id="10145" xr3:uid="{818CEDA1-4AE4-46EA-BA80-C61B181630B8}" name="Column10140"/>
    <tableColumn id="10146" xr3:uid="{7298281C-4C9D-4AF7-B485-08D859AE1207}" name="Column10141"/>
    <tableColumn id="10147" xr3:uid="{D952D86A-F53F-45A4-8592-881E5281CBE1}" name="Column10142"/>
    <tableColumn id="10148" xr3:uid="{A6D4BDDC-316D-48DA-AED3-4DF1DE0689F1}" name="Column10143"/>
    <tableColumn id="10149" xr3:uid="{F7801B7B-70C2-4E95-A126-DC98BEAC356C}" name="Column10144"/>
    <tableColumn id="10150" xr3:uid="{AEA0C7DE-B41E-4D61-B594-6A579D4FE01E}" name="Column10145"/>
    <tableColumn id="10151" xr3:uid="{8CA56079-F36C-4427-B611-BEC0230155CE}" name="Column10146"/>
    <tableColumn id="10152" xr3:uid="{7F14843C-828F-4D01-9398-A915DBB39CA2}" name="Column10147"/>
    <tableColumn id="10153" xr3:uid="{F5922839-3334-4A5E-AA24-E0C9B2979FEB}" name="Column10148"/>
    <tableColumn id="10154" xr3:uid="{39FC2AFD-6B51-452E-9ABE-AE471989D38A}" name="Column10149"/>
    <tableColumn id="10155" xr3:uid="{6ABFFD9F-F116-433E-8529-AEB485A59C35}" name="Column10150"/>
    <tableColumn id="10156" xr3:uid="{2A8BBA1C-4293-423C-84DF-A1845B69280B}" name="Column10151"/>
    <tableColumn id="10157" xr3:uid="{F546262C-B8B7-4834-A8DA-AD26C4B1EEF2}" name="Column10152"/>
    <tableColumn id="10158" xr3:uid="{33FE77C4-C08F-4A24-A7DD-B08ABE78EA23}" name="Column10153"/>
    <tableColumn id="10159" xr3:uid="{DD512ACE-9C80-48C5-93F3-DC99D4E53D4D}" name="Column10154"/>
    <tableColumn id="10160" xr3:uid="{F48F33FF-0C59-432C-A7B0-A6466829DE4B}" name="Column10155"/>
    <tableColumn id="10161" xr3:uid="{9A4EA05C-DF84-4C1B-B11B-68A77D253227}" name="Column10156"/>
    <tableColumn id="10162" xr3:uid="{904B0385-C5B6-4B3F-B099-15C4CA391924}" name="Column10157"/>
    <tableColumn id="10163" xr3:uid="{1B0E0AD5-8C3F-4E83-B070-26E023C086F0}" name="Column10158"/>
    <tableColumn id="10164" xr3:uid="{F3C88F2F-3A67-427E-84BA-0552AD724FFD}" name="Column10159"/>
    <tableColumn id="10165" xr3:uid="{52704783-9BE8-4745-B078-9DEF78F37EE1}" name="Column10160"/>
    <tableColumn id="10166" xr3:uid="{79B8E97F-44B5-460A-83F4-92B24D8B7F91}" name="Column10161"/>
    <tableColumn id="10167" xr3:uid="{F0EBBE3A-8004-4684-8F8E-6AC7D8B2FA93}" name="Column10162"/>
    <tableColumn id="10168" xr3:uid="{01EC3B6E-A69E-40B9-8344-2627711DF9E7}" name="Column10163"/>
    <tableColumn id="10169" xr3:uid="{D85F4C9B-09FD-4477-B38A-C53422E4D8C9}" name="Column10164"/>
    <tableColumn id="10170" xr3:uid="{2DA05A9F-D669-4B2E-8E26-448D76A79EE3}" name="Column10165"/>
    <tableColumn id="10171" xr3:uid="{58253F52-0CBF-40E9-BDA6-3832ADECFE07}" name="Column10166"/>
    <tableColumn id="10172" xr3:uid="{C41E4D34-E5C1-4947-ADFF-51936296952A}" name="Column10167"/>
    <tableColumn id="10173" xr3:uid="{13A26615-BB6B-4622-998B-026DAFA9E851}" name="Column10168"/>
    <tableColumn id="10174" xr3:uid="{46EE9730-09C5-4ACA-9E21-FA9AE7F61BD4}" name="Column10169"/>
    <tableColumn id="10175" xr3:uid="{DD37AB7C-77EE-4B4B-894A-04763D35010E}" name="Column10170"/>
    <tableColumn id="10176" xr3:uid="{379C9F89-3FC3-4443-9BC3-3D803E07DF13}" name="Column10171"/>
    <tableColumn id="10177" xr3:uid="{57745821-4F3C-4BAC-89E1-B3BB0FB732E5}" name="Column10172"/>
    <tableColumn id="10178" xr3:uid="{D10C84D3-6153-4056-9E4D-480E09554D36}" name="Column10173"/>
    <tableColumn id="10179" xr3:uid="{3A5BE601-2D9E-440A-B3A9-0AB0B3130018}" name="Column10174"/>
    <tableColumn id="10180" xr3:uid="{C49C540E-24C8-47D0-ABB6-D7DFCD6319A1}" name="Column10175"/>
    <tableColumn id="10181" xr3:uid="{7FA15564-4A04-4C0A-A13B-C280338712D8}" name="Column10176"/>
    <tableColumn id="10182" xr3:uid="{0105B3C4-E563-46D0-BA21-7849F22FC6B5}" name="Column10177"/>
    <tableColumn id="10183" xr3:uid="{D931106A-0926-40D0-98D6-3CC47BE1C42E}" name="Column10178"/>
    <tableColumn id="10184" xr3:uid="{EF8FE06E-005F-4056-A434-EAB43097051C}" name="Column10179"/>
    <tableColumn id="10185" xr3:uid="{E0FC5DEF-125A-428E-A3EC-ABD346D98CD5}" name="Column10180"/>
    <tableColumn id="10186" xr3:uid="{9CF0DE5B-8533-4F82-ACDB-3A8BB9B2D90A}" name="Column10181"/>
    <tableColumn id="10187" xr3:uid="{49DFD66F-B53E-467F-9F90-A8DFDD9FB242}" name="Column10182"/>
    <tableColumn id="10188" xr3:uid="{188ADA9A-C25E-4F39-A907-33CD221A0242}" name="Column10183"/>
    <tableColumn id="10189" xr3:uid="{C1C3106D-F601-42D4-A23B-FD32302055C3}" name="Column10184"/>
    <tableColumn id="10190" xr3:uid="{317FE261-E6A1-4CB0-97A2-554A0303FE2A}" name="Column10185"/>
    <tableColumn id="10191" xr3:uid="{FB21694C-B972-47A7-8316-1F30A93FD371}" name="Column10186"/>
    <tableColumn id="10192" xr3:uid="{EBC73F75-9AF1-45BD-A6AD-8C883FEC7DE0}" name="Column10187"/>
    <tableColumn id="10193" xr3:uid="{5E5AC9A6-68C9-4691-B400-2B29A3EBFB74}" name="Column10188"/>
    <tableColumn id="10194" xr3:uid="{C4AB37A2-07C6-491F-AD26-8458D6F231DF}" name="Column10189"/>
    <tableColumn id="10195" xr3:uid="{B87F8E96-382B-45A7-AD32-72A1EA4552B0}" name="Column10190"/>
    <tableColumn id="10196" xr3:uid="{034B026A-6F89-4517-8115-CC673F968718}" name="Column10191"/>
    <tableColumn id="10197" xr3:uid="{766413C2-0C4D-4CED-8AF2-D6A6C4E072DB}" name="Column10192"/>
    <tableColumn id="10198" xr3:uid="{5EC9EECC-396A-412E-A376-A1E4E8CC7CE8}" name="Column10193"/>
    <tableColumn id="10199" xr3:uid="{EB3D78D6-6F0B-4197-88FF-956E096DE5BE}" name="Column10194"/>
    <tableColumn id="10200" xr3:uid="{15CB4AAB-B818-4CE5-B71D-4D97661550FA}" name="Column10195"/>
    <tableColumn id="10201" xr3:uid="{147B277C-1D41-4347-AA4A-424527A98A67}" name="Column10196"/>
    <tableColumn id="10202" xr3:uid="{9FE92BD6-236F-480E-AF53-07248403ACBA}" name="Column10197"/>
    <tableColumn id="10203" xr3:uid="{A458CA13-F6FC-402F-B2DB-3D95B535A324}" name="Column10198"/>
    <tableColumn id="10204" xr3:uid="{AF48E1AA-F845-49DD-9871-46FF1B412D0B}" name="Column10199"/>
    <tableColumn id="10205" xr3:uid="{0C2A1A98-35F2-4FD1-87AC-9BD2BB7EE8E3}" name="Column10200"/>
    <tableColumn id="10206" xr3:uid="{E8CA3CE2-B948-45BE-831B-9BD43833F5A6}" name="Column10201"/>
    <tableColumn id="10207" xr3:uid="{74209346-F376-4E98-93C0-765E86FCB371}" name="Column10202"/>
    <tableColumn id="10208" xr3:uid="{AF433DAB-FBC7-4CCA-878A-FF9104B3900B}" name="Column10203"/>
    <tableColumn id="10209" xr3:uid="{6B1835EF-6079-4451-9A09-BAE59158EF77}" name="Column10204"/>
    <tableColumn id="10210" xr3:uid="{3EDA9586-D563-4E69-A281-22D3B780598D}" name="Column10205"/>
    <tableColumn id="10211" xr3:uid="{712D389D-5380-4F79-A1EE-7B42959FC2B5}" name="Column10206"/>
    <tableColumn id="10212" xr3:uid="{18292F23-4ADC-45F5-93DC-22D069B33CA4}" name="Column10207"/>
    <tableColumn id="10213" xr3:uid="{B4EF66A0-2049-4440-971E-2FEEB6C7F533}" name="Column10208"/>
    <tableColumn id="10214" xr3:uid="{EEA0945F-F67E-4146-A00E-3489066CC68B}" name="Column10209"/>
    <tableColumn id="10215" xr3:uid="{98C88937-9879-426F-A2DB-CCB43C4759E1}" name="Column10210"/>
    <tableColumn id="10216" xr3:uid="{C747A468-646D-4C0B-8246-0BB030481CC2}" name="Column10211"/>
    <tableColumn id="10217" xr3:uid="{951C4C1B-D4FB-42BD-BBAA-C141711144EA}" name="Column10212"/>
    <tableColumn id="10218" xr3:uid="{E14F1429-D854-4DA7-8D84-AC1DC0E1E248}" name="Column10213"/>
    <tableColumn id="10219" xr3:uid="{17608CEF-885E-445A-9BC8-DC4EA5307320}" name="Column10214"/>
    <tableColumn id="10220" xr3:uid="{103D0CC2-0785-496A-9EF9-FB30EB2619C1}" name="Column10215"/>
    <tableColumn id="10221" xr3:uid="{9FD9F6DE-F420-47D9-B56F-1386DFB9FEC0}" name="Column10216"/>
    <tableColumn id="10222" xr3:uid="{8718B7AB-77CB-43C2-A0AA-D7A714B04C67}" name="Column10217"/>
    <tableColumn id="10223" xr3:uid="{3FD0CB38-AF67-4376-AE07-ADF8D3A7B7DA}" name="Column10218"/>
    <tableColumn id="10224" xr3:uid="{127365E4-F6A4-4DC0-866F-30FDDE67E6CF}" name="Column10219"/>
    <tableColumn id="10225" xr3:uid="{667E78E4-4E29-40C9-A700-B5788C85FB82}" name="Column10220"/>
    <tableColumn id="10226" xr3:uid="{48176E15-94C0-4799-9540-19363211B4C0}" name="Column10221"/>
    <tableColumn id="10227" xr3:uid="{5872D338-C4A2-458B-9B90-4007AA2DCBED}" name="Column10222"/>
    <tableColumn id="10228" xr3:uid="{1B9AF623-BD76-427C-9180-9FF755958E2F}" name="Column10223"/>
    <tableColumn id="10229" xr3:uid="{2D2F065D-C797-4DA7-877F-D5EA6F180BCE}" name="Column10224"/>
    <tableColumn id="10230" xr3:uid="{A5250583-E665-4C75-AA8E-749B2A565C59}" name="Column10225"/>
    <tableColumn id="10231" xr3:uid="{1B2BCCBF-D626-49D0-B794-0B0BDFEF5542}" name="Column10226"/>
    <tableColumn id="10232" xr3:uid="{CEBA2F0B-166F-432B-A70A-59092463AE6C}" name="Column10227"/>
    <tableColumn id="10233" xr3:uid="{CF106F3D-47C9-4F0D-BF4E-00B7CA4FA8E6}" name="Column10228"/>
    <tableColumn id="10234" xr3:uid="{EACAE129-2BA9-4374-970E-E5C8CE411260}" name="Column10229"/>
    <tableColumn id="10235" xr3:uid="{0131BE7E-430E-4AEA-9974-6CA83B2F93F1}" name="Column10230"/>
    <tableColumn id="10236" xr3:uid="{BCF0C065-C0A1-4FA1-BCBC-4EA507253F7B}" name="Column10231"/>
    <tableColumn id="10237" xr3:uid="{E4D3563B-9547-4116-9C16-95490E53835D}" name="Column10232"/>
    <tableColumn id="10238" xr3:uid="{775F4AFA-A0D3-4DA1-98FF-FC452FE07F50}" name="Column10233"/>
    <tableColumn id="10239" xr3:uid="{0DC1295A-4FDD-4D86-9420-438FA5212D6D}" name="Column10234"/>
    <tableColumn id="10240" xr3:uid="{7CD69B81-FD84-4E23-928B-E0ED5704058F}" name="Column10235"/>
    <tableColumn id="10241" xr3:uid="{A01A8F34-8862-485D-BE02-546F25B995CC}" name="Column10236"/>
    <tableColumn id="10242" xr3:uid="{5A7605AD-BA79-4329-8A73-0AD90A7B2F7E}" name="Column10237"/>
    <tableColumn id="10243" xr3:uid="{7697C7E7-EE74-4707-A8B4-FCDBC0929275}" name="Column10238"/>
    <tableColumn id="10244" xr3:uid="{E076B05B-2032-47C1-BEC6-3D39DEB7E510}" name="Column10239"/>
    <tableColumn id="10245" xr3:uid="{E04C2544-17E6-4631-ABB7-96608321B14A}" name="Column10240"/>
    <tableColumn id="10246" xr3:uid="{B8397A44-3ABA-4379-832C-05C120B9DFF0}" name="Column10241"/>
    <tableColumn id="10247" xr3:uid="{B8AEFF66-71E4-44A5-9AA5-1DB1ACAD6A90}" name="Column10242"/>
    <tableColumn id="10248" xr3:uid="{CDF34C3C-7A83-416A-9FFE-5E4FC1A8956D}" name="Column10243"/>
    <tableColumn id="10249" xr3:uid="{09483913-19F9-4965-AE0C-047EB3EB863B}" name="Column10244"/>
    <tableColumn id="10250" xr3:uid="{C8D242BE-7658-4606-8361-7AE23F997844}" name="Column10245"/>
    <tableColumn id="10251" xr3:uid="{5ADC2590-C7A1-4DE0-A5CA-55571D4311E6}" name="Column10246"/>
    <tableColumn id="10252" xr3:uid="{20028F4D-2541-4CCD-90B0-DAE7AABC0DC4}" name="Column10247"/>
    <tableColumn id="10253" xr3:uid="{F6AEC644-D4E8-4F31-9FB8-CF325EA511AD}" name="Column10248"/>
    <tableColumn id="10254" xr3:uid="{FB87B2F6-10A2-4114-A9F1-642DA359C5AA}" name="Column10249"/>
    <tableColumn id="10255" xr3:uid="{033A6ECE-31D8-4185-A906-FBA36E17E1A2}" name="Column10250"/>
    <tableColumn id="10256" xr3:uid="{D74702D2-54F8-40BA-A8C8-2C2FA57EA0C2}" name="Column10251"/>
    <tableColumn id="10257" xr3:uid="{170EC293-FD61-4BE0-A74D-99521967296A}" name="Column10252"/>
    <tableColumn id="10258" xr3:uid="{67841CCD-0010-49C1-A35E-E8D32F1B59D0}" name="Column10253"/>
    <tableColumn id="10259" xr3:uid="{1DC0E8E7-216E-472B-AA3E-DB8C1F21F503}" name="Column10254"/>
    <tableColumn id="10260" xr3:uid="{47FBA623-FC35-407A-A041-FC063D4607AB}" name="Column10255"/>
    <tableColumn id="10261" xr3:uid="{B18E83F6-7A80-4F2B-B8F0-050100007601}" name="Column10256"/>
    <tableColumn id="10262" xr3:uid="{A1E5F49D-2434-427D-8E25-5924D8583BE2}" name="Column10257"/>
    <tableColumn id="10263" xr3:uid="{1912E9AA-FA35-44A8-B3F9-4597D9795AD1}" name="Column10258"/>
    <tableColumn id="10264" xr3:uid="{E4AAB290-2A51-4932-BE25-0F2B7CB84CED}" name="Column10259"/>
    <tableColumn id="10265" xr3:uid="{8D56222C-C30E-4724-997C-F51502FB4F30}" name="Column10260"/>
    <tableColumn id="10266" xr3:uid="{F9D3153E-2AC4-4862-BC32-F9B7BFC4B3A0}" name="Column10261"/>
    <tableColumn id="10267" xr3:uid="{721D3FB9-F106-4419-A8A1-8EE110256472}" name="Column10262"/>
    <tableColumn id="10268" xr3:uid="{B3F6179A-C8D3-42DC-A179-6ADC93D73322}" name="Column10263"/>
    <tableColumn id="10269" xr3:uid="{7F8411E0-8D79-4163-9037-E592C16E4CAB}" name="Column10264"/>
    <tableColumn id="10270" xr3:uid="{01A2B06C-5145-40B4-9FE6-4589A84339CC}" name="Column10265"/>
    <tableColumn id="10271" xr3:uid="{8B85E407-9471-4F4B-9097-BC9DB6A72743}" name="Column10266"/>
    <tableColumn id="10272" xr3:uid="{73EE2484-039B-47FB-B41F-388E522B3890}" name="Column10267"/>
    <tableColumn id="10273" xr3:uid="{93B25F1E-F128-4B89-8B3B-CDCCECB291E4}" name="Column10268"/>
    <tableColumn id="10274" xr3:uid="{B5B500C2-EF56-44E3-BFE4-5BBEF034885E}" name="Column10269"/>
    <tableColumn id="10275" xr3:uid="{921DD37D-A87C-4AAE-B47A-2A1FDB2C4CE9}" name="Column10270"/>
    <tableColumn id="10276" xr3:uid="{9941485A-551A-4C30-8230-2CBC6B4D424C}" name="Column10271"/>
    <tableColumn id="10277" xr3:uid="{7C12AC3B-2ACA-41D6-BC7D-77A9FF4C7B64}" name="Column10272"/>
    <tableColumn id="10278" xr3:uid="{D8DAE152-70EF-4143-895C-1CCB15B12346}" name="Column10273"/>
    <tableColumn id="10279" xr3:uid="{C579F422-B908-496A-980C-F607DA0A1356}" name="Column10274"/>
    <tableColumn id="10280" xr3:uid="{7DA2A21C-F546-417A-BCEB-391D8F1E4173}" name="Column10275"/>
    <tableColumn id="10281" xr3:uid="{8158C609-BB2B-4BFD-8E82-5EDA7F91E5F6}" name="Column10276"/>
    <tableColumn id="10282" xr3:uid="{2E73492E-4B33-4A16-ADA7-DC58109D108E}" name="Column10277"/>
    <tableColumn id="10283" xr3:uid="{E9471FB7-563D-4936-962A-3F501F6E9ADE}" name="Column10278"/>
    <tableColumn id="10284" xr3:uid="{1EF849ED-DF72-4DEA-B417-9E75F195F4BE}" name="Column10279"/>
    <tableColumn id="10285" xr3:uid="{82714918-A44F-4DA0-9EC4-611018E5EC23}" name="Column10280"/>
    <tableColumn id="10286" xr3:uid="{5B1C78B1-12B5-4F9E-92C0-CBAAC337A01A}" name="Column10281"/>
    <tableColumn id="10287" xr3:uid="{8C93857B-012C-48ED-8E59-55C9000BD7E9}" name="Column10282"/>
    <tableColumn id="10288" xr3:uid="{6F647B1D-EBDF-4085-8265-C6DCFB5B3411}" name="Column10283"/>
    <tableColumn id="10289" xr3:uid="{6A14C54B-C67E-40EB-A60D-3CB2A2D22935}" name="Column10284"/>
    <tableColumn id="10290" xr3:uid="{FCCC5B22-6CF5-423C-92F0-96F1C72366F5}" name="Column10285"/>
    <tableColumn id="10291" xr3:uid="{A41C6C74-8FF3-46F7-99D0-FE028BCF70EA}" name="Column10286"/>
    <tableColumn id="10292" xr3:uid="{A2B5A7DC-CE96-4309-9845-317C44C5484C}" name="Column10287"/>
    <tableColumn id="10293" xr3:uid="{05EA1C0F-8AFA-4A71-B72B-AF6C95B28B56}" name="Column10288"/>
    <tableColumn id="10294" xr3:uid="{9EC4C1A6-EB06-49E7-ACA9-75CA64854528}" name="Column10289"/>
    <tableColumn id="10295" xr3:uid="{160EE2A4-4FAB-4642-A1F8-7270050D7BC3}" name="Column10290"/>
    <tableColumn id="10296" xr3:uid="{5AB89510-A4D0-424C-B7D0-AA80151FF646}" name="Column10291"/>
    <tableColumn id="10297" xr3:uid="{58AA7E36-8901-4476-8E69-16A86689491E}" name="Column10292"/>
    <tableColumn id="10298" xr3:uid="{6A1D0A38-7F55-4800-9FD8-048803138070}" name="Column10293"/>
    <tableColumn id="10299" xr3:uid="{F6967506-1A8C-4CBA-81E2-0E05082D78C2}" name="Column10294"/>
    <tableColumn id="10300" xr3:uid="{3D2D2B3C-98C2-4F79-B76C-1EBF83A8E165}" name="Column10295"/>
    <tableColumn id="10301" xr3:uid="{3ECB9167-0E9F-4D15-8739-55C521A38D79}" name="Column10296"/>
    <tableColumn id="10302" xr3:uid="{FD7643FF-46D5-485E-8FE9-F1DCE9BCAAEB}" name="Column10297"/>
    <tableColumn id="10303" xr3:uid="{C8368650-25D0-470F-9AE0-A74EF420AB3D}" name="Column10298"/>
    <tableColumn id="10304" xr3:uid="{B5D4C854-8C3F-4334-B3D6-0255C3624AAC}" name="Column10299"/>
    <tableColumn id="10305" xr3:uid="{77269B10-03C1-4870-ACCC-226D8CA45B7E}" name="Column10300"/>
    <tableColumn id="10306" xr3:uid="{1CD9A0E0-2DD9-4EFE-8DA8-0713FD6C71EE}" name="Column10301"/>
    <tableColumn id="10307" xr3:uid="{788CF475-8677-4E0D-85B9-786D1670BF99}" name="Column10302"/>
    <tableColumn id="10308" xr3:uid="{1DB99E5B-2CBC-46BA-99F3-DEEB54215D86}" name="Column10303"/>
    <tableColumn id="10309" xr3:uid="{9FB890E9-68FA-4131-AA45-5EA9A6FF94DF}" name="Column10304"/>
    <tableColumn id="10310" xr3:uid="{F0DDC101-B374-4F85-94BA-391DEA07375C}" name="Column10305"/>
    <tableColumn id="10311" xr3:uid="{E9070177-10C6-493B-8F6F-56E6CD7FF2F9}" name="Column10306"/>
    <tableColumn id="10312" xr3:uid="{48F905C1-89CF-4D2C-A005-5290DCD31A52}" name="Column10307"/>
    <tableColumn id="10313" xr3:uid="{CC588779-6C5C-4BBE-987F-4065A4C7104D}" name="Column10308"/>
    <tableColumn id="10314" xr3:uid="{7BE90BA9-F215-42D1-9DE5-B461DC679680}" name="Column10309"/>
    <tableColumn id="10315" xr3:uid="{F949448A-D7DE-4EE0-990C-07C6F903BB00}" name="Column10310"/>
    <tableColumn id="10316" xr3:uid="{55D9F504-A416-4D63-8771-EF67177473C8}" name="Column10311"/>
    <tableColumn id="10317" xr3:uid="{539751DE-310F-4043-8A50-F68AB5D8CAA3}" name="Column10312"/>
    <tableColumn id="10318" xr3:uid="{D02BC1A4-439D-477D-BCA7-F8653C30DD71}" name="Column10313"/>
    <tableColumn id="10319" xr3:uid="{C7774700-BAD3-44C2-9737-A563D06E672C}" name="Column10314"/>
    <tableColumn id="10320" xr3:uid="{50C11F45-5D0B-40C0-908C-E432EA678046}" name="Column10315"/>
    <tableColumn id="10321" xr3:uid="{7FD91736-A060-4FA4-ABAA-1AE5436B18D7}" name="Column10316"/>
    <tableColumn id="10322" xr3:uid="{5055CB96-E6CD-4108-B193-81D8F477C37B}" name="Column10317"/>
    <tableColumn id="10323" xr3:uid="{A281C782-D3BB-408E-8B93-6B89230A5DCD}" name="Column10318"/>
    <tableColumn id="10324" xr3:uid="{E9213055-E057-476A-9B4A-F777A44B8A59}" name="Column10319"/>
    <tableColumn id="10325" xr3:uid="{C67BE958-122B-448E-92B3-7CD532779D2E}" name="Column10320"/>
    <tableColumn id="10326" xr3:uid="{B0377D1A-096E-4AED-BCC7-F540E667BAC4}" name="Column10321"/>
    <tableColumn id="10327" xr3:uid="{61E9AECC-C1E4-4C52-B6FB-13D23474B54A}" name="Column10322"/>
    <tableColumn id="10328" xr3:uid="{05C1C18F-DAE5-430B-9D4F-4F49971C3731}" name="Column10323"/>
    <tableColumn id="10329" xr3:uid="{6BB393F7-45CF-45EA-A3FF-CB3B09696118}" name="Column10324"/>
    <tableColumn id="10330" xr3:uid="{A6473DF2-8A15-45A8-B324-0EC9C94CFBF1}" name="Column10325"/>
    <tableColumn id="10331" xr3:uid="{759C1C4B-CDE3-48A7-B3BE-3A6AED831674}" name="Column10326"/>
    <tableColumn id="10332" xr3:uid="{61130D35-D9C8-480C-8261-3124C0F3AC18}" name="Column10327"/>
    <tableColumn id="10333" xr3:uid="{C9B6B4AA-4F26-44C0-B17C-1BEDD78401AF}" name="Column10328"/>
    <tableColumn id="10334" xr3:uid="{CE3FC96E-739D-4C04-AA77-A6FB683B8860}" name="Column10329"/>
    <tableColumn id="10335" xr3:uid="{B9D72849-7951-4BC7-BDBB-544E2813CFCA}" name="Column10330"/>
    <tableColumn id="10336" xr3:uid="{E599163C-034A-4A58-ADF7-2A72BC7FC732}" name="Column10331"/>
    <tableColumn id="10337" xr3:uid="{5EB1CC8F-928A-47D0-87A3-110FEF51DE5A}" name="Column10332"/>
    <tableColumn id="10338" xr3:uid="{2BCC4A1F-31A2-4F20-B41F-7223571E2180}" name="Column10333"/>
    <tableColumn id="10339" xr3:uid="{10F6C7E8-DC21-4152-8B60-1FED7F864B0F}" name="Column10334"/>
    <tableColumn id="10340" xr3:uid="{E3DD531C-3635-4AC3-9CB6-120258ECD092}" name="Column10335"/>
    <tableColumn id="10341" xr3:uid="{BC1DE207-65DF-417A-9360-79D702CB48E0}" name="Column10336"/>
    <tableColumn id="10342" xr3:uid="{9318E856-706E-4AB3-A9C9-7B21D0CF056D}" name="Column10337"/>
    <tableColumn id="10343" xr3:uid="{EE26914F-9DDC-4F4A-94FC-DA6576E3DD40}" name="Column10338"/>
    <tableColumn id="10344" xr3:uid="{4D74789D-07F8-4F60-9311-52FF14509B22}" name="Column10339"/>
    <tableColumn id="10345" xr3:uid="{50290986-1854-4970-8C50-79227DFCC877}" name="Column10340"/>
    <tableColumn id="10346" xr3:uid="{979C03E5-4CF4-4B66-89A5-8A87236CD4C6}" name="Column10341"/>
    <tableColumn id="10347" xr3:uid="{B065F357-F37D-4A73-A7C0-EA592D1C2FE1}" name="Column10342"/>
    <tableColumn id="10348" xr3:uid="{4EE3D309-79C4-49EE-935B-F9BE011BAE70}" name="Column10343"/>
    <tableColumn id="10349" xr3:uid="{47786B65-F3CB-41BF-8C66-83C84C5227CC}" name="Column10344"/>
    <tableColumn id="10350" xr3:uid="{28B3D11F-20E6-475B-9939-59972E8CB1CB}" name="Column10345"/>
    <tableColumn id="10351" xr3:uid="{8176DFCE-44E5-4800-B8F3-C90E23938B52}" name="Column10346"/>
    <tableColumn id="10352" xr3:uid="{166B97C2-EED7-4CF8-A6DE-04F775357E23}" name="Column10347"/>
    <tableColumn id="10353" xr3:uid="{6294D238-8009-4397-9973-84DB176D990D}" name="Column10348"/>
    <tableColumn id="10354" xr3:uid="{805DB29D-4B25-479E-A427-727872890150}" name="Column10349"/>
    <tableColumn id="10355" xr3:uid="{EFFCBE02-997B-470D-BCCC-FB2DD3716836}" name="Column10350"/>
    <tableColumn id="10356" xr3:uid="{E0032D5F-E53B-4047-BA55-BEDAF8449280}" name="Column10351"/>
    <tableColumn id="10357" xr3:uid="{F5F531F4-A7BE-4221-B15C-4D202426B2D1}" name="Column10352"/>
    <tableColumn id="10358" xr3:uid="{066D943D-CD24-4FF8-B76B-FD91DD92F4D3}" name="Column10353"/>
    <tableColumn id="10359" xr3:uid="{4D6ECBA8-B3F3-45E3-AAA0-9E3C96F7CF46}" name="Column10354"/>
    <tableColumn id="10360" xr3:uid="{2FCD70C9-5A0D-49DA-ABD5-FCA2FE96541B}" name="Column10355"/>
    <tableColumn id="10361" xr3:uid="{BE4CBD6C-B751-43ED-8F78-1599F871E109}" name="Column10356"/>
    <tableColumn id="10362" xr3:uid="{585C6342-3525-42BF-B310-F4108541A8BC}" name="Column10357"/>
    <tableColumn id="10363" xr3:uid="{8202D198-3698-4639-A444-53D848726315}" name="Column10358"/>
    <tableColumn id="10364" xr3:uid="{F19D2C76-A445-4E59-BA8F-4E0FA25D9684}" name="Column10359"/>
    <tableColumn id="10365" xr3:uid="{19A601DD-3A67-4ED5-A519-945A5D1E2051}" name="Column10360"/>
    <tableColumn id="10366" xr3:uid="{4333F68F-EA50-40BF-959D-BE774D196326}" name="Column10361"/>
    <tableColumn id="10367" xr3:uid="{A9395A2B-B8C4-4627-9A01-18CB9EF2CDD9}" name="Column10362"/>
    <tableColumn id="10368" xr3:uid="{B36B499B-C966-4F73-8BDF-41DDF51FCEE7}" name="Column10363"/>
    <tableColumn id="10369" xr3:uid="{FF8ED753-0112-48B1-B1A1-CA16A9891DE9}" name="Column10364"/>
    <tableColumn id="10370" xr3:uid="{F715E329-D579-4973-B245-8095CBCCFEE4}" name="Column10365"/>
    <tableColumn id="10371" xr3:uid="{F64B9D52-D28E-44FB-864F-3A712EC5E069}" name="Column10366"/>
    <tableColumn id="10372" xr3:uid="{22F543B2-81EB-419F-9430-CBE9892291B0}" name="Column10367"/>
    <tableColumn id="10373" xr3:uid="{382202C4-25C2-4584-9609-9A0CB0A12FE1}" name="Column10368"/>
    <tableColumn id="10374" xr3:uid="{3CA53407-F46B-4349-883F-A42416BFC031}" name="Column10369"/>
    <tableColumn id="10375" xr3:uid="{E4F476E1-BE7F-40F0-8DB0-E8B330A3B650}" name="Column10370"/>
    <tableColumn id="10376" xr3:uid="{425FDE67-91E9-463D-BA9A-78431DEEE421}" name="Column10371"/>
    <tableColumn id="10377" xr3:uid="{0210EA43-7840-483A-9FC7-6B21A3E788FD}" name="Column10372"/>
    <tableColumn id="10378" xr3:uid="{6FE3B7F1-4305-48E9-B91A-CA79711C6957}" name="Column10373"/>
    <tableColumn id="10379" xr3:uid="{0410DCB8-425B-4675-A2CA-3E1813E7EAC7}" name="Column10374"/>
    <tableColumn id="10380" xr3:uid="{056D5752-5281-410E-B269-CF89D9E1D479}" name="Column10375"/>
    <tableColumn id="10381" xr3:uid="{195BC3DB-7775-4394-A947-D5E14CFE9849}" name="Column10376"/>
    <tableColumn id="10382" xr3:uid="{1842EE51-E9B2-4FB8-88B2-46C9D4BF3680}" name="Column10377"/>
    <tableColumn id="10383" xr3:uid="{B22CC87C-13C8-474F-84FD-A80A5505EE5A}" name="Column10378"/>
    <tableColumn id="10384" xr3:uid="{E6CEA56A-335A-4F8F-B337-AB77C9DD61C2}" name="Column10379"/>
    <tableColumn id="10385" xr3:uid="{E621F15B-F4FF-4974-AAC1-323AA76EFF12}" name="Column10380"/>
    <tableColumn id="10386" xr3:uid="{D63B8D62-1596-4161-9AD2-F2D7088D59EF}" name="Column10381"/>
    <tableColumn id="10387" xr3:uid="{162720C3-59A9-4780-AA73-AE9553B987A5}" name="Column10382"/>
    <tableColumn id="10388" xr3:uid="{6C9B9282-76ED-41E6-A088-3AC55C6D339C}" name="Column10383"/>
    <tableColumn id="10389" xr3:uid="{098BEDD0-1895-4565-86E2-32AEC25FB3C0}" name="Column10384"/>
    <tableColumn id="10390" xr3:uid="{5863A051-D724-42CE-BA4E-D42068085E24}" name="Column10385"/>
    <tableColumn id="10391" xr3:uid="{9D591396-6F56-4630-A436-42AD439BF27C}" name="Column10386"/>
    <tableColumn id="10392" xr3:uid="{083FA693-04DB-4B72-8F2C-75F3A246CD0A}" name="Column10387"/>
    <tableColumn id="10393" xr3:uid="{C882B8E1-1992-4A53-98C3-20937178B048}" name="Column10388"/>
    <tableColumn id="10394" xr3:uid="{CF435608-B58A-405F-87CA-A0F7EA5F0230}" name="Column10389"/>
    <tableColumn id="10395" xr3:uid="{560D67C5-C4F9-41B8-AABD-709CDC8AE0C0}" name="Column10390"/>
    <tableColumn id="10396" xr3:uid="{995B316E-BDAB-4285-99BF-1C6B97C870BA}" name="Column10391"/>
    <tableColumn id="10397" xr3:uid="{E286EE5D-8315-4EB5-974A-78C6C2DE31DC}" name="Column10392"/>
    <tableColumn id="10398" xr3:uid="{34382C33-430B-45C7-8B4B-64001C103280}" name="Column10393"/>
    <tableColumn id="10399" xr3:uid="{A84563BE-9AB0-4F7E-99EA-0DDC22F9EF60}" name="Column10394"/>
    <tableColumn id="10400" xr3:uid="{3B794460-B83F-4263-A143-18156D8440AA}" name="Column10395"/>
    <tableColumn id="10401" xr3:uid="{CB74D83C-D2D3-4039-8205-777E8C95CDB6}" name="Column10396"/>
    <tableColumn id="10402" xr3:uid="{2D829300-245A-421A-8F3C-19FE090B7EC0}" name="Column10397"/>
    <tableColumn id="10403" xr3:uid="{616A3164-D275-47AE-A9A3-6F165B69EC99}" name="Column10398"/>
    <tableColumn id="10404" xr3:uid="{051E0458-D4C4-46B2-B9C0-2725E3098D54}" name="Column10399"/>
    <tableColumn id="10405" xr3:uid="{D0FF41FB-4BDF-4C32-BCFB-9F900369F448}" name="Column10400"/>
    <tableColumn id="10406" xr3:uid="{46383DB2-CF92-44DB-8594-9A1BCC48804E}" name="Column10401"/>
    <tableColumn id="10407" xr3:uid="{6E40AE22-3476-4443-88E8-35794D1A6F41}" name="Column10402"/>
    <tableColumn id="10408" xr3:uid="{0702ED78-7EE2-4B09-BE9C-08DF0E387832}" name="Column10403"/>
    <tableColumn id="10409" xr3:uid="{57E0790C-6E6F-4248-BD83-B8A66BE47D2C}" name="Column10404"/>
    <tableColumn id="10410" xr3:uid="{D9CA346D-54D6-4837-ADCA-F0431ADA6E34}" name="Column10405"/>
    <tableColumn id="10411" xr3:uid="{53A15796-8CB3-414E-BE50-826B1D4F7644}" name="Column10406"/>
    <tableColumn id="10412" xr3:uid="{35350CFB-CC84-4142-AB18-484D446E64AB}" name="Column10407"/>
    <tableColumn id="10413" xr3:uid="{0CAC1B67-B5C9-45E7-BB91-CA4C20C9E580}" name="Column10408"/>
    <tableColumn id="10414" xr3:uid="{14EF1453-F214-4011-AE3B-E90BD128A85A}" name="Column10409"/>
    <tableColumn id="10415" xr3:uid="{31B45FF0-90A4-4D6D-9180-BF834B7BFC71}" name="Column10410"/>
    <tableColumn id="10416" xr3:uid="{D304E5A8-852E-4A4D-BE03-A7502F85C2AD}" name="Column10411"/>
    <tableColumn id="10417" xr3:uid="{6DC8AB93-61CD-4EA4-A9EC-221BFB127CC4}" name="Column10412"/>
    <tableColumn id="10418" xr3:uid="{60A54026-7CE8-4377-B7AD-D76A0141A98D}" name="Column10413"/>
    <tableColumn id="10419" xr3:uid="{9EAD45E1-9D8C-4D5C-A57E-D4E76859A637}" name="Column10414"/>
    <tableColumn id="10420" xr3:uid="{54837C15-9322-4C14-8335-F0554B953BC6}" name="Column10415"/>
    <tableColumn id="10421" xr3:uid="{74AD9D64-E694-46DD-AB02-89418E45C82B}" name="Column10416"/>
    <tableColumn id="10422" xr3:uid="{1F6D2E67-51EC-420D-85AC-C97A23775951}" name="Column10417"/>
    <tableColumn id="10423" xr3:uid="{0D4A4A76-83F9-4987-940D-7A9DA181E703}" name="Column10418"/>
    <tableColumn id="10424" xr3:uid="{4A69B44E-5712-4025-8FD4-A03C24D0E7A3}" name="Column10419"/>
    <tableColumn id="10425" xr3:uid="{B850C59A-F854-454B-9062-FD2DE90FF7DA}" name="Column10420"/>
    <tableColumn id="10426" xr3:uid="{4CDCEE70-4D64-4021-8579-B5E62773BC40}" name="Column10421"/>
    <tableColumn id="10427" xr3:uid="{A5D76C8F-E6B7-4389-A7CB-25B09AD39142}" name="Column10422"/>
    <tableColumn id="10428" xr3:uid="{4497BA65-D6DB-49D2-BD25-950F82ECE221}" name="Column10423"/>
    <tableColumn id="10429" xr3:uid="{E711E87F-1D17-4860-AF58-E5D692F132FD}" name="Column10424"/>
    <tableColumn id="10430" xr3:uid="{20930BB0-A9F1-44A1-BD8B-6BDD25625016}" name="Column10425"/>
    <tableColumn id="10431" xr3:uid="{1BB2B4C0-7B37-4C24-B18B-1AD52716C6DF}" name="Column10426"/>
    <tableColumn id="10432" xr3:uid="{23BB3AEE-4983-41C2-B517-AF84E24F07E8}" name="Column10427"/>
    <tableColumn id="10433" xr3:uid="{DD13FA65-2584-427B-B21F-3F2BB63B55DF}" name="Column10428"/>
    <tableColumn id="10434" xr3:uid="{2D3CC8E3-39EB-418B-9153-E57FD77232E5}" name="Column10429"/>
    <tableColumn id="10435" xr3:uid="{BFB1F4ED-A351-42B5-8615-F0CE5E8DA0E6}" name="Column10430"/>
    <tableColumn id="10436" xr3:uid="{15FB9488-A574-48E8-B155-269928746DFF}" name="Column10431"/>
    <tableColumn id="10437" xr3:uid="{F7C38953-8218-4009-9326-B5D2AC94EF73}" name="Column10432"/>
    <tableColumn id="10438" xr3:uid="{2EE89968-C3BA-4E91-90B3-CB2E91249C58}" name="Column10433"/>
    <tableColumn id="10439" xr3:uid="{F5C3EFF0-D2BF-4737-9A1C-8C957533CC24}" name="Column10434"/>
    <tableColumn id="10440" xr3:uid="{F23E1D76-2BB4-47AA-A25E-1F4C1114EA41}" name="Column10435"/>
    <tableColumn id="10441" xr3:uid="{8B4F9150-53FA-4449-B87B-504A49B90CD8}" name="Column10436"/>
    <tableColumn id="10442" xr3:uid="{A4C9DE42-946C-4850-8D91-E0426D5B5DD1}" name="Column10437"/>
    <tableColumn id="10443" xr3:uid="{CD51C6E2-8CFB-4B42-BFC3-8E732F331143}" name="Column10438"/>
    <tableColumn id="10444" xr3:uid="{2FDD9B73-B211-4057-846C-5DD702CE80BF}" name="Column10439"/>
    <tableColumn id="10445" xr3:uid="{9C257DCC-E930-415D-A0C4-88535E4066BE}" name="Column10440"/>
    <tableColumn id="10446" xr3:uid="{8508CAB6-F2A0-4AF0-BBBC-E8A65779BF34}" name="Column10441"/>
    <tableColumn id="10447" xr3:uid="{0E9B7DE4-A6DF-443E-A323-2392B11C353F}" name="Column10442"/>
    <tableColumn id="10448" xr3:uid="{EEF29FC0-1D15-4E65-83C4-B933CE3AEBD6}" name="Column10443"/>
    <tableColumn id="10449" xr3:uid="{1F0FA806-07FF-478C-9346-946CFE157D6D}" name="Column10444"/>
    <tableColumn id="10450" xr3:uid="{53753D76-1CDA-472E-B4CB-50C92A55A2B2}" name="Column10445"/>
    <tableColumn id="10451" xr3:uid="{ACF27C11-ED24-4773-93DB-C0ACBC7219F1}" name="Column10446"/>
    <tableColumn id="10452" xr3:uid="{D539A6F6-5499-4CB9-9A09-1C2CD705E810}" name="Column10447"/>
    <tableColumn id="10453" xr3:uid="{8C02FCB2-987B-4D2A-99DC-D15D7B16B789}" name="Column10448"/>
    <tableColumn id="10454" xr3:uid="{A0B7A104-7E08-47F4-8FFA-9FADC69DA0A3}" name="Column10449"/>
    <tableColumn id="10455" xr3:uid="{E47E5239-F4A8-4AAA-BF4D-A1EA304C63C4}" name="Column10450"/>
    <tableColumn id="10456" xr3:uid="{91EDF1A7-6987-4999-94F2-FA3CB76480E8}" name="Column10451"/>
    <tableColumn id="10457" xr3:uid="{F99039E0-9F46-499B-8BC7-66E6A656AFD7}" name="Column10452"/>
    <tableColumn id="10458" xr3:uid="{4947C205-CDDB-4C03-8BEF-651E37515984}" name="Column10453"/>
    <tableColumn id="10459" xr3:uid="{35099E3E-301D-4DB4-9550-8470A60411EE}" name="Column10454"/>
    <tableColumn id="10460" xr3:uid="{8C8D0350-2AEE-45C1-ABDD-3DBC117367B5}" name="Column10455"/>
    <tableColumn id="10461" xr3:uid="{47601B8A-CB95-4FB3-B8E1-9916F8738AC8}" name="Column10456"/>
    <tableColumn id="10462" xr3:uid="{52254D63-E7EF-4055-B5F9-30C604DA1207}" name="Column10457"/>
    <tableColumn id="10463" xr3:uid="{1F802AF5-3531-448D-BB89-972000C67EE3}" name="Column10458"/>
    <tableColumn id="10464" xr3:uid="{5271195C-CC4D-4321-B53D-7E4DC95018F1}" name="Column10459"/>
    <tableColumn id="10465" xr3:uid="{90D09F49-1AB5-4A36-9E96-CB10B7131CDC}" name="Column10460"/>
    <tableColumn id="10466" xr3:uid="{0BF77B01-C7C3-4B77-8ACC-A0B3FB5EE955}" name="Column10461"/>
    <tableColumn id="10467" xr3:uid="{EDECAA5E-A659-4506-8A26-1FC0022486D2}" name="Column10462"/>
    <tableColumn id="10468" xr3:uid="{00604B87-6AA4-4479-BC45-39EDDE2CF5F1}" name="Column10463"/>
    <tableColumn id="10469" xr3:uid="{13CBF24C-35C3-4AA9-B67E-F36F8A4EAC03}" name="Column10464"/>
    <tableColumn id="10470" xr3:uid="{95F75DFD-9784-4E58-94A8-748E58684B93}" name="Column10465"/>
    <tableColumn id="10471" xr3:uid="{6D259786-B924-4404-81BF-14D76B9E3577}" name="Column10466"/>
    <tableColumn id="10472" xr3:uid="{4EBF007A-95D9-44A1-8C44-EC419B89A503}" name="Column10467"/>
    <tableColumn id="10473" xr3:uid="{5799BCA3-3EE9-4789-8409-B7C316FC6775}" name="Column10468"/>
    <tableColumn id="10474" xr3:uid="{8C662562-18F4-4542-9310-31A893CB527A}" name="Column10469"/>
    <tableColumn id="10475" xr3:uid="{AAE75C01-F529-4214-B514-25E9EC8CCE7F}" name="Column10470"/>
    <tableColumn id="10476" xr3:uid="{A7F82D5D-4E6D-4D5A-9862-66DBE10397DC}" name="Column10471"/>
    <tableColumn id="10477" xr3:uid="{2B31CEED-2141-4915-9DA4-DCB368160C64}" name="Column10472"/>
    <tableColumn id="10478" xr3:uid="{0D74F256-395E-42D9-9A0F-6433253B7BFA}" name="Column10473"/>
    <tableColumn id="10479" xr3:uid="{3968010D-E7EB-4D82-9CBB-433D77092221}" name="Column10474"/>
    <tableColumn id="10480" xr3:uid="{3E6E63B0-40AD-4166-AC4F-526E689EECCF}" name="Column10475"/>
    <tableColumn id="10481" xr3:uid="{B5073F3C-D1D1-438C-BA58-D4C251B226DA}" name="Column10476"/>
    <tableColumn id="10482" xr3:uid="{7BC1846D-9FE3-48E5-ADD3-BDFA7FDC9E48}" name="Column10477"/>
    <tableColumn id="10483" xr3:uid="{D5D6806D-E4D0-4048-9F6F-D7C2085F78B2}" name="Column10478"/>
    <tableColumn id="10484" xr3:uid="{432DB1FB-08A7-4E07-8EEC-520349E9BFD2}" name="Column10479"/>
    <tableColumn id="10485" xr3:uid="{459F248D-D40E-4D0E-A58A-32DB3C3F1DF4}" name="Column10480"/>
    <tableColumn id="10486" xr3:uid="{50103059-F201-4110-B9B0-6961F89DFD16}" name="Column10481"/>
    <tableColumn id="10487" xr3:uid="{82A8EEA8-B945-40F2-A001-16C1B336F4D4}" name="Column10482"/>
    <tableColumn id="10488" xr3:uid="{9837E2DA-5822-426A-8807-DD6E75DC2155}" name="Column10483"/>
    <tableColumn id="10489" xr3:uid="{11543682-AA88-4CE1-AE35-15785B108A54}" name="Column10484"/>
    <tableColumn id="10490" xr3:uid="{B45FFC31-9B9F-4E3D-ADBC-D0A30837D030}" name="Column10485"/>
    <tableColumn id="10491" xr3:uid="{3B213361-4DD1-4975-9518-F7FD181E3743}" name="Column10486"/>
    <tableColumn id="10492" xr3:uid="{10C11998-6A65-4CA7-B847-C67702485819}" name="Column10487"/>
    <tableColumn id="10493" xr3:uid="{439B47C8-C2AB-4D49-9081-1ECACADFC7AB}" name="Column10488"/>
    <tableColumn id="10494" xr3:uid="{2EA60F9C-8318-4DED-92EA-67E42A3B8911}" name="Column10489"/>
    <tableColumn id="10495" xr3:uid="{4B632EC3-A91F-4A0D-ACE9-6A19141B85FC}" name="Column10490"/>
    <tableColumn id="10496" xr3:uid="{B17AEB9A-E3EE-405C-8564-7692435F13C1}" name="Column10491"/>
    <tableColumn id="10497" xr3:uid="{0B4450EF-DE29-4179-8F81-6CCCCE070F33}" name="Column10492"/>
    <tableColumn id="10498" xr3:uid="{EA0CA507-40B3-4BEA-9567-33C67A9E7948}" name="Column10493"/>
    <tableColumn id="10499" xr3:uid="{724A8DB6-F490-4415-8624-3DEA5B2DA9DE}" name="Column10494"/>
    <tableColumn id="10500" xr3:uid="{F74C7960-9300-44E9-AEAB-932198955DAF}" name="Column10495"/>
    <tableColumn id="10501" xr3:uid="{063F4ACB-D91E-4DA1-A18B-E3BFF293C8FC}" name="Column10496"/>
    <tableColumn id="10502" xr3:uid="{272CC22C-6842-49A2-A562-30B5464EED47}" name="Column10497"/>
    <tableColumn id="10503" xr3:uid="{6DA087ED-69C1-4275-B0C0-3D87FB39DAF7}" name="Column10498"/>
    <tableColumn id="10504" xr3:uid="{71AA00BD-B9BA-49FA-9DC9-7C2333D74C2C}" name="Column10499"/>
    <tableColumn id="10505" xr3:uid="{FCF49BDB-F803-4D85-BC6A-45D811BE66E0}" name="Column10500"/>
    <tableColumn id="10506" xr3:uid="{64631014-BC46-41E4-B20C-19A3C0151ECE}" name="Column10501"/>
    <tableColumn id="10507" xr3:uid="{2F872F6A-F6D9-46D5-AD13-63B85445C78B}" name="Column10502"/>
    <tableColumn id="10508" xr3:uid="{532C49FC-0FC1-4A5D-A694-E869EEB83AC3}" name="Column10503"/>
    <tableColumn id="10509" xr3:uid="{904FF2E4-867E-4F5E-88FF-5A4537BF504D}" name="Column10504"/>
    <tableColumn id="10510" xr3:uid="{4161CBB4-AD06-4673-B0EB-974730CB8278}" name="Column10505"/>
    <tableColumn id="10511" xr3:uid="{B5C1F7A6-3B32-47AA-9682-B50AEAFFE633}" name="Column10506"/>
    <tableColumn id="10512" xr3:uid="{C6AD7296-84AF-445B-A5EA-4DF085C13B30}" name="Column10507"/>
    <tableColumn id="10513" xr3:uid="{CA70906C-63EE-4A7C-B775-5A71F507DC88}" name="Column10508"/>
    <tableColumn id="10514" xr3:uid="{8C6C4678-664B-4C8B-990E-DD9D3AD559C4}" name="Column10509"/>
    <tableColumn id="10515" xr3:uid="{C2BCD923-7B8F-4405-9D5A-1CA9A3913633}" name="Column10510"/>
    <tableColumn id="10516" xr3:uid="{6206F98F-09DE-4AC2-AFD7-8034C6C51AA2}" name="Column10511"/>
    <tableColumn id="10517" xr3:uid="{2DA0B8CD-4302-4D25-86A4-1A66975E4BE4}" name="Column10512"/>
    <tableColumn id="10518" xr3:uid="{FA00952D-BF4F-4260-A28A-ACD0ABB9CAC1}" name="Column10513"/>
    <tableColumn id="10519" xr3:uid="{35D1BDAE-6FA0-48DB-9B1A-6071BFF28C45}" name="Column10514"/>
    <tableColumn id="10520" xr3:uid="{47282729-82F8-4897-9619-4D0473B5891A}" name="Column10515"/>
    <tableColumn id="10521" xr3:uid="{D238D1D9-1610-46A8-8CDD-48AEE30377EB}" name="Column10516"/>
    <tableColumn id="10522" xr3:uid="{4BE61BE3-E741-4E50-92D2-A686A6571991}" name="Column10517"/>
    <tableColumn id="10523" xr3:uid="{F938132A-2D37-450D-8406-675059ADC398}" name="Column10518"/>
    <tableColumn id="10524" xr3:uid="{0C73D45A-7BCC-429F-939B-A32776213BBA}" name="Column10519"/>
    <tableColumn id="10525" xr3:uid="{071A3FBF-E7C1-418C-8544-1916819DE7DE}" name="Column10520"/>
    <tableColumn id="10526" xr3:uid="{9A095E19-0F21-43A5-BCDC-9FC168C49A17}" name="Column10521"/>
    <tableColumn id="10527" xr3:uid="{6098487C-9773-42DC-A9EF-1A1210360017}" name="Column10522"/>
    <tableColumn id="10528" xr3:uid="{F75762AF-49B8-4312-B95F-A41168D555C1}" name="Column10523"/>
    <tableColumn id="10529" xr3:uid="{9632AF6B-18E7-4AF8-9377-B43D322DFB2A}" name="Column10524"/>
    <tableColumn id="10530" xr3:uid="{A9DCCC3C-5175-461E-88B4-E67E01D7D44D}" name="Column10525"/>
    <tableColumn id="10531" xr3:uid="{CCA53C49-150E-472E-8518-3643189C4AFF}" name="Column10526"/>
    <tableColumn id="10532" xr3:uid="{DDCAA51E-DF82-47C0-9CCB-AB5B4F3950E6}" name="Column10527"/>
    <tableColumn id="10533" xr3:uid="{F390F437-9D13-45D0-94CC-16710A7E44E4}" name="Column10528"/>
    <tableColumn id="10534" xr3:uid="{309A3BD6-8AE1-48E0-9F9F-A7EDFC8B9CEA}" name="Column10529"/>
    <tableColumn id="10535" xr3:uid="{6385523C-92E7-4011-91E7-C04B3D3E151B}" name="Column10530"/>
    <tableColumn id="10536" xr3:uid="{BE3C306B-C976-40A5-825F-8B5ED06041CE}" name="Column10531"/>
    <tableColumn id="10537" xr3:uid="{5033EFE9-3396-402A-9C25-FEACBC493739}" name="Column10532"/>
    <tableColumn id="10538" xr3:uid="{BC524000-54EA-4E77-84B7-8FEBC99B127D}" name="Column10533"/>
    <tableColumn id="10539" xr3:uid="{C2B9B8B1-1F8B-4780-A4CD-ACC87E5F4F0F}" name="Column10534"/>
    <tableColumn id="10540" xr3:uid="{9CFE9C2D-6DA7-4D74-BB2A-FA383F64438D}" name="Column10535"/>
    <tableColumn id="10541" xr3:uid="{D852D8F4-EABD-4AC9-9438-3E437A92DDB1}" name="Column10536"/>
    <tableColumn id="10542" xr3:uid="{783F664A-31B3-469E-84D9-352301C0B61E}" name="Column10537"/>
    <tableColumn id="10543" xr3:uid="{2E8941E1-0544-44C5-85DA-46A792F59C78}" name="Column10538"/>
    <tableColumn id="10544" xr3:uid="{12857BFF-A72C-4148-ABF3-485B95C96594}" name="Column10539"/>
    <tableColumn id="10545" xr3:uid="{1299E181-63BA-4975-ACD2-3A37971D3779}" name="Column10540"/>
    <tableColumn id="10546" xr3:uid="{9A60301F-CCD1-46AD-855A-8DD486B9C2FD}" name="Column10541"/>
    <tableColumn id="10547" xr3:uid="{BA6C33AF-56A6-401C-8F0F-1ACCC493848E}" name="Column10542"/>
    <tableColumn id="10548" xr3:uid="{A4F785F6-3848-4360-8E55-7817EA650C7B}" name="Column10543"/>
    <tableColumn id="10549" xr3:uid="{FEB7AF23-E16C-4B7C-ABBA-17E40131BC5B}" name="Column10544"/>
    <tableColumn id="10550" xr3:uid="{99409FF9-95DB-46D4-A2DE-2B51ACF1240A}" name="Column10545"/>
    <tableColumn id="10551" xr3:uid="{5CBBC502-4940-4A43-A936-CCBA278C8253}" name="Column10546"/>
    <tableColumn id="10552" xr3:uid="{6D540C8C-2B40-4A86-B5E4-A2C6EBCDB5B4}" name="Column10547"/>
    <tableColumn id="10553" xr3:uid="{88C7EB84-8465-4375-BE04-6BE70F7D84B0}" name="Column10548"/>
    <tableColumn id="10554" xr3:uid="{CF7F545A-9D0F-4CB4-A4A3-0AA128D43DF0}" name="Column10549"/>
    <tableColumn id="10555" xr3:uid="{339C8D6D-C3FF-4C52-8499-7BFA49474A3E}" name="Column10550"/>
    <tableColumn id="10556" xr3:uid="{21ECCA0B-B1A5-462E-8486-E92B44C9A3CF}" name="Column10551"/>
    <tableColumn id="10557" xr3:uid="{318AF7CA-85C0-4A82-9349-AD09CCE8C249}" name="Column10552"/>
    <tableColumn id="10558" xr3:uid="{33E91866-248D-4BE6-8EDF-AA3B0A8BC150}" name="Column10553"/>
    <tableColumn id="10559" xr3:uid="{C132366A-6560-439F-A484-A70B5A020C2C}" name="Column10554"/>
    <tableColumn id="10560" xr3:uid="{52575B14-FFE5-4179-A234-7453E0627474}" name="Column10555"/>
    <tableColumn id="10561" xr3:uid="{8C608E42-52CE-40BF-9EBB-91DE8AF75E67}" name="Column10556"/>
    <tableColumn id="10562" xr3:uid="{4BDB443E-CBD6-4341-B12B-BB1EC2C02DE4}" name="Column10557"/>
    <tableColumn id="10563" xr3:uid="{FE8380A6-F8B2-4F45-AF05-DD02AF22C9F9}" name="Column10558"/>
    <tableColumn id="10564" xr3:uid="{F18E487E-A80C-4955-BA5F-64E823642222}" name="Column10559"/>
    <tableColumn id="10565" xr3:uid="{791AEA4F-65A4-4096-A432-80493CE463ED}" name="Column10560"/>
    <tableColumn id="10566" xr3:uid="{C459C647-F43A-4280-AFF7-5CA0C14FF6F7}" name="Column10561"/>
    <tableColumn id="10567" xr3:uid="{F550C6C5-8B21-4282-85F7-CE6242207B68}" name="Column10562"/>
    <tableColumn id="10568" xr3:uid="{AE719578-AE40-4141-8EEE-F19F3B1043B7}" name="Column10563"/>
    <tableColumn id="10569" xr3:uid="{BF164E58-97A1-4802-986A-922232D6B80B}" name="Column10564"/>
    <tableColumn id="10570" xr3:uid="{9F1097DB-BB11-4890-9108-FD937AA80DCE}" name="Column10565"/>
    <tableColumn id="10571" xr3:uid="{E76E3D66-765C-4B94-8CBE-8F41C7135FBD}" name="Column10566"/>
    <tableColumn id="10572" xr3:uid="{4E5CB122-ACD5-4FEF-88FC-07209D6F7F62}" name="Column10567"/>
    <tableColumn id="10573" xr3:uid="{4CA9C31A-5916-45AC-90D8-B5EEF2808B47}" name="Column10568"/>
    <tableColumn id="10574" xr3:uid="{D0389F86-8862-4207-96FF-D18A8A5FD125}" name="Column10569"/>
    <tableColumn id="10575" xr3:uid="{71E6C6AC-8992-46C4-80D4-E6663EE0D767}" name="Column10570"/>
    <tableColumn id="10576" xr3:uid="{E731EECB-7700-44F2-8E98-E1876328B9F2}" name="Column10571"/>
    <tableColumn id="10577" xr3:uid="{86FB24B8-BD1B-4D09-852B-79A40A9AD4B0}" name="Column10572"/>
    <tableColumn id="10578" xr3:uid="{7E34F370-B0EE-4AE1-B296-051206626C92}" name="Column10573"/>
    <tableColumn id="10579" xr3:uid="{D815824A-FF2F-4FDD-B585-9C2D9CBDF7CB}" name="Column10574"/>
    <tableColumn id="10580" xr3:uid="{1C2D4B1D-B2AB-41A1-A730-CC5E8F4132D8}" name="Column10575"/>
    <tableColumn id="10581" xr3:uid="{CEE29661-A8D7-4D31-955A-92486BBC6EBC}" name="Column10576"/>
    <tableColumn id="10582" xr3:uid="{1DAAB369-883D-438B-9400-A5495DFE76D1}" name="Column10577"/>
    <tableColumn id="10583" xr3:uid="{D13CA368-A13E-44FD-AE49-5A12D6D69E36}" name="Column10578"/>
    <tableColumn id="10584" xr3:uid="{455493C6-4416-487D-B463-744DAAF780EF}" name="Column10579"/>
    <tableColumn id="10585" xr3:uid="{45F4AF4E-00E7-43DE-A140-B42D31DE21EA}" name="Column10580"/>
    <tableColumn id="10586" xr3:uid="{8B482EE1-4947-4290-A662-D783DFE685AF}" name="Column10581"/>
    <tableColumn id="10587" xr3:uid="{F06D8B2D-FFE6-43F8-85D9-8341553BC288}" name="Column10582"/>
    <tableColumn id="10588" xr3:uid="{E96CF515-5305-424E-B245-14BE5DC7D209}" name="Column10583"/>
    <tableColumn id="10589" xr3:uid="{9515D629-04D2-4742-A933-3C67B50F1D0F}" name="Column10584"/>
    <tableColumn id="10590" xr3:uid="{3EC33F8E-FA9B-4C50-8AB8-F0AEAE3132BB}" name="Column10585"/>
    <tableColumn id="10591" xr3:uid="{8A71D433-9265-463B-80D3-E79074FF4F95}" name="Column10586"/>
    <tableColumn id="10592" xr3:uid="{BAF149F8-12D2-4711-A197-250BAE495521}" name="Column10587"/>
    <tableColumn id="10593" xr3:uid="{5720D357-E3B9-4FA2-B7BA-7F1665FF1F5A}" name="Column10588"/>
    <tableColumn id="10594" xr3:uid="{BC505EE1-C1AE-4D36-940D-A26FDB83A370}" name="Column10589"/>
    <tableColumn id="10595" xr3:uid="{34153DD5-8276-43E3-9ACD-83A17E649B13}" name="Column10590"/>
    <tableColumn id="10596" xr3:uid="{ACABE87C-A811-45FE-BA7B-55BBBEE421D5}" name="Column10591"/>
    <tableColumn id="10597" xr3:uid="{14B69FE3-401A-478A-860A-4B5AABB90F11}" name="Column10592"/>
    <tableColumn id="10598" xr3:uid="{8EC0856C-0F4B-453F-984C-850495D7D244}" name="Column10593"/>
    <tableColumn id="10599" xr3:uid="{79D0165C-FB57-48D4-B2FD-863C20D8D87A}" name="Column10594"/>
    <tableColumn id="10600" xr3:uid="{5E8885AF-B4F4-4605-9D60-2109941F457C}" name="Column10595"/>
    <tableColumn id="10601" xr3:uid="{A6034A88-6E86-4E55-807C-9AECB8DBF244}" name="Column10596"/>
    <tableColumn id="10602" xr3:uid="{BAED4530-BB01-4902-8E0D-D10857033515}" name="Column10597"/>
    <tableColumn id="10603" xr3:uid="{1E2EEAC3-51A1-41A3-8F38-57DADD0D3B06}" name="Column10598"/>
    <tableColumn id="10604" xr3:uid="{D0496086-D970-490E-92D7-AE8B34E7D92C}" name="Column10599"/>
    <tableColumn id="10605" xr3:uid="{0E6998FD-D0ED-45E8-BCB9-787B74BE836B}" name="Column10600"/>
    <tableColumn id="10606" xr3:uid="{BA3CD238-9834-471D-A55F-6ED67EE9CA7D}" name="Column10601"/>
    <tableColumn id="10607" xr3:uid="{51259ABD-1050-4B4E-B105-B54F37E6F404}" name="Column10602"/>
    <tableColumn id="10608" xr3:uid="{52004D4B-7D9C-4349-9DF4-BD45C0B0990E}" name="Column10603"/>
    <tableColumn id="10609" xr3:uid="{71E78B6F-2029-45CF-9AA6-64E0C03BCA74}" name="Column10604"/>
    <tableColumn id="10610" xr3:uid="{587816BB-BE4F-4F0B-A20D-3D7A34499F38}" name="Column10605"/>
    <tableColumn id="10611" xr3:uid="{BB309840-D99B-46E8-A33C-B8838373292D}" name="Column10606"/>
    <tableColumn id="10612" xr3:uid="{C0A8A25C-63E5-453D-BA8E-5FD4810358E4}" name="Column10607"/>
    <tableColumn id="10613" xr3:uid="{BE029B03-2150-4030-AA70-A903A177AFDD}" name="Column10608"/>
    <tableColumn id="10614" xr3:uid="{014E0244-5131-4540-957C-20C4306045E0}" name="Column10609"/>
    <tableColumn id="10615" xr3:uid="{8FEC6407-DD89-41A1-A90D-1B64D0F57952}" name="Column10610"/>
    <tableColumn id="10616" xr3:uid="{C3995391-3D1F-4ABF-896F-1A390E21738D}" name="Column10611"/>
    <tableColumn id="10617" xr3:uid="{02AF2632-AEAD-49C4-926C-DE15A100AD86}" name="Column10612"/>
    <tableColumn id="10618" xr3:uid="{CB64E67B-65F2-491F-B65C-5DF2955918C0}" name="Column10613"/>
    <tableColumn id="10619" xr3:uid="{8C2A5E52-D99D-4124-A3FB-84DAAE667C54}" name="Column10614"/>
    <tableColumn id="10620" xr3:uid="{970EB3C1-5BC8-4B4F-BFB9-40A586C685DB}" name="Column10615"/>
    <tableColumn id="10621" xr3:uid="{D4788728-4253-46F1-9974-2BF0F606EBF3}" name="Column10616"/>
    <tableColumn id="10622" xr3:uid="{9BBAD389-282E-4569-9117-D483814D8651}" name="Column10617"/>
    <tableColumn id="10623" xr3:uid="{48B800B3-94D1-4BAD-B615-360692149CD2}" name="Column10618"/>
    <tableColumn id="10624" xr3:uid="{DD25A410-FA4A-48E5-8753-1CC08C82D27E}" name="Column10619"/>
    <tableColumn id="10625" xr3:uid="{8C8CB534-4C2A-4900-860A-B8DDBAE68ED5}" name="Column10620"/>
    <tableColumn id="10626" xr3:uid="{A9A03602-88D5-4419-A705-B3F548CC968F}" name="Column10621"/>
    <tableColumn id="10627" xr3:uid="{087335DC-2C39-4E5D-940E-E7D7E7AC4117}" name="Column10622"/>
    <tableColumn id="10628" xr3:uid="{2F5E80C8-CACA-4DD9-AECB-E12F01AE12D8}" name="Column10623"/>
    <tableColumn id="10629" xr3:uid="{2404EAD1-F0ED-4430-95E2-DA807472C9C1}" name="Column10624"/>
    <tableColumn id="10630" xr3:uid="{96D97B1C-7A5E-4CD8-8CC8-3BC82CA418C0}" name="Column10625"/>
    <tableColumn id="10631" xr3:uid="{7F3F5F28-84FC-4A20-92FB-E555A92D9B75}" name="Column10626"/>
    <tableColumn id="10632" xr3:uid="{E20337F9-720B-4A58-8D0F-C0DBF938E385}" name="Column10627"/>
    <tableColumn id="10633" xr3:uid="{A0551DEB-274C-46A9-9170-23417DBE3434}" name="Column10628"/>
    <tableColumn id="10634" xr3:uid="{574E9536-C8F8-4A5E-BBE1-F9FD034024CD}" name="Column10629"/>
    <tableColumn id="10635" xr3:uid="{FA28600F-61C5-4441-A626-9C511CC108B8}" name="Column10630"/>
    <tableColumn id="10636" xr3:uid="{1AD54890-487F-4959-B7F3-3035C4DB2F5D}" name="Column10631"/>
    <tableColumn id="10637" xr3:uid="{2F362094-7B4C-43DE-9CFC-1A88BBD87FBC}" name="Column10632"/>
    <tableColumn id="10638" xr3:uid="{C6F1AFD2-2382-454D-9B4E-B24F52BD6E22}" name="Column10633"/>
    <tableColumn id="10639" xr3:uid="{192909FC-9A91-4136-89CB-219A81B0B9A5}" name="Column10634"/>
    <tableColumn id="10640" xr3:uid="{82706BAA-DE2D-4265-BEE7-5644A4AAA4D3}" name="Column10635"/>
    <tableColumn id="10641" xr3:uid="{1A1BD188-444F-425D-88C1-4C7129F535A2}" name="Column10636"/>
    <tableColumn id="10642" xr3:uid="{BC474493-C9DD-42F6-A0D9-195B4D933792}" name="Column10637"/>
    <tableColumn id="10643" xr3:uid="{7A26123F-D816-4BCD-B943-4388C3CBF3DF}" name="Column10638"/>
    <tableColumn id="10644" xr3:uid="{10F97A0A-B6E5-4E0D-8003-CCF41A3AC1D7}" name="Column10639"/>
    <tableColumn id="10645" xr3:uid="{BCFBBD28-CA89-4EFA-A67F-FA57AC2D66B4}" name="Column10640"/>
    <tableColumn id="10646" xr3:uid="{46BED687-C405-4185-84D3-FCDC2A755DF2}" name="Column10641"/>
    <tableColumn id="10647" xr3:uid="{3617F843-7816-47C9-B88A-3C5E700F3811}" name="Column10642"/>
    <tableColumn id="10648" xr3:uid="{CDE395D3-7A2F-4BE8-A9B0-85A808CD7D62}" name="Column10643"/>
    <tableColumn id="10649" xr3:uid="{C0BCF022-642C-4780-ADE1-CB648E9CED6E}" name="Column10644"/>
    <tableColumn id="10650" xr3:uid="{CAFFF1F8-DB16-41E5-BFB2-E0005E6FA887}" name="Column10645"/>
    <tableColumn id="10651" xr3:uid="{08542380-8BAC-414D-9790-DC8C4CA8C2A9}" name="Column10646"/>
    <tableColumn id="10652" xr3:uid="{787AA49B-79C9-48A5-A322-4226BC1CB4E9}" name="Column10647"/>
    <tableColumn id="10653" xr3:uid="{A3D4DD85-DDA1-45BD-8E2B-8E07D24982CE}" name="Column10648"/>
    <tableColumn id="10654" xr3:uid="{54E4CD53-92BF-48A2-8602-0D2ACAB09667}" name="Column10649"/>
    <tableColumn id="10655" xr3:uid="{9046106B-4BBD-4408-96E9-B61B1F9F8A47}" name="Column10650"/>
    <tableColumn id="10656" xr3:uid="{EEABAA74-F07D-4B81-BFBA-80EF2FB869A5}" name="Column10651"/>
    <tableColumn id="10657" xr3:uid="{EEA20D2A-104C-4C41-939E-EC86158136B9}" name="Column10652"/>
    <tableColumn id="10658" xr3:uid="{2809E2D2-4FB0-4B25-85FC-809F3959BE7E}" name="Column10653"/>
    <tableColumn id="10659" xr3:uid="{417008BA-D9BC-47E5-9BA1-28E15AC911E6}" name="Column10654"/>
    <tableColumn id="10660" xr3:uid="{21007155-0E34-4DEA-B5A5-8639B4D89F47}" name="Column10655"/>
    <tableColumn id="10661" xr3:uid="{D4082777-B7BA-4644-A98F-667C3899251A}" name="Column10656"/>
    <tableColumn id="10662" xr3:uid="{79837E2D-1D16-4ACF-9A90-DE7BFFF84164}" name="Column10657"/>
    <tableColumn id="10663" xr3:uid="{97280920-620F-4BFA-A6EE-7427E21F0A32}" name="Column10658"/>
    <tableColumn id="10664" xr3:uid="{7BEFBAAB-7078-4710-ADC8-C14A07295865}" name="Column10659"/>
    <tableColumn id="10665" xr3:uid="{19BA46F6-414E-4A73-9710-B3D54900F267}" name="Column10660"/>
    <tableColumn id="10666" xr3:uid="{BC73611E-F2D4-4640-B99A-5E5E5F275DE2}" name="Column10661"/>
    <tableColumn id="10667" xr3:uid="{478C0C0D-7FCE-41C6-B6C4-FED07409007A}" name="Column10662"/>
    <tableColumn id="10668" xr3:uid="{A356BDC1-DA34-46EC-B639-13FCAAADFA9E}" name="Column10663"/>
    <tableColumn id="10669" xr3:uid="{A00D2A70-B4BB-4885-BA97-62EDC8E6D709}" name="Column10664"/>
    <tableColumn id="10670" xr3:uid="{59E4686C-8BA3-42FB-B956-0AAD851131EE}" name="Column10665"/>
    <tableColumn id="10671" xr3:uid="{5ADCB4ED-BE8D-4A33-A944-6B525AE2C37E}" name="Column10666"/>
    <tableColumn id="10672" xr3:uid="{FF886789-4377-4ADD-A0C3-ADE4C7F951AB}" name="Column10667"/>
    <tableColumn id="10673" xr3:uid="{A728C46D-58F7-49FC-93CF-A7B16C1260F6}" name="Column10668"/>
    <tableColumn id="10674" xr3:uid="{C455586D-D634-4496-A380-3A56CF976A74}" name="Column10669"/>
    <tableColumn id="10675" xr3:uid="{A6AD2DE9-957D-488D-9139-652CC7D4BA6E}" name="Column10670"/>
    <tableColumn id="10676" xr3:uid="{B9949030-7C86-47CD-93E7-9C83D832D4E2}" name="Column10671"/>
    <tableColumn id="10677" xr3:uid="{B6AFE1C3-8426-4EEE-850D-4A5C4758FD9E}" name="Column10672"/>
    <tableColumn id="10678" xr3:uid="{0044A7B9-CF2F-45E3-8645-2BCBC604E414}" name="Column10673"/>
    <tableColumn id="10679" xr3:uid="{3A42FEC8-997F-432E-B091-8DD42751A0E1}" name="Column10674"/>
    <tableColumn id="10680" xr3:uid="{599AACE4-AB6E-484D-B355-49553279F97B}" name="Column10675"/>
    <tableColumn id="10681" xr3:uid="{259A79D4-B454-4D66-A1CA-8EE536CF5D81}" name="Column10676"/>
    <tableColumn id="10682" xr3:uid="{78E3B45D-09D2-4FF3-B969-07AB7DA3C165}" name="Column10677"/>
    <tableColumn id="10683" xr3:uid="{CC9CEC20-720D-46E8-BE00-8441E888D6F1}" name="Column10678"/>
    <tableColumn id="10684" xr3:uid="{A64DB336-764E-4880-BE56-22A1CC733F44}" name="Column10679"/>
    <tableColumn id="10685" xr3:uid="{6B3A18B1-9305-41AC-BF22-674CF505603A}" name="Column10680"/>
    <tableColumn id="10686" xr3:uid="{D96F35C2-D78A-46A8-8B7A-E14D5CB5271F}" name="Column10681"/>
    <tableColumn id="10687" xr3:uid="{A6FAA522-533D-46A5-BD56-AB7D2C35B41A}" name="Column10682"/>
    <tableColumn id="10688" xr3:uid="{10658AD2-CB7E-4FAC-9ECA-D2FE2AEAC73F}" name="Column10683"/>
    <tableColumn id="10689" xr3:uid="{6D9F6271-836F-4D7C-8450-14111DF3EC0E}" name="Column10684"/>
    <tableColumn id="10690" xr3:uid="{92AABBBB-64DF-477E-8B12-F986B73E042D}" name="Column10685"/>
    <tableColumn id="10691" xr3:uid="{84C4541B-3AAC-4C96-BE88-E28F628A9C40}" name="Column10686"/>
    <tableColumn id="10692" xr3:uid="{8B5F7313-71A9-40CD-A518-82C1E5047998}" name="Column10687"/>
    <tableColumn id="10693" xr3:uid="{2208425C-FC1B-43E9-94DA-67568AF4DB29}" name="Column10688"/>
    <tableColumn id="10694" xr3:uid="{D81DB60C-E2F7-4965-A928-463881D85C9E}" name="Column10689"/>
    <tableColumn id="10695" xr3:uid="{8C6C1D9D-D26F-4714-A8C9-B753903D2AF4}" name="Column10690"/>
    <tableColumn id="10696" xr3:uid="{15E18B95-4394-46CD-A06E-3F6F9BA32F32}" name="Column10691"/>
    <tableColumn id="10697" xr3:uid="{087EDFEE-0EB2-490F-A3AE-0989EC844638}" name="Column10692"/>
    <tableColumn id="10698" xr3:uid="{716EBEC5-5E15-4460-8B32-C5EF30284151}" name="Column10693"/>
    <tableColumn id="10699" xr3:uid="{75A7C01F-E4FF-44DC-9EB0-C0B7AC91E3DB}" name="Column10694"/>
    <tableColumn id="10700" xr3:uid="{1ABF0A4B-61FC-4E01-8AF2-FFEC50834053}" name="Column10695"/>
    <tableColumn id="10701" xr3:uid="{A98D7CEA-0702-4FF1-9B6D-237FFF9FFF99}" name="Column10696"/>
    <tableColumn id="10702" xr3:uid="{12887517-BC43-4498-AF29-4DCE942321E9}" name="Column10697"/>
    <tableColumn id="10703" xr3:uid="{38A0D931-8EF2-458D-B9CC-5D00BCD9693F}" name="Column10698"/>
    <tableColumn id="10704" xr3:uid="{C5E409E4-E472-4345-9929-85A569D32880}" name="Column10699"/>
    <tableColumn id="10705" xr3:uid="{3DE4DE77-6A69-4F4C-829B-3477FA09A660}" name="Column10700"/>
    <tableColumn id="10706" xr3:uid="{C5A22375-7CE8-4096-BCF8-63CD365D5E80}" name="Column10701"/>
    <tableColumn id="10707" xr3:uid="{0B27595F-7CF9-47DB-BA1C-E7130035215F}" name="Column10702"/>
    <tableColumn id="10708" xr3:uid="{B9D5A3AF-CB41-479D-A660-4DCE994D7E0A}" name="Column10703"/>
    <tableColumn id="10709" xr3:uid="{964604CB-651A-48A0-B2DB-0D13BA3BE4C3}" name="Column10704"/>
    <tableColumn id="10710" xr3:uid="{EE4EA0C7-2698-4084-8882-4F7A99218278}" name="Column10705"/>
    <tableColumn id="10711" xr3:uid="{FFFC7581-9F00-4A8C-B9B0-D4EBA9770254}" name="Column10706"/>
    <tableColumn id="10712" xr3:uid="{AFE96494-2B67-4D3B-B3B2-F14703D906D1}" name="Column10707"/>
    <tableColumn id="10713" xr3:uid="{880400A3-8EAF-4607-946F-F7E0C2DAC19A}" name="Column10708"/>
    <tableColumn id="10714" xr3:uid="{A9A0F06F-C6B9-44C1-84E7-58F3A601EF6B}" name="Column10709"/>
    <tableColumn id="10715" xr3:uid="{993E94E8-9829-433A-9AB6-5D26DF31E572}" name="Column10710"/>
    <tableColumn id="10716" xr3:uid="{1142AC1A-2703-454F-B17A-5A470F893822}" name="Column10711"/>
    <tableColumn id="10717" xr3:uid="{E34FFC69-C5F6-4CEB-B29E-479021AF9D5B}" name="Column10712"/>
    <tableColumn id="10718" xr3:uid="{F665D355-8AA3-4722-B0E8-65BE0FEFC628}" name="Column10713"/>
    <tableColumn id="10719" xr3:uid="{B9B5A2DC-5BCD-4946-B000-4E1F74DAA819}" name="Column10714"/>
    <tableColumn id="10720" xr3:uid="{4806843C-020F-4081-8C29-1D3244A43EC3}" name="Column10715"/>
    <tableColumn id="10721" xr3:uid="{4A01F17F-469A-4654-A375-FBC0AEA95034}" name="Column10716"/>
    <tableColumn id="10722" xr3:uid="{F812934B-4968-4319-858B-933EDB8DD057}" name="Column10717"/>
    <tableColumn id="10723" xr3:uid="{D672F03A-E579-490E-80FA-EA3BF86CB3FF}" name="Column10718"/>
    <tableColumn id="10724" xr3:uid="{9A38959C-807D-483A-940B-C376D30466D8}" name="Column10719"/>
    <tableColumn id="10725" xr3:uid="{169BE3E6-A67B-402F-9614-3553D9603585}" name="Column10720"/>
    <tableColumn id="10726" xr3:uid="{02A22F6F-E3A4-4293-90B9-57878B4CA6DC}" name="Column10721"/>
    <tableColumn id="10727" xr3:uid="{422796A0-4CED-46A7-BA97-761182A243DB}" name="Column10722"/>
    <tableColumn id="10728" xr3:uid="{5D82E404-87C9-4515-8A7A-F06BA8999DF1}" name="Column10723"/>
    <tableColumn id="10729" xr3:uid="{B8DFDD68-4972-4F71-A8F9-58EEE41044CF}" name="Column10724"/>
    <tableColumn id="10730" xr3:uid="{EC6818A0-2EC3-4898-A1B5-3483B2126521}" name="Column10725"/>
    <tableColumn id="10731" xr3:uid="{C8FE0C12-14E7-460F-825A-9436D7F2A788}" name="Column10726"/>
    <tableColumn id="10732" xr3:uid="{D57DE61A-FE40-4053-9CF0-4194FF2D5CBC}" name="Column10727"/>
    <tableColumn id="10733" xr3:uid="{B1B7109D-1043-4660-B108-0B8BBEA647BD}" name="Column10728"/>
    <tableColumn id="10734" xr3:uid="{9AA6AF02-C353-43FF-8686-1BD0874C3C96}" name="Column10729"/>
    <tableColumn id="10735" xr3:uid="{70708411-35AC-428B-BFD4-8059177E6DA9}" name="Column10730"/>
    <tableColumn id="10736" xr3:uid="{3C3B3032-C204-42C3-AE1C-6BDE6F4DCF26}" name="Column10731"/>
    <tableColumn id="10737" xr3:uid="{E068AF11-1ABF-44EC-B53F-88C564900A86}" name="Column10732"/>
    <tableColumn id="10738" xr3:uid="{6175F794-424B-4025-B786-F80819F8ACC2}" name="Column10733"/>
    <tableColumn id="10739" xr3:uid="{FC276C13-FF5A-467E-BA24-482AE69725B6}" name="Column10734"/>
    <tableColumn id="10740" xr3:uid="{4310B669-125D-4D1D-902B-75A5AC6C0588}" name="Column10735"/>
    <tableColumn id="10741" xr3:uid="{51666A29-FE79-4D95-90A2-C59CAA22CC52}" name="Column10736"/>
    <tableColumn id="10742" xr3:uid="{1A01CFF9-52DC-4560-AE10-4A0D1CBAD67E}" name="Column10737"/>
    <tableColumn id="10743" xr3:uid="{654D22E0-141B-40F0-BB46-186B4161A349}" name="Column10738"/>
    <tableColumn id="10744" xr3:uid="{C67A4484-5AAA-4946-A5A7-46EB73756DD4}" name="Column10739"/>
    <tableColumn id="10745" xr3:uid="{5D4C9918-E1AC-44F7-BC06-2D68F48B374F}" name="Column10740"/>
    <tableColumn id="10746" xr3:uid="{861CF09B-7B62-4AE7-98F7-EB23FB59B619}" name="Column10741"/>
    <tableColumn id="10747" xr3:uid="{3E9614E7-F2AE-4615-AC5E-63D9CDF4E182}" name="Column10742"/>
    <tableColumn id="10748" xr3:uid="{6821C629-393D-4116-BBE9-E0EBC92FA5EC}" name="Column10743"/>
    <tableColumn id="10749" xr3:uid="{C21F8C22-1CE6-4CB2-8B91-C1AD95312722}" name="Column10744"/>
    <tableColumn id="10750" xr3:uid="{A3BCA96A-8005-4684-90F5-CAA6C4544FCE}" name="Column10745"/>
    <tableColumn id="10751" xr3:uid="{C05C8C0D-8B50-48C9-AD1F-DA3563CD757E}" name="Column10746"/>
    <tableColumn id="10752" xr3:uid="{C6DE6752-95C1-4635-9CBE-BD933B37E99D}" name="Column10747"/>
    <tableColumn id="10753" xr3:uid="{1691D6C4-24DD-4F4C-8532-E4EA68A66DB5}" name="Column10748"/>
    <tableColumn id="10754" xr3:uid="{4AAAEDAB-E743-46E6-8D2E-E73B1BD8F372}" name="Column10749"/>
    <tableColumn id="10755" xr3:uid="{5F65B499-83B8-40F7-B547-C458B92E490B}" name="Column10750"/>
    <tableColumn id="10756" xr3:uid="{409DDE25-FF83-48B7-804A-95EA708CFAB9}" name="Column10751"/>
    <tableColumn id="10757" xr3:uid="{F7EA2FD0-A324-4DC6-932E-1F13A609F8B6}" name="Column10752"/>
    <tableColumn id="10758" xr3:uid="{13598537-2B3B-4AD3-8770-C1EF157050A2}" name="Column10753"/>
    <tableColumn id="10759" xr3:uid="{EC3ACFC4-6232-444D-945B-C57C28B70D98}" name="Column10754"/>
    <tableColumn id="10760" xr3:uid="{B7BBBE4C-3563-4AEC-B33C-65BE82796F0D}" name="Column10755"/>
    <tableColumn id="10761" xr3:uid="{BFA8D23A-3787-49B9-80FE-8F3EB6140DAB}" name="Column10756"/>
    <tableColumn id="10762" xr3:uid="{913B1080-F722-40EF-94B1-CB5A1F5B9313}" name="Column10757"/>
    <tableColumn id="10763" xr3:uid="{3D4AA2D9-888E-414C-AC80-6F86E636DE1A}" name="Column10758"/>
    <tableColumn id="10764" xr3:uid="{591046F6-0BE7-4009-B867-83D9A3CCFBE5}" name="Column10759"/>
    <tableColumn id="10765" xr3:uid="{6B9AED18-F72E-42B8-8B1C-132AC4D44FEA}" name="Column10760"/>
    <tableColumn id="10766" xr3:uid="{4D020286-C828-40F0-A126-42783B391C8B}" name="Column10761"/>
    <tableColumn id="10767" xr3:uid="{868C0016-DE84-4320-863D-7EFA920E6BE0}" name="Column10762"/>
    <tableColumn id="10768" xr3:uid="{2C7D6496-A54F-40DC-87B3-F4DE08C0B179}" name="Column10763"/>
    <tableColumn id="10769" xr3:uid="{B556C82A-44BA-46E8-857B-935E323DC015}" name="Column10764"/>
    <tableColumn id="10770" xr3:uid="{D97E0868-B92B-4318-BEAB-C3F64E6C8057}" name="Column10765"/>
    <tableColumn id="10771" xr3:uid="{27D37250-0D00-4BD1-B2DF-75A97EE405EA}" name="Column10766"/>
    <tableColumn id="10772" xr3:uid="{5031B26E-D736-44E9-A0DE-F60C7CF000BB}" name="Column10767"/>
    <tableColumn id="10773" xr3:uid="{5B16F735-6588-4175-8A4E-E9F701239B96}" name="Column10768"/>
    <tableColumn id="10774" xr3:uid="{74E5FDAF-633F-45EC-8D9E-69C66E94415D}" name="Column10769"/>
    <tableColumn id="10775" xr3:uid="{80CB4EA0-F137-4D07-BE39-9BED8E51B1A5}" name="Column10770"/>
    <tableColumn id="10776" xr3:uid="{D629DF2E-1C18-49CF-9332-53CD934CE73E}" name="Column10771"/>
    <tableColumn id="10777" xr3:uid="{31B95123-7731-499C-87D5-A1EEE74DD98E}" name="Column10772"/>
    <tableColumn id="10778" xr3:uid="{223CBA80-672C-46DC-A9F6-F32E0508E1D6}" name="Column10773"/>
    <tableColumn id="10779" xr3:uid="{13FBD9BA-A841-4A60-9458-14B54A59E8AA}" name="Column10774"/>
    <tableColumn id="10780" xr3:uid="{82B484AD-26BB-478D-B957-41BE2B969DBE}" name="Column10775"/>
    <tableColumn id="10781" xr3:uid="{D17BCF50-F3DC-4CE4-BB4D-7D0937584025}" name="Column10776"/>
    <tableColumn id="10782" xr3:uid="{B21E3BD6-F141-44F0-9B43-D14401B6E25A}" name="Column10777"/>
    <tableColumn id="10783" xr3:uid="{2B3DE3BE-3481-4639-9D75-EB302CC1D625}" name="Column10778"/>
    <tableColumn id="10784" xr3:uid="{8C824965-59C8-43C4-9B3D-47800C9C7935}" name="Column10779"/>
    <tableColumn id="10785" xr3:uid="{ED41FA9D-A925-4DB0-9921-70E97AED781C}" name="Column10780"/>
    <tableColumn id="10786" xr3:uid="{3B807C76-4F66-4244-BB43-F294A00680D9}" name="Column10781"/>
    <tableColumn id="10787" xr3:uid="{C023E089-2773-44C9-8CF5-775B0DE62379}" name="Column10782"/>
    <tableColumn id="10788" xr3:uid="{F0082272-FB02-43D9-B00C-C6C5932E44A9}" name="Column10783"/>
    <tableColumn id="10789" xr3:uid="{F8C61B59-7960-455D-B3EC-CABA4CD4F827}" name="Column10784"/>
    <tableColumn id="10790" xr3:uid="{3B64EB3C-2ED7-47A3-9A5F-8077597D6D33}" name="Column10785"/>
    <tableColumn id="10791" xr3:uid="{926796E4-3A33-4C6C-8E09-3214A10709BD}" name="Column10786"/>
    <tableColumn id="10792" xr3:uid="{E84C56EF-D4A7-45E0-B3A9-625EBF184E63}" name="Column10787"/>
    <tableColumn id="10793" xr3:uid="{78ED7A6D-89AE-45CC-A875-2F5F8358D35A}" name="Column10788"/>
    <tableColumn id="10794" xr3:uid="{11B48DD5-B6D6-4D76-ADF8-8776D4AE5CE9}" name="Column10789"/>
    <tableColumn id="10795" xr3:uid="{9286B3F4-5A62-4534-92D9-51619D4070E3}" name="Column10790"/>
    <tableColumn id="10796" xr3:uid="{0491A715-0E4D-4A72-815A-1CEA0F374D62}" name="Column10791"/>
    <tableColumn id="10797" xr3:uid="{98AD069A-5ACD-4252-9158-C4C5BD00E4F5}" name="Column10792"/>
    <tableColumn id="10798" xr3:uid="{B9166DF2-512C-477A-842D-A2A91FB96973}" name="Column10793"/>
    <tableColumn id="10799" xr3:uid="{E68ECAEA-751D-4CAA-BD05-D66F279E8B5E}" name="Column10794"/>
    <tableColumn id="10800" xr3:uid="{F087ABD0-4794-410B-84C1-7FB9D7A94E4A}" name="Column10795"/>
    <tableColumn id="10801" xr3:uid="{42F50E19-DBF0-418C-B367-E67451FBF228}" name="Column10796"/>
    <tableColumn id="10802" xr3:uid="{CC9F111A-6C65-4917-BBD8-75DF16305FA6}" name="Column10797"/>
    <tableColumn id="10803" xr3:uid="{9D62E567-24EE-4B35-A1A5-D7FB8E76E87B}" name="Column10798"/>
    <tableColumn id="10804" xr3:uid="{5CBA988E-64B4-4CF6-820E-6BC05CB773CF}" name="Column10799"/>
    <tableColumn id="10805" xr3:uid="{CB040071-6C96-4125-9538-C4E3E80D432F}" name="Column10800"/>
    <tableColumn id="10806" xr3:uid="{D12D2FE9-0135-463C-8FA3-E494E4EDBCF9}" name="Column10801"/>
    <tableColumn id="10807" xr3:uid="{EA39A557-C72F-43CE-8D94-E9156BDE2893}" name="Column10802"/>
    <tableColumn id="10808" xr3:uid="{596EE887-9701-469A-A21A-E893B9E4D425}" name="Column10803"/>
    <tableColumn id="10809" xr3:uid="{38A639D6-7D1C-4440-B390-CA77514C4B10}" name="Column10804"/>
    <tableColumn id="10810" xr3:uid="{DACF6A6A-F7D7-4865-AB28-D1609E6F8528}" name="Column10805"/>
    <tableColumn id="10811" xr3:uid="{0071914A-8FA9-41BE-90DB-FE40D0854122}" name="Column10806"/>
    <tableColumn id="10812" xr3:uid="{2BB035F6-DBDA-45D7-82FC-27922AD75333}" name="Column10807"/>
    <tableColumn id="10813" xr3:uid="{6C935F67-5DA1-4E23-ACEF-B601823AB109}" name="Column10808"/>
    <tableColumn id="10814" xr3:uid="{81ECC22A-E22B-4993-B130-207328AB3BE3}" name="Column10809"/>
    <tableColumn id="10815" xr3:uid="{61FDA217-AE75-42AA-90B1-1CE09FE01BBA}" name="Column10810"/>
    <tableColumn id="10816" xr3:uid="{599EC4B2-914A-4900-BF00-50E51C190B26}" name="Column10811"/>
    <tableColumn id="10817" xr3:uid="{826B7DEF-3538-4595-A006-8CD1810C4557}" name="Column10812"/>
    <tableColumn id="10818" xr3:uid="{86C7CA0F-B95A-4CB7-8B63-2BE5E0812F7D}" name="Column10813"/>
    <tableColumn id="10819" xr3:uid="{7B882CC1-4F71-48BA-80AC-B158037564A5}" name="Column10814"/>
    <tableColumn id="10820" xr3:uid="{1BFE94E5-CAFD-45C9-A4DF-E6EB20BCEE1A}" name="Column10815"/>
    <tableColumn id="10821" xr3:uid="{C1335EE4-880D-4435-ACC7-38A7971D3B77}" name="Column10816"/>
    <tableColumn id="10822" xr3:uid="{DA927A03-8171-40FD-B16C-D23E940A1866}" name="Column10817"/>
    <tableColumn id="10823" xr3:uid="{66726989-5C69-4D70-9BD9-1414F822F3BB}" name="Column10818"/>
    <tableColumn id="10824" xr3:uid="{295BCCAB-0174-41B0-83FD-70CF5D8199FE}" name="Column10819"/>
    <tableColumn id="10825" xr3:uid="{FEEF81B8-B9A8-49C6-A49A-48AE5457E2B3}" name="Column10820"/>
    <tableColumn id="10826" xr3:uid="{5E3279BF-8004-4B8F-AFAE-E605CE04C880}" name="Column10821"/>
    <tableColumn id="10827" xr3:uid="{76977CA0-1F50-4AAB-ADED-9EC5948AD8AF}" name="Column10822"/>
    <tableColumn id="10828" xr3:uid="{0267BB88-1C8B-4437-8741-DF7269F8AE8A}" name="Column10823"/>
    <tableColumn id="10829" xr3:uid="{47B0B5EF-7637-4803-9471-87958204C22F}" name="Column10824"/>
    <tableColumn id="10830" xr3:uid="{7FA0C60E-FA74-4099-BD87-A697CE582F8A}" name="Column10825"/>
    <tableColumn id="10831" xr3:uid="{AB278F79-80EF-4666-8A3E-5D5D1A42FB3B}" name="Column10826"/>
    <tableColumn id="10832" xr3:uid="{DC629024-A274-41E4-BB39-C20C1365D5A3}" name="Column10827"/>
    <tableColumn id="10833" xr3:uid="{3666FA3E-1AEF-480D-84A7-357503164B78}" name="Column10828"/>
    <tableColumn id="10834" xr3:uid="{27540ACF-32DA-4996-AB37-66749BB96272}" name="Column10829"/>
    <tableColumn id="10835" xr3:uid="{3228253C-1C8A-43FF-B63C-DD59862F33A1}" name="Column10830"/>
    <tableColumn id="10836" xr3:uid="{AA1DE254-60D8-44DA-8884-0C56DA2869B0}" name="Column10831"/>
    <tableColumn id="10837" xr3:uid="{6DDCA446-C2EE-4933-808F-D6C9431C8408}" name="Column10832"/>
    <tableColumn id="10838" xr3:uid="{792CEF18-0177-42C3-ADB4-600A4068C861}" name="Column10833"/>
    <tableColumn id="10839" xr3:uid="{F261A5A3-0AD4-443F-940B-78900918D769}" name="Column10834"/>
    <tableColumn id="10840" xr3:uid="{81AAC0D1-7899-4420-ACED-44BCAFD19852}" name="Column10835"/>
    <tableColumn id="10841" xr3:uid="{1BDCC11A-8ACE-4499-A2E9-6BD5E8593311}" name="Column10836"/>
    <tableColumn id="10842" xr3:uid="{6B513CC5-6368-4861-8409-202EB80151A1}" name="Column10837"/>
    <tableColumn id="10843" xr3:uid="{20130569-E7F2-4A5D-B0F8-EA8967566A9E}" name="Column10838"/>
    <tableColumn id="10844" xr3:uid="{1C777CBC-30B1-4388-B2C1-4D8950B4B1B9}" name="Column10839"/>
    <tableColumn id="10845" xr3:uid="{E2BEC624-049F-4E42-A3CF-1DBAB59EBAAC}" name="Column10840"/>
    <tableColumn id="10846" xr3:uid="{60A49F93-B821-46E4-ADD0-C3C9C3184A26}" name="Column10841"/>
    <tableColumn id="10847" xr3:uid="{3A4B83BE-82F5-4D95-8AEA-8B05ACE38366}" name="Column10842"/>
    <tableColumn id="10848" xr3:uid="{3D78E5B8-19F4-47EA-9EB1-DA05E36E0F82}" name="Column10843"/>
    <tableColumn id="10849" xr3:uid="{5E6BF48A-4690-49B6-910C-D4C7D4696911}" name="Column10844"/>
    <tableColumn id="10850" xr3:uid="{0578C516-40E1-4189-A88B-384D5A9B2B9B}" name="Column10845"/>
    <tableColumn id="10851" xr3:uid="{BF6DDCC4-3F85-4411-82BA-3E19A5F99E9A}" name="Column10846"/>
    <tableColumn id="10852" xr3:uid="{C8630769-FB1F-42E5-A6EC-F6A7FBA48A43}" name="Column10847"/>
    <tableColumn id="10853" xr3:uid="{424271D8-A6B2-4649-A6D5-AB2E4443DF94}" name="Column10848"/>
    <tableColumn id="10854" xr3:uid="{F2BC7281-FD89-4272-8E76-503D3C731C7A}" name="Column10849"/>
    <tableColumn id="10855" xr3:uid="{3F22DA43-D9F7-41E4-B22A-8C9267B6BD4A}" name="Column10850"/>
    <tableColumn id="10856" xr3:uid="{153CCDC8-76FF-4F9D-9034-0ED1E1D5B644}" name="Column10851"/>
    <tableColumn id="10857" xr3:uid="{6EB9FD6E-3EB6-4A66-98D8-DDD49FFE3B3F}" name="Column10852"/>
    <tableColumn id="10858" xr3:uid="{9D7DD122-EC21-475D-B6DC-1452BAF66447}" name="Column10853"/>
    <tableColumn id="10859" xr3:uid="{E0BF6F45-A024-4738-BA25-A7591462CBC8}" name="Column10854"/>
    <tableColumn id="10860" xr3:uid="{00787FB1-A626-41AB-A71B-31A413D7FBDF}" name="Column10855"/>
    <tableColumn id="10861" xr3:uid="{03617654-A2EB-4439-907A-28477E194A92}" name="Column10856"/>
    <tableColumn id="10862" xr3:uid="{2942F862-3BDE-4909-A6A2-3EE364123B1C}" name="Column10857"/>
    <tableColumn id="10863" xr3:uid="{DCEEA65A-DB2C-47E6-88FF-DCAE182E8CEA}" name="Column10858"/>
    <tableColumn id="10864" xr3:uid="{F352B73C-A2F9-4664-B29D-F08B7C211F19}" name="Column10859"/>
    <tableColumn id="10865" xr3:uid="{20B2EE9A-94F0-4565-BC00-1B1EE808AB4A}" name="Column10860"/>
    <tableColumn id="10866" xr3:uid="{8A0964A8-8822-4848-BD56-2D39F040E228}" name="Column10861"/>
    <tableColumn id="10867" xr3:uid="{D563880B-CF5E-4327-8243-4A8D58EA7B51}" name="Column10862"/>
    <tableColumn id="10868" xr3:uid="{83E08E07-186E-41CB-8692-43AF66661454}" name="Column10863"/>
    <tableColumn id="10869" xr3:uid="{D996F4A6-CC29-4A04-A70C-769C7DE62C8D}" name="Column10864"/>
    <tableColumn id="10870" xr3:uid="{5178E06B-678D-4DFC-9BD0-4AD85D82EE01}" name="Column10865"/>
    <tableColumn id="10871" xr3:uid="{202D1C59-6125-4A46-A582-F3E595B7A6A2}" name="Column10866"/>
    <tableColumn id="10872" xr3:uid="{55DCD1EC-B5BD-41D9-8AD2-8394E02F722E}" name="Column10867"/>
    <tableColumn id="10873" xr3:uid="{568CC877-7107-4183-BE5A-B6BB6FFB66A6}" name="Column10868"/>
    <tableColumn id="10874" xr3:uid="{D428F110-D9E2-4AF5-BEA5-93EC87D9D933}" name="Column10869"/>
    <tableColumn id="10875" xr3:uid="{10C718A7-48CC-43F6-9D2A-E08BA7F3D060}" name="Column10870"/>
    <tableColumn id="10876" xr3:uid="{96AC8797-6FAF-4A0B-8E78-792DAA0213B7}" name="Column10871"/>
    <tableColumn id="10877" xr3:uid="{66280F5C-61CD-4226-9599-33B5E1D09DCC}" name="Column10872"/>
    <tableColumn id="10878" xr3:uid="{B3CB1A30-9F60-4061-A09D-1FC2D9337B92}" name="Column10873"/>
    <tableColumn id="10879" xr3:uid="{90BF21F4-A3D0-4FD7-9DF9-57A1D586315E}" name="Column10874"/>
    <tableColumn id="10880" xr3:uid="{27931C4F-91A0-40B1-AE07-160C9BCCBD17}" name="Column10875"/>
    <tableColumn id="10881" xr3:uid="{4C0AD351-F229-4212-9B03-077487E15862}" name="Column10876"/>
    <tableColumn id="10882" xr3:uid="{AC3303A2-C21C-42E2-A270-35FFB994E941}" name="Column10877"/>
    <tableColumn id="10883" xr3:uid="{B314B1F7-382A-46F0-907B-C24A5375506D}" name="Column10878"/>
    <tableColumn id="10884" xr3:uid="{11C6805D-0D97-47E0-94C6-40D5AD5D2BEB}" name="Column10879"/>
    <tableColumn id="10885" xr3:uid="{337DB2EE-5F1B-4CB8-AAB5-F1CFAB8F0115}" name="Column10880"/>
    <tableColumn id="10886" xr3:uid="{AA521741-E6CE-4459-8DBF-BC8EEAEDFF21}" name="Column10881"/>
    <tableColumn id="10887" xr3:uid="{D84CD672-AC14-466B-B8C5-22679463C798}" name="Column10882"/>
    <tableColumn id="10888" xr3:uid="{BECEEBD1-0CAB-41F0-9DC8-2E8FDD8887A2}" name="Column10883"/>
    <tableColumn id="10889" xr3:uid="{801FA49A-9592-4AE4-B34E-058D31C157D2}" name="Column10884"/>
    <tableColumn id="10890" xr3:uid="{4D8F5539-C542-4BC1-8DB1-D6D444FB01E4}" name="Column10885"/>
    <tableColumn id="10891" xr3:uid="{1F13979F-B232-41D8-8424-D312798E310F}" name="Column10886"/>
    <tableColumn id="10892" xr3:uid="{EFBC51E4-60A6-440A-B95D-C5FE1C2CFED5}" name="Column10887"/>
    <tableColumn id="10893" xr3:uid="{6371FB2A-3624-4506-8987-18835E54F8C6}" name="Column10888"/>
    <tableColumn id="10894" xr3:uid="{70E3D9C7-882F-4642-828C-547CA14D1F6E}" name="Column10889"/>
    <tableColumn id="10895" xr3:uid="{29121488-8CD7-418E-9344-EA05CFC7E1E6}" name="Column10890"/>
    <tableColumn id="10896" xr3:uid="{365A1D45-9264-4643-B130-3837D458C5BA}" name="Column10891"/>
    <tableColumn id="10897" xr3:uid="{BB439A8B-EA31-438C-AEB9-1150D39E4143}" name="Column10892"/>
    <tableColumn id="10898" xr3:uid="{92A85782-2AC9-42AD-9BD7-BB9630128010}" name="Column10893"/>
    <tableColumn id="10899" xr3:uid="{E64DDADD-2328-48CD-AC8A-C3AD91431671}" name="Column10894"/>
    <tableColumn id="10900" xr3:uid="{5B8E2117-C2E4-4E87-8F8E-80900AB39E9A}" name="Column10895"/>
    <tableColumn id="10901" xr3:uid="{F29694BD-C784-4CDD-BFE5-D5657EE60023}" name="Column10896"/>
    <tableColumn id="10902" xr3:uid="{45BE7B7A-FA75-4310-9C44-5AC066A2420E}" name="Column10897"/>
    <tableColumn id="10903" xr3:uid="{DAD92049-7955-4D44-87A8-9270BB86F271}" name="Column10898"/>
    <tableColumn id="10904" xr3:uid="{39615F55-8669-431B-B14B-FDA65B8598F7}" name="Column10899"/>
    <tableColumn id="10905" xr3:uid="{243BC9A1-FF10-417B-BFC9-7C0F2203C5B4}" name="Column10900"/>
    <tableColumn id="10906" xr3:uid="{F5288E3C-7B6C-4464-83C8-3771E23A78A1}" name="Column10901"/>
    <tableColumn id="10907" xr3:uid="{7E1C0817-C2F4-4D0C-B9BD-F1E4C27EC99F}" name="Column10902"/>
    <tableColumn id="10908" xr3:uid="{B7B95C95-28C9-4CF0-8845-DB970FAF2EA0}" name="Column10903"/>
    <tableColumn id="10909" xr3:uid="{E642F490-B0B9-47B9-92FE-9E169033BE61}" name="Column10904"/>
    <tableColumn id="10910" xr3:uid="{76025AA5-A5A8-4E0D-B3DB-2259C6B21197}" name="Column10905"/>
    <tableColumn id="10911" xr3:uid="{ED0FAB0D-3E88-4BB3-AA5E-5F93724E9A5A}" name="Column10906"/>
    <tableColumn id="10912" xr3:uid="{12875DC1-5591-47E0-AF35-89F8C36CF557}" name="Column10907"/>
    <tableColumn id="10913" xr3:uid="{B8362A29-CBBC-4DA2-87F0-22B9B97D9838}" name="Column10908"/>
    <tableColumn id="10914" xr3:uid="{07B2E79F-C077-4768-A0FA-47909D94B3A1}" name="Column10909"/>
    <tableColumn id="10915" xr3:uid="{C0057787-8E10-4775-9474-277637A083C1}" name="Column10910"/>
    <tableColumn id="10916" xr3:uid="{CA103D78-E8C2-4049-986E-530FA05B3265}" name="Column10911"/>
    <tableColumn id="10917" xr3:uid="{E28B47E2-F4C0-42E5-8799-822ACB222544}" name="Column10912"/>
    <tableColumn id="10918" xr3:uid="{95568A5B-D13C-4DB6-929C-EBF8EC8B19E3}" name="Column10913"/>
    <tableColumn id="10919" xr3:uid="{F7D3FF0B-F233-48C1-9690-E63C14CA68BB}" name="Column10914"/>
    <tableColumn id="10920" xr3:uid="{B5C9AE50-1CC9-4A02-B062-A260742E1E9F}" name="Column10915"/>
    <tableColumn id="10921" xr3:uid="{9E8AA713-FEC5-4262-9F3B-4B7DC63A46AC}" name="Column10916"/>
    <tableColumn id="10922" xr3:uid="{797438CF-4ECA-410A-A220-E0E00270D3B4}" name="Column10917"/>
    <tableColumn id="10923" xr3:uid="{66BD79C2-11D9-4A88-9E1E-BD81FEF57E49}" name="Column10918"/>
    <tableColumn id="10924" xr3:uid="{6F9F07C4-003B-4A5C-9FC5-45ABAB38F71B}" name="Column10919"/>
    <tableColumn id="10925" xr3:uid="{9ACD9788-49E9-4116-8778-BA51B87903A0}" name="Column10920"/>
    <tableColumn id="10926" xr3:uid="{4EB9CB1E-0B89-415E-979D-9C2DBB636127}" name="Column10921"/>
    <tableColumn id="10927" xr3:uid="{2E2D54FD-88F5-43F6-B439-4CA3533A7240}" name="Column10922"/>
    <tableColumn id="10928" xr3:uid="{B8296F08-9B5B-4A2D-B911-DBE04ACBB2BC}" name="Column10923"/>
    <tableColumn id="10929" xr3:uid="{E243C3AE-EF5D-4577-B36D-A4F6A6F5F87C}" name="Column10924"/>
    <tableColumn id="10930" xr3:uid="{5A5E3EF4-454D-49C6-9821-66BF85D20B9F}" name="Column10925"/>
    <tableColumn id="10931" xr3:uid="{C0AFB9B7-54A0-4F2C-AA35-FFADFC5CC9D7}" name="Column10926"/>
    <tableColumn id="10932" xr3:uid="{BF7A57AB-FAEF-4CC4-8834-7384559E9CDC}" name="Column10927"/>
    <tableColumn id="10933" xr3:uid="{E46A911B-FC01-484E-B67A-5F842C43766E}" name="Column10928"/>
    <tableColumn id="10934" xr3:uid="{1519EE27-1BF6-4723-889E-946F109D1139}" name="Column10929"/>
    <tableColumn id="10935" xr3:uid="{33AFCE67-3D92-4928-96F4-8BD8C622C6F5}" name="Column10930"/>
    <tableColumn id="10936" xr3:uid="{1C1227AD-875C-4291-A725-B0BC6C76BBB2}" name="Column10931"/>
    <tableColumn id="10937" xr3:uid="{56C9D980-087A-44CA-B3F3-1DD6E21E9049}" name="Column10932"/>
    <tableColumn id="10938" xr3:uid="{233291B2-7A5C-4E99-89A8-5314741AEA3D}" name="Column10933"/>
    <tableColumn id="10939" xr3:uid="{EA98B2A4-DC6B-4C44-9380-003B20CFFC09}" name="Column10934"/>
    <tableColumn id="10940" xr3:uid="{6319C406-C7BD-4905-931F-B726BF97D407}" name="Column10935"/>
    <tableColumn id="10941" xr3:uid="{2A71C7D2-AEFF-45A8-9E17-671343BB0B6C}" name="Column10936"/>
    <tableColumn id="10942" xr3:uid="{6749BD1C-9F9A-4A14-B2FD-F1CFD2C5F96B}" name="Column10937"/>
    <tableColumn id="10943" xr3:uid="{705C30D0-D892-4981-9B92-D371061A4EC8}" name="Column10938"/>
    <tableColumn id="10944" xr3:uid="{7A1579DC-A547-498B-B435-030B154F8800}" name="Column10939"/>
    <tableColumn id="10945" xr3:uid="{1EA479F3-5C01-429A-92F5-318EF09C5C25}" name="Column10940"/>
    <tableColumn id="10946" xr3:uid="{3863C9B0-5B1D-46F3-8F9D-7AC04D280234}" name="Column10941"/>
    <tableColumn id="10947" xr3:uid="{4BF7277E-3500-465B-9029-3DC5A835940D}" name="Column10942"/>
    <tableColumn id="10948" xr3:uid="{66A640BA-5511-499C-BBFA-D73E53C97CE1}" name="Column10943"/>
    <tableColumn id="10949" xr3:uid="{50B1C972-38AE-41FD-8140-47D250DF23ED}" name="Column10944"/>
    <tableColumn id="10950" xr3:uid="{A4FCE709-7BDD-4FB0-81FA-06611B9CFEEC}" name="Column10945"/>
    <tableColumn id="10951" xr3:uid="{D9EBAC8E-8A5D-48C0-BC0A-7B62661813D6}" name="Column10946"/>
    <tableColumn id="10952" xr3:uid="{FCDEF137-BDE9-474C-9F31-83F281665B3A}" name="Column10947"/>
    <tableColumn id="10953" xr3:uid="{A6E74978-7B05-4858-9D78-195122DC2D90}" name="Column10948"/>
    <tableColumn id="10954" xr3:uid="{A420DC35-8048-477C-B044-366FF36D55A0}" name="Column10949"/>
    <tableColumn id="10955" xr3:uid="{3573BE56-11CF-4D36-9F04-E720FAD1668B}" name="Column10950"/>
    <tableColumn id="10956" xr3:uid="{3E0893D5-F5B2-4607-A95F-F01FE6BDA871}" name="Column10951"/>
    <tableColumn id="10957" xr3:uid="{34670D6E-C495-45E4-B0F6-3ED5DE0539F7}" name="Column10952"/>
    <tableColumn id="10958" xr3:uid="{B0D4D3A0-232A-4A73-AE0F-49B6CC6983E5}" name="Column10953"/>
    <tableColumn id="10959" xr3:uid="{F886F80B-5D91-4098-94AB-A5441EAA9516}" name="Column10954"/>
    <tableColumn id="10960" xr3:uid="{D4926945-440E-4338-81D4-850097784F81}" name="Column10955"/>
    <tableColumn id="10961" xr3:uid="{4798988A-976F-46DC-8359-B31FBA2FAD99}" name="Column10956"/>
    <tableColumn id="10962" xr3:uid="{37D5DDC3-40C3-406A-BC1B-F6EC3151FA6E}" name="Column10957"/>
    <tableColumn id="10963" xr3:uid="{19F2011E-C6CC-4A40-A74B-040285932438}" name="Column10958"/>
    <tableColumn id="10964" xr3:uid="{835CCEDB-3547-4F34-9C81-B8AC0F19E86C}" name="Column10959"/>
    <tableColumn id="10965" xr3:uid="{15685288-BCCA-4D53-8A43-06A4FDC96F49}" name="Column10960"/>
    <tableColumn id="10966" xr3:uid="{6F31B772-1003-448D-B99A-06AC7541C29B}" name="Column10961"/>
    <tableColumn id="10967" xr3:uid="{035A5EF6-DBB2-4D98-BDE0-E7FEA60D9A30}" name="Column10962"/>
    <tableColumn id="10968" xr3:uid="{5663239B-CC44-4FF9-8C16-1D159C00B7D1}" name="Column10963"/>
    <tableColumn id="10969" xr3:uid="{5CC03CCA-2DB0-4832-8675-ABB213D395AA}" name="Column10964"/>
    <tableColumn id="10970" xr3:uid="{B5A63948-8781-444E-A667-B1EE2357335E}" name="Column10965"/>
    <tableColumn id="10971" xr3:uid="{7EA7CD9A-E828-417B-AA0D-2A1FE788EA73}" name="Column10966"/>
    <tableColumn id="10972" xr3:uid="{DACB2DFC-CF5D-4BFB-8D08-6C822D7B25D5}" name="Column10967"/>
    <tableColumn id="10973" xr3:uid="{F2037363-7403-41B3-9E97-9B20867A088E}" name="Column10968"/>
    <tableColumn id="10974" xr3:uid="{EF9FA56E-A570-4741-95CD-35579649EA47}" name="Column10969"/>
    <tableColumn id="10975" xr3:uid="{233B77E2-9C76-44CE-B9F4-D613D0932E2A}" name="Column10970"/>
    <tableColumn id="10976" xr3:uid="{234C9CD0-D919-4BBF-B54B-E564CF803F1F}" name="Column10971"/>
    <tableColumn id="10977" xr3:uid="{D33040E5-A41D-42E0-870C-838746638002}" name="Column10972"/>
    <tableColumn id="10978" xr3:uid="{C94EBDDB-7962-46C7-A146-958DB00D3F89}" name="Column10973"/>
    <tableColumn id="10979" xr3:uid="{9A8B7646-45BA-4782-9B4C-FB1CBA3A7888}" name="Column10974"/>
    <tableColumn id="10980" xr3:uid="{F22E1145-BD2F-4E01-9DDC-4BC65D2B4381}" name="Column10975"/>
    <tableColumn id="10981" xr3:uid="{C1EE5E7C-F789-4E91-80A6-6EF9EB77BD51}" name="Column10976"/>
    <tableColumn id="10982" xr3:uid="{D80CECE9-8D59-4DEE-9579-DD89608A5DA7}" name="Column10977"/>
    <tableColumn id="10983" xr3:uid="{FF246859-2238-4440-9E79-812FD0D18D05}" name="Column10978"/>
    <tableColumn id="10984" xr3:uid="{54888E57-B41B-45DC-B63A-916A8A53AC83}" name="Column10979"/>
    <tableColumn id="10985" xr3:uid="{C9235C92-572D-4330-9157-6E54A67E836B}" name="Column10980"/>
    <tableColumn id="10986" xr3:uid="{905A6A4C-1EDB-4DD3-978D-FDBC2988ADFE}" name="Column10981"/>
    <tableColumn id="10987" xr3:uid="{19E56C68-722E-4750-8F31-F680EBF447BA}" name="Column10982"/>
    <tableColumn id="10988" xr3:uid="{6F992BED-E963-4550-AE5D-1C563BDFCB86}" name="Column10983"/>
    <tableColumn id="10989" xr3:uid="{381B2311-34DE-4C60-9415-9C1270CA9FBE}" name="Column10984"/>
    <tableColumn id="10990" xr3:uid="{03F859B8-4913-49F8-9114-C47DBE010B6E}" name="Column10985"/>
    <tableColumn id="10991" xr3:uid="{208938B8-D1BC-4AED-BFCF-40B80A563165}" name="Column10986"/>
    <tableColumn id="10992" xr3:uid="{8078105F-B5DF-4FF7-AE39-1D7E29F6E9CE}" name="Column10987"/>
    <tableColumn id="10993" xr3:uid="{2A026CD1-EB5E-41C2-BDA0-91873681230F}" name="Column10988"/>
    <tableColumn id="10994" xr3:uid="{F94B0E45-A740-4FA0-A72F-C6248C065451}" name="Column10989"/>
    <tableColumn id="10995" xr3:uid="{0AAC5B0F-4544-4B1F-8065-D7142CD57B7F}" name="Column10990"/>
    <tableColumn id="10996" xr3:uid="{7767819F-2BC8-4CC7-BC90-6B82C7AD9667}" name="Column10991"/>
    <tableColumn id="10997" xr3:uid="{0519912E-DCD5-49A4-B2DD-65E2BB9506E4}" name="Column10992"/>
    <tableColumn id="10998" xr3:uid="{E3AE6D87-BAF9-42B4-BA49-2581F1512823}" name="Column10993"/>
    <tableColumn id="10999" xr3:uid="{E53E2211-31AB-428C-BD27-A00EC1DEC51F}" name="Column10994"/>
    <tableColumn id="11000" xr3:uid="{D2283971-A1FE-47C1-829C-49D6D069457C}" name="Column10995"/>
    <tableColumn id="11001" xr3:uid="{F5000CCF-95D4-4D5C-B90E-DD401EA2FE9A}" name="Column10996"/>
    <tableColumn id="11002" xr3:uid="{138781ED-0A96-4512-AD13-D0AD75806C1E}" name="Column10997"/>
    <tableColumn id="11003" xr3:uid="{9B19B380-26A4-4054-B7CB-604D4970F4BC}" name="Column10998"/>
    <tableColumn id="11004" xr3:uid="{DA875DF6-6730-405E-9100-9A873E7546DF}" name="Column10999"/>
    <tableColumn id="11005" xr3:uid="{91E53B2D-B10C-4710-98AD-BB67C7D80B10}" name="Column11000"/>
    <tableColumn id="11006" xr3:uid="{6730672A-4EC8-47E1-B310-DB1922E13975}" name="Column11001"/>
    <tableColumn id="11007" xr3:uid="{2AB5F07D-6DDB-4F46-A1D3-1A5FBF283B13}" name="Column11002"/>
    <tableColumn id="11008" xr3:uid="{D7105163-18FF-4AE7-8607-7DA745D275C6}" name="Column11003"/>
    <tableColumn id="11009" xr3:uid="{731392E8-63C9-4F80-B85A-BCB3C0CC3C39}" name="Column11004"/>
    <tableColumn id="11010" xr3:uid="{56AE3223-F91D-4EBC-A19D-6D713DC06D34}" name="Column11005"/>
    <tableColumn id="11011" xr3:uid="{78E6056A-25EC-446B-998E-54E97D144948}" name="Column11006"/>
    <tableColumn id="11012" xr3:uid="{A8A66956-AF70-49B9-A5B8-4043437E3701}" name="Column11007"/>
    <tableColumn id="11013" xr3:uid="{9247689C-BBCD-4D0A-9D01-F9F79B01D298}" name="Column11008"/>
    <tableColumn id="11014" xr3:uid="{AD116E24-9396-41A8-B96B-F4936234B893}" name="Column11009"/>
    <tableColumn id="11015" xr3:uid="{1C5384F4-199A-47AB-A903-8FBCDE059A81}" name="Column11010"/>
    <tableColumn id="11016" xr3:uid="{1282D5FB-2E12-494B-85F9-6141AF6B7839}" name="Column11011"/>
    <tableColumn id="11017" xr3:uid="{64659BCB-3521-4F14-81AF-D32F5413F2AB}" name="Column11012"/>
    <tableColumn id="11018" xr3:uid="{1374678C-F976-4628-BBA7-69EAD6679E12}" name="Column11013"/>
    <tableColumn id="11019" xr3:uid="{44E4941D-3729-478C-86D7-024BA99C144A}" name="Column11014"/>
    <tableColumn id="11020" xr3:uid="{590CCFA2-543A-4689-8088-1B9F1D69B4A1}" name="Column11015"/>
    <tableColumn id="11021" xr3:uid="{2EDBC1BE-415B-4701-8ED7-545BD43F57FF}" name="Column11016"/>
    <tableColumn id="11022" xr3:uid="{A9520308-AF3F-4030-8B8E-2C28AC83FB28}" name="Column11017"/>
    <tableColumn id="11023" xr3:uid="{9881D4D5-D729-4432-82BB-864591FE10CF}" name="Column11018"/>
    <tableColumn id="11024" xr3:uid="{7EF8A8A0-0A8B-4F3A-B6D1-7B17FD818951}" name="Column11019"/>
    <tableColumn id="11025" xr3:uid="{C847AF8A-498C-40D1-A899-209675D4E938}" name="Column11020"/>
    <tableColumn id="11026" xr3:uid="{60E54FD6-3CD0-4CD0-89DD-9ABC0AAA8B88}" name="Column11021"/>
    <tableColumn id="11027" xr3:uid="{BD5672AB-C602-4928-B525-021789AD2E92}" name="Column11022"/>
    <tableColumn id="11028" xr3:uid="{BE034F2F-BA85-4053-A678-AF5AB9D1498F}" name="Column11023"/>
    <tableColumn id="11029" xr3:uid="{F56D7E5D-4CF4-457F-B001-5A2E6C73197D}" name="Column11024"/>
    <tableColumn id="11030" xr3:uid="{7BF3A775-7A7A-4DF7-AF43-ABE0518BD0C5}" name="Column11025"/>
    <tableColumn id="11031" xr3:uid="{91000AC1-B4A1-4F42-8D4E-266D2D060EA2}" name="Column11026"/>
    <tableColumn id="11032" xr3:uid="{18D2A498-3603-43C0-BA50-AF42CDC1478A}" name="Column11027"/>
    <tableColumn id="11033" xr3:uid="{AE2FAEFE-5DCE-491F-A185-94BDB0F8D48D}" name="Column11028"/>
    <tableColumn id="11034" xr3:uid="{BA61C92B-F02F-4CBD-8336-B0F34750CF52}" name="Column11029"/>
    <tableColumn id="11035" xr3:uid="{C34AC877-A248-4240-A008-42522E68845A}" name="Column11030"/>
    <tableColumn id="11036" xr3:uid="{59889E9C-8012-4E17-97FC-BCE859AC8EE6}" name="Column11031"/>
    <tableColumn id="11037" xr3:uid="{756DD418-6A6F-4623-8506-C35DC4814722}" name="Column11032"/>
    <tableColumn id="11038" xr3:uid="{9313FE76-CF92-4ABD-8B2E-8D6070670721}" name="Column11033"/>
    <tableColumn id="11039" xr3:uid="{CC7ED520-7243-4396-B46F-FB2A27E87A4B}" name="Column11034"/>
    <tableColumn id="11040" xr3:uid="{15613C99-EB64-4E55-9BBC-8EC9C2278C33}" name="Column11035"/>
    <tableColumn id="11041" xr3:uid="{AAF3CE37-A947-4224-86D6-0C92F323B4EE}" name="Column11036"/>
    <tableColumn id="11042" xr3:uid="{1AADEE77-B7FC-4778-9948-A8B76F702743}" name="Column11037"/>
    <tableColumn id="11043" xr3:uid="{3F63C231-4E95-42F6-9889-7044AA25EDAE}" name="Column11038"/>
    <tableColumn id="11044" xr3:uid="{0B6CE0B0-3BE6-4157-B3E7-39FB77927A9F}" name="Column11039"/>
    <tableColumn id="11045" xr3:uid="{9E409D58-2157-4A54-8D7E-FDFB50E03E75}" name="Column11040"/>
    <tableColumn id="11046" xr3:uid="{6C49886F-1DC1-47A1-86A8-4D9FD0B8D4A8}" name="Column11041"/>
    <tableColumn id="11047" xr3:uid="{4C50423C-AA6D-4B84-AD72-86A7C394B0FA}" name="Column11042"/>
    <tableColumn id="11048" xr3:uid="{C8B45F03-3821-4AC8-A3BF-21B50378AFB8}" name="Column11043"/>
    <tableColumn id="11049" xr3:uid="{5B60540C-0872-46BC-9CEB-015EDFBEC4F2}" name="Column11044"/>
    <tableColumn id="11050" xr3:uid="{FFDB231C-1A82-42A8-8069-11AD31D4A554}" name="Column11045"/>
    <tableColumn id="11051" xr3:uid="{D138ED6C-4E3E-443F-A661-FCDD354300F3}" name="Column11046"/>
    <tableColumn id="11052" xr3:uid="{297836FA-D5C0-4DB8-8A0A-F618BB7E790B}" name="Column11047"/>
    <tableColumn id="11053" xr3:uid="{17497660-EA18-47A4-8DC0-5EC9C2CDBBD1}" name="Column11048"/>
    <tableColumn id="11054" xr3:uid="{76407D14-28BC-4CE4-AB39-7EACBDD8CB9C}" name="Column11049"/>
    <tableColumn id="11055" xr3:uid="{1407740D-447A-4AE7-8CC9-C73EB58E3481}" name="Column11050"/>
    <tableColumn id="11056" xr3:uid="{F9419226-42F8-494B-BA97-EC0C9BDF4A80}" name="Column11051"/>
    <tableColumn id="11057" xr3:uid="{34F08DBE-7FCA-42B3-A7BE-0F962B476362}" name="Column11052"/>
    <tableColumn id="11058" xr3:uid="{35901FA0-4FCB-42C3-8FBB-DA97E6B08F54}" name="Column11053"/>
    <tableColumn id="11059" xr3:uid="{A7CA1077-FBDA-421E-B55B-E8C09C2A2F65}" name="Column11054"/>
    <tableColumn id="11060" xr3:uid="{5ED7BC1C-3ED6-41EF-8DE9-1AF54CCBA58C}" name="Column11055"/>
    <tableColumn id="11061" xr3:uid="{491597F8-3806-475D-AEEE-D9FF14232C83}" name="Column11056"/>
    <tableColumn id="11062" xr3:uid="{03F7A9F3-12AE-4C45-80DD-928B55A1D5EC}" name="Column11057"/>
    <tableColumn id="11063" xr3:uid="{6EBE463A-B728-4A49-8DEF-9BEB643DFC5A}" name="Column11058"/>
    <tableColumn id="11064" xr3:uid="{2E2C8C80-997A-4625-A824-4C9EC73413C4}" name="Column11059"/>
    <tableColumn id="11065" xr3:uid="{DB9EBA56-616E-4F13-9EB8-694AA83F0514}" name="Column11060"/>
    <tableColumn id="11066" xr3:uid="{BCBE6E49-5F9B-4EE0-A802-637E92CCBA01}" name="Column11061"/>
    <tableColumn id="11067" xr3:uid="{8BC24CC3-F873-401A-8885-5E3496EF3BD2}" name="Column11062"/>
    <tableColumn id="11068" xr3:uid="{E2C6C6C2-9DDE-427E-B2B7-371E70BA78BB}" name="Column11063"/>
    <tableColumn id="11069" xr3:uid="{787B8AC1-07A5-4BBF-AB3B-5F585C5EBFC2}" name="Column11064"/>
    <tableColumn id="11070" xr3:uid="{14CC3812-AFBE-4454-8202-66A95BC0ED49}" name="Column11065"/>
    <tableColumn id="11071" xr3:uid="{F8B9A7E1-2293-4524-A338-5D2D89F51E6A}" name="Column11066"/>
    <tableColumn id="11072" xr3:uid="{7B53058E-3934-4FA1-9DF3-FA07DC7724E7}" name="Column11067"/>
    <tableColumn id="11073" xr3:uid="{6F7C910B-1080-4004-BC4B-640D16967E22}" name="Column11068"/>
    <tableColumn id="11074" xr3:uid="{4EB1709C-9C70-41E2-BD78-A8FB9244B54F}" name="Column11069"/>
    <tableColumn id="11075" xr3:uid="{DCD2DA84-5BD4-420E-9CEB-DBC7729E4D1B}" name="Column11070"/>
    <tableColumn id="11076" xr3:uid="{11CD805E-5952-45E6-86B9-38D9DBEB4C82}" name="Column11071"/>
    <tableColumn id="11077" xr3:uid="{AC406F5C-FA2C-4D14-99A2-329394BF7E43}" name="Column11072"/>
    <tableColumn id="11078" xr3:uid="{6C5A4F60-8FC4-4B3B-9F56-845CF89B110B}" name="Column11073"/>
    <tableColumn id="11079" xr3:uid="{478A5427-7179-4330-81DD-FC3706C051FC}" name="Column11074"/>
    <tableColumn id="11080" xr3:uid="{C3AC03AF-05BF-41A7-A808-49AF3D20C936}" name="Column11075"/>
    <tableColumn id="11081" xr3:uid="{3BCF3C82-9B29-4948-A1D8-23CB6ACC6609}" name="Column11076"/>
    <tableColumn id="11082" xr3:uid="{C7BAB7C8-0E24-4195-B305-BAAC44F027B5}" name="Column11077"/>
    <tableColumn id="11083" xr3:uid="{98D3F8B8-767D-4A78-A6AE-5A9E76ECC16A}" name="Column11078"/>
    <tableColumn id="11084" xr3:uid="{9D4148F8-0F14-4A56-BC8E-E54236D6A4B0}" name="Column11079"/>
    <tableColumn id="11085" xr3:uid="{78458D07-0F9D-4651-98CE-EF1054B5E53E}" name="Column11080"/>
    <tableColumn id="11086" xr3:uid="{D4E07556-3D70-4A9D-99C0-A186B80C1C98}" name="Column11081"/>
    <tableColumn id="11087" xr3:uid="{76AFB81C-FB65-473C-A4CA-2B73D5AAE047}" name="Column11082"/>
    <tableColumn id="11088" xr3:uid="{E1D21C22-C4EF-48B9-8D25-C33302371D4D}" name="Column11083"/>
    <tableColumn id="11089" xr3:uid="{5B4ACDCC-4E33-465C-B981-61D121D397FA}" name="Column11084"/>
    <tableColumn id="11090" xr3:uid="{56329F60-8B22-4EF4-A3FE-9FBF27FF84FA}" name="Column11085"/>
    <tableColumn id="11091" xr3:uid="{B1C3B76F-A5F7-4251-8CB3-7E65760CBAA1}" name="Column11086"/>
    <tableColumn id="11092" xr3:uid="{9ED635AD-510E-4039-8818-ABD138EF2BAB}" name="Column11087"/>
    <tableColumn id="11093" xr3:uid="{B77EB2E4-A601-4461-913B-B8A7EEC9213F}" name="Column11088"/>
    <tableColumn id="11094" xr3:uid="{79CBB7EE-09F4-4497-9BF7-0FA9E45A3684}" name="Column11089"/>
    <tableColumn id="11095" xr3:uid="{DD1D023D-8C4A-46E6-9574-D20B3235453C}" name="Column11090"/>
    <tableColumn id="11096" xr3:uid="{B8B65E65-59A1-4573-958F-6ED1014BFE6C}" name="Column11091"/>
    <tableColumn id="11097" xr3:uid="{0CE06D2F-430D-43BF-B6BF-C9CD9015EB20}" name="Column11092"/>
    <tableColumn id="11098" xr3:uid="{0EDCB3A2-2720-45CD-870B-CEFF37BCE9D9}" name="Column11093"/>
    <tableColumn id="11099" xr3:uid="{6909DCA6-8B3B-435D-83CE-589982C09431}" name="Column11094"/>
    <tableColumn id="11100" xr3:uid="{DDA5595E-B803-4D77-836F-D07D35172747}" name="Column11095"/>
    <tableColumn id="11101" xr3:uid="{DF551E87-7A20-4B79-81A7-FB7D7093C393}" name="Column11096"/>
    <tableColumn id="11102" xr3:uid="{F14E2679-2D8E-4937-AB30-AA41800EFCAF}" name="Column11097"/>
    <tableColumn id="11103" xr3:uid="{7CD35793-90C8-48BC-BB70-4970DFA4AFCB}" name="Column11098"/>
    <tableColumn id="11104" xr3:uid="{E2192BF9-DCED-4E8E-91FC-3563A228EDBD}" name="Column11099"/>
    <tableColumn id="11105" xr3:uid="{30E97A57-9815-4F3B-AB9F-2902DD134A48}" name="Column11100"/>
    <tableColumn id="11106" xr3:uid="{F8A28B40-A178-48E9-838B-9AE48C51958B}" name="Column11101"/>
    <tableColumn id="11107" xr3:uid="{EE58875B-7106-4EBA-9556-1FB992121827}" name="Column11102"/>
    <tableColumn id="11108" xr3:uid="{38FA83B8-7AC7-4710-9E43-1F4FC2C081D1}" name="Column11103"/>
    <tableColumn id="11109" xr3:uid="{BCDF779B-5273-4D01-8C0B-C90CF85CEC72}" name="Column11104"/>
    <tableColumn id="11110" xr3:uid="{B9F5EEB0-9119-43FF-99BD-F01B06494603}" name="Column11105"/>
    <tableColumn id="11111" xr3:uid="{BF0FEF8B-20DE-4207-B3F2-BE96450A3383}" name="Column11106"/>
    <tableColumn id="11112" xr3:uid="{DE1E7DB3-5549-42B3-989F-91B4BE94B891}" name="Column11107"/>
    <tableColumn id="11113" xr3:uid="{1D44DE15-7871-4A59-97B4-2B0D0366F336}" name="Column11108"/>
    <tableColumn id="11114" xr3:uid="{7FA29ADE-A8A7-406C-B455-7B8BB137B2EF}" name="Column11109"/>
    <tableColumn id="11115" xr3:uid="{47BF0FDF-1CF1-458E-B1C1-BD52B54AED9C}" name="Column11110"/>
    <tableColumn id="11116" xr3:uid="{364E2443-6D9A-4CBE-B54D-CF7E5046CCA8}" name="Column11111"/>
    <tableColumn id="11117" xr3:uid="{2E290737-1303-4736-9737-CC06D747A568}" name="Column11112"/>
    <tableColumn id="11118" xr3:uid="{71AB6111-F253-4475-A723-8CBF08C5F370}" name="Column11113"/>
    <tableColumn id="11119" xr3:uid="{2B14E88C-A7E7-483B-9249-076F8FC8C31C}" name="Column11114"/>
    <tableColumn id="11120" xr3:uid="{5025AB9A-29EB-414D-A1C0-2442A2627CEF}" name="Column11115"/>
    <tableColumn id="11121" xr3:uid="{536C0FE0-8148-4BE0-B33F-EDAF54620402}" name="Column11116"/>
    <tableColumn id="11122" xr3:uid="{AABFBEFE-BA0F-49AF-9FDD-4A12F5A841E3}" name="Column11117"/>
    <tableColumn id="11123" xr3:uid="{8E27728A-A3AF-4F0B-98EC-F4AE43B71C8C}" name="Column11118"/>
    <tableColumn id="11124" xr3:uid="{0670A612-0576-4290-B294-981D956E3707}" name="Column11119"/>
    <tableColumn id="11125" xr3:uid="{58833738-9DA6-465A-9CC2-D21B13BB15C1}" name="Column11120"/>
    <tableColumn id="11126" xr3:uid="{16ACA975-BC68-4432-A7AE-51E5F6C10617}" name="Column11121"/>
    <tableColumn id="11127" xr3:uid="{243E3167-63DF-4CC3-AFDB-83AA91A6701A}" name="Column11122"/>
    <tableColumn id="11128" xr3:uid="{264A8B59-B7B5-4224-82F8-6B235D198D9C}" name="Column11123"/>
    <tableColumn id="11129" xr3:uid="{9ADE33C5-B75E-47CC-B3F2-AA6EA1571A42}" name="Column11124"/>
    <tableColumn id="11130" xr3:uid="{8BEFC5D0-2DBB-41F5-B9D0-22518FD9FC86}" name="Column11125"/>
    <tableColumn id="11131" xr3:uid="{2561A768-A3E8-4327-B03B-6C9DCF5B1428}" name="Column11126"/>
    <tableColumn id="11132" xr3:uid="{28D90B2C-3DFC-4A52-B3C6-6DF4350290FA}" name="Column11127"/>
    <tableColumn id="11133" xr3:uid="{763172FE-0EB6-4082-BB84-26454DBCEF74}" name="Column11128"/>
    <tableColumn id="11134" xr3:uid="{050B6E60-2A63-4F0A-B976-04085B9B9B96}" name="Column11129"/>
    <tableColumn id="11135" xr3:uid="{3C66D4AC-C034-4CF4-B90E-A55400338519}" name="Column11130"/>
    <tableColumn id="11136" xr3:uid="{A7E8EFF6-D98B-433E-8F2E-20EF3598E4AC}" name="Column11131"/>
    <tableColumn id="11137" xr3:uid="{D734027D-215E-49BB-A9DF-1AAFF426FDAF}" name="Column11132"/>
    <tableColumn id="11138" xr3:uid="{2E604855-386C-464B-AD9C-3EB4AD33995B}" name="Column11133"/>
    <tableColumn id="11139" xr3:uid="{18DBC333-8AE8-4F6E-BFBB-8DF7665F9CE9}" name="Column11134"/>
    <tableColumn id="11140" xr3:uid="{E8B975CC-B4F1-4B5A-BBD2-7D8CD2F0CEE4}" name="Column11135"/>
    <tableColumn id="11141" xr3:uid="{63684B96-0A44-4296-8D3E-02D8EA608749}" name="Column11136"/>
    <tableColumn id="11142" xr3:uid="{1B9E3777-C495-47F1-982D-70D3C4664E97}" name="Column11137"/>
    <tableColumn id="11143" xr3:uid="{43448D86-29FC-4411-9415-508CBB0AFF08}" name="Column11138"/>
    <tableColumn id="11144" xr3:uid="{A1DB7B9B-D3EC-4248-8F58-6CE4C918730C}" name="Column11139"/>
    <tableColumn id="11145" xr3:uid="{371C3C41-0B6E-4179-98DB-B7E59601BE6C}" name="Column11140"/>
    <tableColumn id="11146" xr3:uid="{01F93037-653B-4C8E-8266-9ADA10289413}" name="Column11141"/>
    <tableColumn id="11147" xr3:uid="{FD9F7DBE-5BF1-4B3E-AFEE-5979DAE1CFF6}" name="Column11142"/>
    <tableColumn id="11148" xr3:uid="{2946ED9E-6AF5-4D47-9D98-85707DB33226}" name="Column11143"/>
    <tableColumn id="11149" xr3:uid="{12BF1031-62EB-424E-9F82-8C9A85CD713A}" name="Column11144"/>
    <tableColumn id="11150" xr3:uid="{35A7EE41-BE10-4436-B26E-D3841D3FFED3}" name="Column11145"/>
    <tableColumn id="11151" xr3:uid="{C0902819-EF7F-4624-B5A9-A1EA9641F28F}" name="Column11146"/>
    <tableColumn id="11152" xr3:uid="{F60117D9-7519-41B0-827D-0397050DEF0D}" name="Column11147"/>
    <tableColumn id="11153" xr3:uid="{D40F85AB-6AAF-482C-994A-D2051889364E}" name="Column11148"/>
    <tableColumn id="11154" xr3:uid="{C9D8D37E-6A31-4C5E-BC24-7082667D5A67}" name="Column11149"/>
    <tableColumn id="11155" xr3:uid="{F9560508-C3FF-43B4-A681-3F19D509A96D}" name="Column11150"/>
    <tableColumn id="11156" xr3:uid="{ACC78C13-9A5A-461E-A1C8-2B7ECCF8FC6D}" name="Column11151"/>
    <tableColumn id="11157" xr3:uid="{070CCB34-B9A5-4A92-B2FC-BA793E60A7C8}" name="Column11152"/>
    <tableColumn id="11158" xr3:uid="{FF56699B-5AB7-48BA-B7A8-02BA03B36739}" name="Column11153"/>
    <tableColumn id="11159" xr3:uid="{C22C260C-4087-49BE-85DA-10576107849A}" name="Column11154"/>
    <tableColumn id="11160" xr3:uid="{485C5A16-0F2C-4077-AA9B-BC640D434C1D}" name="Column11155"/>
    <tableColumn id="11161" xr3:uid="{6EF7A13D-9336-427C-8693-26943913C14A}" name="Column11156"/>
    <tableColumn id="11162" xr3:uid="{79161636-F58A-4F53-9890-106EC730A37E}" name="Column11157"/>
    <tableColumn id="11163" xr3:uid="{4B63561C-250D-41B1-AC7A-FF1791A06E86}" name="Column11158"/>
    <tableColumn id="11164" xr3:uid="{A8E0C82F-2F7F-4A58-922E-A61157F21D98}" name="Column11159"/>
    <tableColumn id="11165" xr3:uid="{2379F9B7-FD09-49E6-9400-8DA94E9CB94E}" name="Column11160"/>
    <tableColumn id="11166" xr3:uid="{E29DEB9A-069E-4D0D-9E9F-49202811BC7F}" name="Column11161"/>
    <tableColumn id="11167" xr3:uid="{71795F05-5DFB-4F23-9988-DF836FB699E2}" name="Column11162"/>
    <tableColumn id="11168" xr3:uid="{EED29751-7068-46E8-A9BF-39980B0B0146}" name="Column11163"/>
    <tableColumn id="11169" xr3:uid="{5BD403FB-9D23-4D28-A4FB-7F6A544D204C}" name="Column11164"/>
    <tableColumn id="11170" xr3:uid="{CFBFD73A-3B93-4A4C-A702-E09DCF6E68BC}" name="Column11165"/>
    <tableColumn id="11171" xr3:uid="{5B1EFA11-2459-4D70-BD28-8BA9AB5132A2}" name="Column11166"/>
    <tableColumn id="11172" xr3:uid="{7CB4CF79-339D-4C2F-87CE-6F8BA85B6ADA}" name="Column11167"/>
    <tableColumn id="11173" xr3:uid="{597CBD82-6C24-4BC6-9CF4-424D444993A7}" name="Column11168"/>
    <tableColumn id="11174" xr3:uid="{BD42171B-83FA-4BE9-AD04-AFBEB44CBDCE}" name="Column11169"/>
    <tableColumn id="11175" xr3:uid="{32D984A3-5E28-4B23-9F6F-A9CBE515F3AC}" name="Column11170"/>
    <tableColumn id="11176" xr3:uid="{5C9B7D94-AC5A-4F2B-B45C-FEF51B2FA08A}" name="Column11171"/>
    <tableColumn id="11177" xr3:uid="{EECBFAEB-E1EE-4805-89DE-BA5FC8CE6DDD}" name="Column11172"/>
    <tableColumn id="11178" xr3:uid="{A2078AF5-2DEF-44A7-BE60-D040CAF4F5D9}" name="Column11173"/>
    <tableColumn id="11179" xr3:uid="{5D819041-BAA8-42B9-975F-56C069DFC5B9}" name="Column11174"/>
    <tableColumn id="11180" xr3:uid="{E5B213AB-A151-4986-8FDB-CB997D540319}" name="Column11175"/>
    <tableColumn id="11181" xr3:uid="{C123CA82-52F9-452F-BF90-C98639D95924}" name="Column11176"/>
    <tableColumn id="11182" xr3:uid="{B4FA8CF2-1A53-42AF-9ABB-112C70C29B73}" name="Column11177"/>
    <tableColumn id="11183" xr3:uid="{8AB75EC9-CD85-44B6-A33D-FFEB4AF16984}" name="Column11178"/>
    <tableColumn id="11184" xr3:uid="{2F0DB54C-E0F7-49BA-A6AA-51F0A0EDA1EC}" name="Column11179"/>
    <tableColumn id="11185" xr3:uid="{534D5587-38EA-447C-B3F4-3622B65B786C}" name="Column11180"/>
    <tableColumn id="11186" xr3:uid="{CA37234E-17BB-41C9-9094-1F1B0C7B0DAF}" name="Column11181"/>
    <tableColumn id="11187" xr3:uid="{E720D4A9-1310-4371-A1F4-6F6F3026883F}" name="Column11182"/>
    <tableColumn id="11188" xr3:uid="{D8D5C412-28CF-4EF0-B76E-11F969EFA92F}" name="Column11183"/>
    <tableColumn id="11189" xr3:uid="{8BE0CD55-C732-42E8-B244-C6D39C7E919E}" name="Column11184"/>
    <tableColumn id="11190" xr3:uid="{45726209-D5ED-4301-904F-28BDC6859091}" name="Column11185"/>
    <tableColumn id="11191" xr3:uid="{1BA0142B-5DBE-4095-BF66-FE2D3E65E068}" name="Column11186"/>
    <tableColumn id="11192" xr3:uid="{B0BD26FE-77A5-40C6-8EB3-654498952327}" name="Column11187"/>
    <tableColumn id="11193" xr3:uid="{5BC42A9B-448F-4438-ABDE-CB7F4D1AB7AF}" name="Column11188"/>
    <tableColumn id="11194" xr3:uid="{A8635356-83FD-44C4-A178-A914BEB0F70F}" name="Column11189"/>
    <tableColumn id="11195" xr3:uid="{82A5BBBC-EFAE-454F-935C-15AACEA731A1}" name="Column11190"/>
    <tableColumn id="11196" xr3:uid="{254F2AD3-4B31-4DFB-9769-43F649F98B9B}" name="Column11191"/>
    <tableColumn id="11197" xr3:uid="{A4AEB18C-62BC-40F5-9520-A19FDA3C02E3}" name="Column11192"/>
    <tableColumn id="11198" xr3:uid="{CCAB6B01-8AA7-4B82-A967-59168E1B10E2}" name="Column11193"/>
    <tableColumn id="11199" xr3:uid="{E30ECB2B-ACDC-410A-BA08-405C4E258680}" name="Column11194"/>
    <tableColumn id="11200" xr3:uid="{0DFEFB3F-9AF9-4163-861B-0170740893DF}" name="Column11195"/>
    <tableColumn id="11201" xr3:uid="{8BAC388B-5D1F-4C58-8860-8D8B1C710902}" name="Column11196"/>
    <tableColumn id="11202" xr3:uid="{2D2865A1-73F9-47DC-89EE-765A0451CDE0}" name="Column11197"/>
    <tableColumn id="11203" xr3:uid="{F352642D-EB91-4232-9BF0-D91C547B9030}" name="Column11198"/>
    <tableColumn id="11204" xr3:uid="{498BADBD-A4EB-4E4D-8CDD-38F450DCDF82}" name="Column11199"/>
    <tableColumn id="11205" xr3:uid="{218B09B9-2DE0-45B5-9177-F3049CD6E5AC}" name="Column11200"/>
    <tableColumn id="11206" xr3:uid="{27D336C9-185C-4CA5-9F38-0E93E01231D7}" name="Column11201"/>
    <tableColumn id="11207" xr3:uid="{CEA5FDDA-46E7-402E-8342-681BCBA53684}" name="Column11202"/>
    <tableColumn id="11208" xr3:uid="{160E3533-21F5-4D31-B6E9-69919B84D062}" name="Column11203"/>
    <tableColumn id="11209" xr3:uid="{E6A9CFEE-8BE4-4D40-8CA4-A4504B2115AE}" name="Column11204"/>
    <tableColumn id="11210" xr3:uid="{FA470703-7076-4FD5-9298-F7F4BE80862A}" name="Column11205"/>
    <tableColumn id="11211" xr3:uid="{E287C60E-6EC6-43B3-8FBD-BD430B8E85FA}" name="Column11206"/>
    <tableColumn id="11212" xr3:uid="{E29852E6-FF8E-4E94-B144-F72F1A7DF89D}" name="Column11207"/>
    <tableColumn id="11213" xr3:uid="{B3932D05-45A3-4BDC-8759-E45BD634D378}" name="Column11208"/>
    <tableColumn id="11214" xr3:uid="{25108BEE-3CD3-4E37-9B6B-28E0293861CB}" name="Column11209"/>
    <tableColumn id="11215" xr3:uid="{2EC1FE6F-1110-482D-B3B0-5BF8AAF6B65C}" name="Column11210"/>
    <tableColumn id="11216" xr3:uid="{E15213D8-1256-41EB-94E4-D36630C4EAE6}" name="Column11211"/>
    <tableColumn id="11217" xr3:uid="{1B047125-8AE8-4415-9991-C2C872537583}" name="Column11212"/>
    <tableColumn id="11218" xr3:uid="{0596C1AA-A0A8-458A-9AED-664541B6B3D0}" name="Column11213"/>
    <tableColumn id="11219" xr3:uid="{AFF4B104-5736-41FD-BC9B-5DDFD4FE054D}" name="Column11214"/>
    <tableColumn id="11220" xr3:uid="{4F97F84C-8ADF-4B2D-BAFB-D2BE97E19DBD}" name="Column11215"/>
    <tableColumn id="11221" xr3:uid="{AA1A6A60-362F-4D3C-A3EA-666C73D386B1}" name="Column11216"/>
    <tableColumn id="11222" xr3:uid="{41A4382C-A0E0-404B-AA03-76C443E0CB1E}" name="Column11217"/>
    <tableColumn id="11223" xr3:uid="{04DD9A9E-1BE8-4E94-8140-0F38D84F049A}" name="Column11218"/>
    <tableColumn id="11224" xr3:uid="{21F04490-94F4-4B45-B7FD-1675EC7EEA30}" name="Column11219"/>
    <tableColumn id="11225" xr3:uid="{AA99025D-97C4-4BBF-B153-5EA3E35E2C0A}" name="Column11220"/>
    <tableColumn id="11226" xr3:uid="{0A804DD9-4148-4B21-9FFE-5B3337E02C8B}" name="Column11221"/>
    <tableColumn id="11227" xr3:uid="{4120BE0B-F0FE-4E50-A627-D2AB146A69D7}" name="Column11222"/>
    <tableColumn id="11228" xr3:uid="{E8A72B67-831A-4FE6-AA3E-AD01CEEF4243}" name="Column11223"/>
    <tableColumn id="11229" xr3:uid="{07C63BEA-3632-4FBF-A7CC-0A7D1AA1AF68}" name="Column11224"/>
    <tableColumn id="11230" xr3:uid="{CF2523D3-DE08-4AAC-BEE4-6E03CA86F17C}" name="Column11225"/>
    <tableColumn id="11231" xr3:uid="{ECDAB4C8-4C22-417F-9909-8667EF8E0E4E}" name="Column11226"/>
    <tableColumn id="11232" xr3:uid="{2524B383-D69A-49FB-B32A-1AE657BB464B}" name="Column11227"/>
    <tableColumn id="11233" xr3:uid="{F97C1860-44D3-48FD-949F-A8C43705C3B9}" name="Column11228"/>
    <tableColumn id="11234" xr3:uid="{AAA74001-9C69-492B-AD51-3A03386864B2}" name="Column11229"/>
    <tableColumn id="11235" xr3:uid="{DE067087-9897-4FE0-A31D-BB9E71C540A3}" name="Column11230"/>
    <tableColumn id="11236" xr3:uid="{65969301-EBA5-46E8-BE17-928387E6AB08}" name="Column11231"/>
    <tableColumn id="11237" xr3:uid="{586CD47D-F4E9-4125-8547-7F1A36A205E3}" name="Column11232"/>
    <tableColumn id="11238" xr3:uid="{99DEE497-99F3-4E23-824A-66F80F89E77F}" name="Column11233"/>
    <tableColumn id="11239" xr3:uid="{FAA72D15-D696-4A09-8C42-1D01ACFEC185}" name="Column11234"/>
    <tableColumn id="11240" xr3:uid="{0371DB23-AA40-4F4C-9AA7-A2AD82AE54F5}" name="Column11235"/>
    <tableColumn id="11241" xr3:uid="{BDBE0010-2922-4781-8DA8-B56FAF0840A8}" name="Column11236"/>
    <tableColumn id="11242" xr3:uid="{58DFCA04-597C-429D-B2DC-A776FAE04CAC}" name="Column11237"/>
    <tableColumn id="11243" xr3:uid="{123AAB74-F48A-4473-84E4-3EFD277B57DA}" name="Column11238"/>
    <tableColumn id="11244" xr3:uid="{37F2C592-6F6A-4898-B1B2-1A27992A34DC}" name="Column11239"/>
    <tableColumn id="11245" xr3:uid="{D6FA7F6E-6F4E-413F-B37B-EB23D998F6A3}" name="Column11240"/>
    <tableColumn id="11246" xr3:uid="{6D25304C-FA5B-4CE0-90A1-5A0C6C63B3BB}" name="Column11241"/>
    <tableColumn id="11247" xr3:uid="{AA8BD7DC-B090-460F-8CE2-79D7E51DBCED}" name="Column11242"/>
    <tableColumn id="11248" xr3:uid="{C6C52EF8-652D-413E-B62F-8E56BABBCEA5}" name="Column11243"/>
    <tableColumn id="11249" xr3:uid="{B84D8A04-0719-43E2-9132-26C7A9DA504C}" name="Column11244"/>
    <tableColumn id="11250" xr3:uid="{A65E78C8-A4CB-478E-B4C7-7BDFEBA3E89D}" name="Column11245"/>
    <tableColumn id="11251" xr3:uid="{CA18660E-E3FE-4F0C-B702-33A171FF59A6}" name="Column11246"/>
    <tableColumn id="11252" xr3:uid="{159B56AA-95E4-4F48-9075-45FEFA7A5FCD}" name="Column11247"/>
    <tableColumn id="11253" xr3:uid="{1B143D46-A5EC-4A20-B4F5-F906E67B115A}" name="Column11248"/>
    <tableColumn id="11254" xr3:uid="{B2CBA95E-665A-4A32-B665-1B8EB2AB9CA9}" name="Column11249"/>
    <tableColumn id="11255" xr3:uid="{16AA79E2-C0A9-462A-9995-FD197D13979F}" name="Column11250"/>
    <tableColumn id="11256" xr3:uid="{EBF6E2AE-B488-47F3-A5B0-EF6C1CE48363}" name="Column11251"/>
    <tableColumn id="11257" xr3:uid="{7E9C008F-B4CD-4516-9DB5-471CADBA71EA}" name="Column11252"/>
    <tableColumn id="11258" xr3:uid="{B9D36588-C67A-4229-ABB0-B48EF8914D46}" name="Column11253"/>
    <tableColumn id="11259" xr3:uid="{49904E4C-B7F8-4D7E-BF6B-49FD3596D323}" name="Column11254"/>
    <tableColumn id="11260" xr3:uid="{E1B51379-6EEC-4AAD-9389-ED6F0D464436}" name="Column11255"/>
    <tableColumn id="11261" xr3:uid="{E7D1DC9B-97C4-494C-A4C8-551DF5B100F4}" name="Column11256"/>
    <tableColumn id="11262" xr3:uid="{05589FD6-2806-4141-B2CA-4A82A4424681}" name="Column11257"/>
    <tableColumn id="11263" xr3:uid="{65B9FF1D-BAD2-46C2-A186-2365CAABAF76}" name="Column11258"/>
    <tableColumn id="11264" xr3:uid="{B01BBF90-3764-45E5-BDA2-7926508EB799}" name="Column11259"/>
    <tableColumn id="11265" xr3:uid="{6BAB07B1-1879-4A8D-8FBC-9ED306AC1798}" name="Column11260"/>
    <tableColumn id="11266" xr3:uid="{F949C84C-4D0C-4620-AAED-4B41101F9251}" name="Column11261"/>
    <tableColumn id="11267" xr3:uid="{19B761FA-3E35-4A1D-A6F6-C9A44B063398}" name="Column11262"/>
    <tableColumn id="11268" xr3:uid="{436557BD-B837-4311-9F4C-D3AC72B37848}" name="Column11263"/>
    <tableColumn id="11269" xr3:uid="{0F33B9BC-C0F1-4EE9-BEB2-69468FE4C313}" name="Column11264"/>
    <tableColumn id="11270" xr3:uid="{EAC372BD-D159-4687-B1F8-01B11A77F349}" name="Column11265"/>
    <tableColumn id="11271" xr3:uid="{1488E8F1-066E-4415-8B55-97974361D719}" name="Column11266"/>
    <tableColumn id="11272" xr3:uid="{038169F6-3092-4C5B-AA55-C392B2F00226}" name="Column11267"/>
    <tableColumn id="11273" xr3:uid="{D88C439E-9810-4780-A7F0-654249C8410E}" name="Column11268"/>
    <tableColumn id="11274" xr3:uid="{4B45FC93-7667-437F-BE5D-74BF65191B1D}" name="Column11269"/>
    <tableColumn id="11275" xr3:uid="{5867B078-FD17-4A17-9D53-EEA99C4DEDC7}" name="Column11270"/>
    <tableColumn id="11276" xr3:uid="{B3041460-F45F-4319-9A1A-45BAB23284E9}" name="Column11271"/>
    <tableColumn id="11277" xr3:uid="{523CFCEA-4E60-4E28-8DA4-4F3597B8EF5B}" name="Column11272"/>
    <tableColumn id="11278" xr3:uid="{2289139B-505F-47AB-8AA0-6A7AAE60FC83}" name="Column11273"/>
    <tableColumn id="11279" xr3:uid="{C184BF44-03F2-41BA-B494-2FF2E7CECF6C}" name="Column11274"/>
    <tableColumn id="11280" xr3:uid="{A2D52BB7-A330-463A-8403-AE600453E5D4}" name="Column11275"/>
    <tableColumn id="11281" xr3:uid="{B1652366-1BDB-47AD-A715-A3F3CD81A36A}" name="Column11276"/>
    <tableColumn id="11282" xr3:uid="{C19ED8D6-15F9-4A34-AB44-4C279D67B6E0}" name="Column11277"/>
    <tableColumn id="11283" xr3:uid="{CB6C4D4F-6276-424E-AE3A-C33A7ECDA448}" name="Column11278"/>
    <tableColumn id="11284" xr3:uid="{34043D9D-0419-4D01-B1E2-4E844FBFC99B}" name="Column11279"/>
    <tableColumn id="11285" xr3:uid="{88B217A9-D875-4591-823B-D40F51AF4757}" name="Column11280"/>
    <tableColumn id="11286" xr3:uid="{D2BABE7D-0441-4B4E-838C-F2FA7AE24395}" name="Column11281"/>
    <tableColumn id="11287" xr3:uid="{BBF4D387-5C0C-43B7-8643-2DFC31079243}" name="Column11282"/>
    <tableColumn id="11288" xr3:uid="{9C27CF9D-6E55-4890-9077-DE16F791EF02}" name="Column11283"/>
    <tableColumn id="11289" xr3:uid="{7D9F4963-1829-4311-A459-6B90F0F1226C}" name="Column11284"/>
    <tableColumn id="11290" xr3:uid="{12250DE5-B585-466F-BD51-000D788EDC57}" name="Column11285"/>
    <tableColumn id="11291" xr3:uid="{62A9BED2-DC83-40EE-8461-858A18038E41}" name="Column11286"/>
    <tableColumn id="11292" xr3:uid="{D9D03FC9-E448-47D0-8B24-65C8B633F5CD}" name="Column11287"/>
    <tableColumn id="11293" xr3:uid="{5ED64E93-8CF6-4D53-A17F-CD7563C92E81}" name="Column11288"/>
    <tableColumn id="11294" xr3:uid="{C796CFD5-BDA1-49CB-9820-7EDA9AC9EFC7}" name="Column11289"/>
    <tableColumn id="11295" xr3:uid="{0956E7C4-2D48-42EB-B69C-C2CC92C0E656}" name="Column11290"/>
    <tableColumn id="11296" xr3:uid="{C92A1D2F-805F-4801-9A88-CD67B5F3521C}" name="Column11291"/>
    <tableColumn id="11297" xr3:uid="{B9FC3D9A-F867-4320-AFB4-BBE9FDB9584F}" name="Column11292"/>
    <tableColumn id="11298" xr3:uid="{B7BE70C4-B24F-4E60-AF94-F9C4BA1C98DB}" name="Column11293"/>
    <tableColumn id="11299" xr3:uid="{83D6DE42-94AE-4913-881B-93C5D9E947AE}" name="Column11294"/>
    <tableColumn id="11300" xr3:uid="{EB80F429-6743-4A66-929D-58828AED60EC}" name="Column11295"/>
    <tableColumn id="11301" xr3:uid="{F081C65E-5CD1-492F-A983-94483DCE4757}" name="Column11296"/>
    <tableColumn id="11302" xr3:uid="{44A5ECDC-D05D-42C9-BE07-78D7D4D632DA}" name="Column11297"/>
    <tableColumn id="11303" xr3:uid="{22DD5614-C425-4BAC-B248-293E6564170B}" name="Column11298"/>
    <tableColumn id="11304" xr3:uid="{9225FDAF-C0D1-4D31-B07F-3F3EE48F19AE}" name="Column11299"/>
    <tableColumn id="11305" xr3:uid="{7B32ED38-D627-465C-8FF5-9BDADA9E2D61}" name="Column11300"/>
    <tableColumn id="11306" xr3:uid="{E23EDD65-36E4-41CC-B8B8-8C15F15990A7}" name="Column11301"/>
    <tableColumn id="11307" xr3:uid="{8CB9CDC4-D035-468E-819A-FA4D998731EB}" name="Column11302"/>
    <tableColumn id="11308" xr3:uid="{C6CEE299-6DEC-4163-AB1B-B0206D6B43E8}" name="Column11303"/>
    <tableColumn id="11309" xr3:uid="{B4DF968D-7C2D-4DFC-B623-1C0A09724F9D}" name="Column11304"/>
    <tableColumn id="11310" xr3:uid="{A306CD4A-7CFB-47B9-8960-B3E6306C88D9}" name="Column11305"/>
    <tableColumn id="11311" xr3:uid="{06CFF539-8469-4320-A322-22B2ED4BE834}" name="Column11306"/>
    <tableColumn id="11312" xr3:uid="{48E4EBA8-C016-4CBA-B035-AD3A6E694294}" name="Column11307"/>
    <tableColumn id="11313" xr3:uid="{D1FA093C-572E-4A71-B962-B12F13EB0415}" name="Column11308"/>
    <tableColumn id="11314" xr3:uid="{2602BEDB-E62B-4E0D-835D-C939704071BE}" name="Column11309"/>
    <tableColumn id="11315" xr3:uid="{09990FCF-E288-4941-975D-3D176D700662}" name="Column11310"/>
    <tableColumn id="11316" xr3:uid="{44DD395D-17B6-4348-BB0E-135ED11B6403}" name="Column11311"/>
    <tableColumn id="11317" xr3:uid="{2F5041B6-7CF6-4E7D-9ACC-3A87B538E869}" name="Column11312"/>
    <tableColumn id="11318" xr3:uid="{8CE3284D-B0C0-48CC-8B79-C2E6D1186D21}" name="Column11313"/>
    <tableColumn id="11319" xr3:uid="{A25AC85C-074D-4E99-B2D6-E79EAD32D04B}" name="Column11314"/>
    <tableColumn id="11320" xr3:uid="{893DEF15-99B4-4618-B9E4-B144F2057B53}" name="Column11315"/>
    <tableColumn id="11321" xr3:uid="{A90C3BEF-B39A-448F-BFC2-EA795EF55E8E}" name="Column11316"/>
    <tableColumn id="11322" xr3:uid="{97A690E1-0244-45F0-8D08-399E68700E88}" name="Column11317"/>
    <tableColumn id="11323" xr3:uid="{3B4BDFA5-C18F-4782-9D9F-CBED2BC3BA1B}" name="Column11318"/>
    <tableColumn id="11324" xr3:uid="{2BCF2D4A-7C59-4609-ADDC-B4B73FF3774A}" name="Column11319"/>
    <tableColumn id="11325" xr3:uid="{A5C7F46A-8B3A-42B3-A98C-1F7F557F29B0}" name="Column11320"/>
    <tableColumn id="11326" xr3:uid="{928F80C7-256B-4EC7-ACF8-E3FFB364026D}" name="Column11321"/>
    <tableColumn id="11327" xr3:uid="{95D76C43-7EBE-4259-B3A7-3204C76FE23F}" name="Column11322"/>
    <tableColumn id="11328" xr3:uid="{0038D2B8-EE00-440E-B501-9099C3A1A92D}" name="Column11323"/>
    <tableColumn id="11329" xr3:uid="{AF934073-FBC5-40F2-B8B3-F34D88271E53}" name="Column11324"/>
    <tableColumn id="11330" xr3:uid="{333EB50A-0BEA-4A9C-8F4C-872CFEFB0BB7}" name="Column11325"/>
    <tableColumn id="11331" xr3:uid="{FF135AF6-AEA7-4F89-9F42-7F8E460820C6}" name="Column11326"/>
    <tableColumn id="11332" xr3:uid="{D9AAE0BB-DD46-4616-B0EF-8B3E594139D1}" name="Column11327"/>
    <tableColumn id="11333" xr3:uid="{F8EED9B4-9F90-4218-AE01-75973BB10FF3}" name="Column11328"/>
    <tableColumn id="11334" xr3:uid="{74B836E1-8DB5-4670-80F2-E2582BB8D087}" name="Column11329"/>
    <tableColumn id="11335" xr3:uid="{2881B9A4-E613-4069-8F77-72BAA8F33993}" name="Column11330"/>
    <tableColumn id="11336" xr3:uid="{9B3D185F-AE49-43B2-B24B-FA0BC4C6AD19}" name="Column11331"/>
    <tableColumn id="11337" xr3:uid="{BED1C6F5-8887-4AAA-B32D-30DFC536E57E}" name="Column11332"/>
    <tableColumn id="11338" xr3:uid="{9F58829A-091D-494C-B2FD-DC20A152DE1A}" name="Column11333"/>
    <tableColumn id="11339" xr3:uid="{77F26D68-E62A-48F0-8328-9A3E5F604ED1}" name="Column11334"/>
    <tableColumn id="11340" xr3:uid="{B5318114-67C1-42A9-B66E-AA2A84795D3B}" name="Column11335"/>
    <tableColumn id="11341" xr3:uid="{117BEC00-40C6-494A-B3F4-20FD2A753005}" name="Column11336"/>
    <tableColumn id="11342" xr3:uid="{D4506900-3B78-4346-AEB4-ED031952E1FB}" name="Column11337"/>
    <tableColumn id="11343" xr3:uid="{972851F7-08FE-451A-8713-03604D139E09}" name="Column11338"/>
    <tableColumn id="11344" xr3:uid="{4015AFDD-35BC-4495-9E85-8E19D62AABE5}" name="Column11339"/>
    <tableColumn id="11345" xr3:uid="{B46CA475-3CFE-43E3-9708-9480ACF2C29E}" name="Column11340"/>
    <tableColumn id="11346" xr3:uid="{85F517B3-B987-4281-A1D3-EAEEFADA7B45}" name="Column11341"/>
    <tableColumn id="11347" xr3:uid="{C6D757E8-FC4F-47D8-818C-187274FBBE99}" name="Column11342"/>
    <tableColumn id="11348" xr3:uid="{36EBD113-1AA6-4A75-8E11-2F48213D6702}" name="Column11343"/>
    <tableColumn id="11349" xr3:uid="{0C95A924-BEAF-4934-968F-BB39424A9E7E}" name="Column11344"/>
    <tableColumn id="11350" xr3:uid="{5346CFCA-B22E-4873-9999-D3D51BCF6FC0}" name="Column11345"/>
    <tableColumn id="11351" xr3:uid="{B14D3391-B291-4F69-B908-13ABE34B198D}" name="Column11346"/>
    <tableColumn id="11352" xr3:uid="{FAEB68E5-142C-47EE-AA25-608A0EAB7108}" name="Column11347"/>
    <tableColumn id="11353" xr3:uid="{F079BD47-A332-486E-B145-787D71CC0384}" name="Column11348"/>
    <tableColumn id="11354" xr3:uid="{68FD089B-BA30-4353-9CB6-BCFEF9C7B47F}" name="Column11349"/>
    <tableColumn id="11355" xr3:uid="{E08244F5-1292-45AE-9EC7-177E10084C59}" name="Column11350"/>
    <tableColumn id="11356" xr3:uid="{5D4A5A73-C052-40C8-86FB-318A49B41F62}" name="Column11351"/>
    <tableColumn id="11357" xr3:uid="{B7E9403E-706F-426F-97BA-15C4777A11BE}" name="Column11352"/>
    <tableColumn id="11358" xr3:uid="{49B2B2F2-6E47-4E49-8F5B-547CB5DC9B0B}" name="Column11353"/>
    <tableColumn id="11359" xr3:uid="{2C251620-A7C5-40A9-A7CE-857810345A24}" name="Column11354"/>
    <tableColumn id="11360" xr3:uid="{8DB351E9-A284-41DE-AE84-2CEC2C265599}" name="Column11355"/>
    <tableColumn id="11361" xr3:uid="{0448DA7A-407C-44EF-B1DB-74AD2576D095}" name="Column11356"/>
    <tableColumn id="11362" xr3:uid="{84180968-68DC-41B4-9E0E-63FDD5F11B04}" name="Column11357"/>
    <tableColumn id="11363" xr3:uid="{76990C92-B64D-4CF6-96AD-3BB5AB819334}" name="Column11358"/>
    <tableColumn id="11364" xr3:uid="{B65076C5-DB49-40C1-99BF-FD8AC1660722}" name="Column11359"/>
    <tableColumn id="11365" xr3:uid="{68555891-91CA-407A-9C3B-2349B701E3F8}" name="Column11360"/>
    <tableColumn id="11366" xr3:uid="{2402B705-960A-4631-A046-2646CB873BAC}" name="Column11361"/>
    <tableColumn id="11367" xr3:uid="{3ADCEF16-5B86-4536-84F9-A073882BF98F}" name="Column11362"/>
    <tableColumn id="11368" xr3:uid="{4A2D0726-8749-41A2-B97A-260DAB177924}" name="Column11363"/>
    <tableColumn id="11369" xr3:uid="{73A886FD-E8A3-46C5-8844-B89C1C807AD1}" name="Column11364"/>
    <tableColumn id="11370" xr3:uid="{52695398-969E-4AD5-9A9C-BCA2C2306CA1}" name="Column11365"/>
    <tableColumn id="11371" xr3:uid="{3C26A2D4-49D8-41AA-87A6-8E244F15559E}" name="Column11366"/>
    <tableColumn id="11372" xr3:uid="{EDD08728-E0CA-45A3-97F6-73A19C9CC707}" name="Column11367"/>
    <tableColumn id="11373" xr3:uid="{B282E16F-3F13-47C0-B086-6873836118FF}" name="Column11368"/>
    <tableColumn id="11374" xr3:uid="{3096E500-52A9-48E6-8DE1-ADB1338A7C08}" name="Column11369"/>
    <tableColumn id="11375" xr3:uid="{A35113F0-EA1D-4AC3-85D9-5445FA49DB52}" name="Column11370"/>
    <tableColumn id="11376" xr3:uid="{B6AB9669-D496-4BF8-BB1D-1EF823AB7501}" name="Column11371"/>
    <tableColumn id="11377" xr3:uid="{27317DD8-B757-42FD-B673-A506EBA8948F}" name="Column11372"/>
    <tableColumn id="11378" xr3:uid="{4F781804-1B61-47EF-A5B4-653B62231FE8}" name="Column11373"/>
    <tableColumn id="11379" xr3:uid="{34097A36-7DA1-48E7-B00F-BBBCFCC5DB95}" name="Column11374"/>
    <tableColumn id="11380" xr3:uid="{D1BEEA92-32C8-4A2E-AF1C-AE6B6AA2F937}" name="Column11375"/>
    <tableColumn id="11381" xr3:uid="{5E4C5D5F-9A3C-4F7C-A0A8-0C2533F5E9DB}" name="Column11376"/>
    <tableColumn id="11382" xr3:uid="{C0653445-6330-425A-8DCE-0515D668BBEC}" name="Column11377"/>
    <tableColumn id="11383" xr3:uid="{230CE870-F371-4231-99DD-16379C6EE59C}" name="Column11378"/>
    <tableColumn id="11384" xr3:uid="{0988D922-C93A-40A8-9B6C-AE9B0149D503}" name="Column11379"/>
    <tableColumn id="11385" xr3:uid="{5AD35487-CEDD-4D46-B378-11FDA7B36018}" name="Column11380"/>
    <tableColumn id="11386" xr3:uid="{6E351731-C777-40B1-87E9-B216427782E2}" name="Column11381"/>
    <tableColumn id="11387" xr3:uid="{615006FD-24AF-4B59-A190-F0109AE56738}" name="Column11382"/>
    <tableColumn id="11388" xr3:uid="{CAC7622F-E78D-4567-BF54-C50A3F52F607}" name="Column11383"/>
    <tableColumn id="11389" xr3:uid="{5FC8F9D2-9805-4334-BD8B-C233E70E8D89}" name="Column11384"/>
    <tableColumn id="11390" xr3:uid="{0E7246DC-081C-4F8B-8C07-0901F8C2B62D}" name="Column11385"/>
    <tableColumn id="11391" xr3:uid="{AC1DC1F2-68DC-4B86-A16C-FFD1CD6222E0}" name="Column11386"/>
    <tableColumn id="11392" xr3:uid="{6567AE0F-DF97-4759-AF86-C7B2CC0645B4}" name="Column11387"/>
    <tableColumn id="11393" xr3:uid="{4EB6888D-D6FF-4E5D-A863-302E54186F96}" name="Column11388"/>
    <tableColumn id="11394" xr3:uid="{9117B374-102E-437D-969B-96743320228C}" name="Column11389"/>
    <tableColumn id="11395" xr3:uid="{4763895F-AAC4-4968-83D3-8B72AA048EA9}" name="Column11390"/>
    <tableColumn id="11396" xr3:uid="{0E240E62-7FB0-40CA-B7D2-D791C96BD376}" name="Column11391"/>
    <tableColumn id="11397" xr3:uid="{4E3DE1D6-608F-4025-8185-D66F6D7B9E35}" name="Column11392"/>
    <tableColumn id="11398" xr3:uid="{C57FE233-3C02-4745-B54D-C980547D1556}" name="Column11393"/>
    <tableColumn id="11399" xr3:uid="{5DBF43FA-1846-4B86-A369-05E671B716FB}" name="Column11394"/>
    <tableColumn id="11400" xr3:uid="{B99CA96B-41BB-4CA8-B6EF-59848187447C}" name="Column11395"/>
    <tableColumn id="11401" xr3:uid="{225D9695-4610-452D-94F9-33E05BF07F6B}" name="Column11396"/>
    <tableColumn id="11402" xr3:uid="{AE7F561B-4754-46B6-BEE4-B74E9289F825}" name="Column11397"/>
    <tableColumn id="11403" xr3:uid="{7DFC87B7-8442-4E24-9D38-EF10F791846D}" name="Column11398"/>
    <tableColumn id="11404" xr3:uid="{14154C6C-12AC-4E8D-9ACC-D6584B0B311C}" name="Column11399"/>
    <tableColumn id="11405" xr3:uid="{A1E59C7B-DB83-492A-B16B-25FD24C6845D}" name="Column11400"/>
    <tableColumn id="11406" xr3:uid="{8D6ADB14-C1DC-4F71-9B80-CE70757643E7}" name="Column11401"/>
    <tableColumn id="11407" xr3:uid="{DAF2F7D1-3B31-43D5-9D0E-AF49BAC683C0}" name="Column11402"/>
    <tableColumn id="11408" xr3:uid="{7F2EE3F3-745F-46EA-B715-8DDE26484DF2}" name="Column11403"/>
    <tableColumn id="11409" xr3:uid="{BE13AF75-9AA7-4C18-A8EC-1D4B41A74EA3}" name="Column11404"/>
    <tableColumn id="11410" xr3:uid="{48717873-45B4-49B8-9A6C-64934ED1DDAA}" name="Column11405"/>
    <tableColumn id="11411" xr3:uid="{3DF92DA7-5748-451A-8366-D85911A45D67}" name="Column11406"/>
    <tableColumn id="11412" xr3:uid="{0284AD1C-7906-4A63-BE23-D1ACB0C7FC10}" name="Column11407"/>
    <tableColumn id="11413" xr3:uid="{C98908A4-7371-4EE9-9095-325B764773D8}" name="Column11408"/>
    <tableColumn id="11414" xr3:uid="{054CE19E-6690-4EC2-9E62-2147ED208937}" name="Column11409"/>
    <tableColumn id="11415" xr3:uid="{D8C89CEB-4FC9-41D7-A546-4F7A2A99A0A6}" name="Column11410"/>
    <tableColumn id="11416" xr3:uid="{7FCC7A00-F616-4234-87D0-902047FE00E4}" name="Column11411"/>
    <tableColumn id="11417" xr3:uid="{2A255C2C-0977-487E-8608-7645AF6C278F}" name="Column11412"/>
    <tableColumn id="11418" xr3:uid="{C4DE1353-9DCE-4050-B63E-3DE600E67EEE}" name="Column11413"/>
    <tableColumn id="11419" xr3:uid="{8FB49172-9ACB-4B7E-A832-7FC20987A57C}" name="Column11414"/>
    <tableColumn id="11420" xr3:uid="{5EF4EAE4-E2ED-4D62-A852-AE891935A399}" name="Column11415"/>
    <tableColumn id="11421" xr3:uid="{2A938FF1-DC8E-4FE1-831F-37C286BA6539}" name="Column11416"/>
    <tableColumn id="11422" xr3:uid="{40DC99A9-D235-4FBD-B847-C52A5E15FC2E}" name="Column11417"/>
    <tableColumn id="11423" xr3:uid="{91792869-69A2-4F15-B5FF-2821E034873F}" name="Column11418"/>
    <tableColumn id="11424" xr3:uid="{3D179C8B-A8B1-4616-9057-D5116C553921}" name="Column11419"/>
    <tableColumn id="11425" xr3:uid="{6D3BAD7C-AAD9-4C03-B08E-0DDBD9DFD54B}" name="Column11420"/>
    <tableColumn id="11426" xr3:uid="{053F2AB0-1DAD-4401-A18D-16BCEAFEBE83}" name="Column11421"/>
    <tableColumn id="11427" xr3:uid="{CD5A5627-4EF9-4A3F-B9E0-F3CA56A79DC5}" name="Column11422"/>
    <tableColumn id="11428" xr3:uid="{56348EFB-4A4C-49C1-91F1-CFB749EEFE12}" name="Column11423"/>
    <tableColumn id="11429" xr3:uid="{5171082D-D416-4B39-93A8-613DD9CEEADB}" name="Column11424"/>
    <tableColumn id="11430" xr3:uid="{7FF71AD8-F142-4875-9156-151E0742E344}" name="Column11425"/>
    <tableColumn id="11431" xr3:uid="{474B9AB3-1907-458F-B43E-0C6623403CF6}" name="Column11426"/>
    <tableColumn id="11432" xr3:uid="{8AB61C57-40E1-4850-984D-647D2357F3A9}" name="Column11427"/>
    <tableColumn id="11433" xr3:uid="{58B88138-248F-4436-BE98-1456747BECD5}" name="Column11428"/>
    <tableColumn id="11434" xr3:uid="{5B97110A-DDCB-4056-AD65-A0D6E96EF01D}" name="Column11429"/>
    <tableColumn id="11435" xr3:uid="{49B020A0-5829-4245-BE05-DBECE3E53E8A}" name="Column11430"/>
    <tableColumn id="11436" xr3:uid="{5362398A-821E-4553-BCCB-245E1461C989}" name="Column11431"/>
    <tableColumn id="11437" xr3:uid="{213E099F-AF13-48F3-97C1-FBB5E67CC89D}" name="Column11432"/>
    <tableColumn id="11438" xr3:uid="{952F0C75-DEC0-4EAA-A039-EB403990CB38}" name="Column11433"/>
    <tableColumn id="11439" xr3:uid="{4D03A660-C014-42DC-BFEA-536D97373EE9}" name="Column11434"/>
    <tableColumn id="11440" xr3:uid="{81ECF08E-6BDB-4A1D-8898-0546934A2414}" name="Column11435"/>
    <tableColumn id="11441" xr3:uid="{BB17D1D8-3B9F-4458-AAB5-2DCD9473F8C7}" name="Column11436"/>
    <tableColumn id="11442" xr3:uid="{2673B444-5126-4AAB-A0A9-0520A99CA8CE}" name="Column11437"/>
    <tableColumn id="11443" xr3:uid="{976921EC-CA86-4B54-B00A-AD3CA13885AB}" name="Column11438"/>
    <tableColumn id="11444" xr3:uid="{5321D67C-C03D-4836-8AFC-FF8A4295A7E4}" name="Column11439"/>
    <tableColumn id="11445" xr3:uid="{B4A5DF39-5A75-43D5-BF69-690D20872167}" name="Column11440"/>
    <tableColumn id="11446" xr3:uid="{B95B9CA0-4180-4B26-9F6A-2D9B816272B5}" name="Column11441"/>
    <tableColumn id="11447" xr3:uid="{3A0DDA87-ED27-44A0-BCE3-010523563995}" name="Column11442"/>
    <tableColumn id="11448" xr3:uid="{22462EA7-B516-4B89-8BD3-42E8D9686E37}" name="Column11443"/>
    <tableColumn id="11449" xr3:uid="{B780A9BF-D77F-4C1A-844D-5C6798B0B018}" name="Column11444"/>
    <tableColumn id="11450" xr3:uid="{14F7356A-D414-4D62-BB7E-4DB04B1E5EC9}" name="Column11445"/>
    <tableColumn id="11451" xr3:uid="{8FEBC835-B77A-4457-ABA1-77DEA88E93B5}" name="Column11446"/>
    <tableColumn id="11452" xr3:uid="{84678351-2ADD-4DBC-843D-630170E7ECD8}" name="Column11447"/>
    <tableColumn id="11453" xr3:uid="{3D56F4A9-04A3-4640-AD32-AC7B339FF7DE}" name="Column11448"/>
    <tableColumn id="11454" xr3:uid="{BCB54107-749C-4424-8DEF-D6F6A63E86ED}" name="Column11449"/>
    <tableColumn id="11455" xr3:uid="{CC2C0FAA-80FF-43E2-B830-2BE8B92354E2}" name="Column11450"/>
    <tableColumn id="11456" xr3:uid="{5EE1A42E-A6D5-4FBF-8ED8-2869ED554A5C}" name="Column11451"/>
    <tableColumn id="11457" xr3:uid="{86DADF60-A3AA-4B0E-A187-129072CC6AA1}" name="Column11452"/>
    <tableColumn id="11458" xr3:uid="{9B7E8ADB-6D44-4C65-B9D3-D5956D3B9680}" name="Column11453"/>
    <tableColumn id="11459" xr3:uid="{B4C20ADD-9CA3-46E7-986A-33D8496AE867}" name="Column11454"/>
    <tableColumn id="11460" xr3:uid="{50BD24FF-E675-4ADE-A910-C2AE9966815D}" name="Column11455"/>
    <tableColumn id="11461" xr3:uid="{8FAA36DF-C372-404E-8DAE-1766599362DD}" name="Column11456"/>
    <tableColumn id="11462" xr3:uid="{A8DA6AA2-BFFD-4796-BA7C-90F64ED1B588}" name="Column11457"/>
    <tableColumn id="11463" xr3:uid="{C9203765-5D26-4562-85A8-0FF33A12433F}" name="Column11458"/>
    <tableColumn id="11464" xr3:uid="{87E3D9E4-9551-4813-BE81-77FC6CF53149}" name="Column11459"/>
    <tableColumn id="11465" xr3:uid="{370F46F5-332B-4AC9-A184-03954154346F}" name="Column11460"/>
    <tableColumn id="11466" xr3:uid="{07667CE9-E42B-4992-B412-9F85D3AB7D81}" name="Column11461"/>
    <tableColumn id="11467" xr3:uid="{85BA5FD4-E05F-4C1C-9C53-300E56C95599}" name="Column11462"/>
    <tableColumn id="11468" xr3:uid="{E9B34F45-6E56-4361-8D9F-E934DDA17F91}" name="Column11463"/>
    <tableColumn id="11469" xr3:uid="{2A333AF9-2EA7-4129-A4FB-5779C323F202}" name="Column11464"/>
    <tableColumn id="11470" xr3:uid="{DD7313E9-F164-45A7-8FFA-2B065D8A293A}" name="Column11465"/>
    <tableColumn id="11471" xr3:uid="{B686DA3B-0C57-4449-AB4A-770BEA6ECD5A}" name="Column11466"/>
    <tableColumn id="11472" xr3:uid="{504E3B9B-6D1A-4F24-9EDE-DB0AD99908C4}" name="Column11467"/>
    <tableColumn id="11473" xr3:uid="{5264E29D-615D-4DBB-A656-76872B5BA812}" name="Column11468"/>
    <tableColumn id="11474" xr3:uid="{DF0B796E-8D0B-4D29-9DE2-6E531A8F7A13}" name="Column11469"/>
    <tableColumn id="11475" xr3:uid="{8D8C3000-EAA7-4B68-BD11-71C6A0FCC03E}" name="Column11470"/>
    <tableColumn id="11476" xr3:uid="{A1F6663A-3557-4DE3-A528-BC94ED09221E}" name="Column11471"/>
    <tableColumn id="11477" xr3:uid="{034AA12A-99BD-411D-AF66-D9B8B674CE4E}" name="Column11472"/>
    <tableColumn id="11478" xr3:uid="{2DA0D775-D160-4224-B296-D29F94B25F08}" name="Column11473"/>
    <tableColumn id="11479" xr3:uid="{4FD196F7-9A22-446A-AEFD-41C9D08FFFCF}" name="Column11474"/>
    <tableColumn id="11480" xr3:uid="{AA9B4C37-CB65-49B4-B054-C6FBEADB2F4F}" name="Column11475"/>
    <tableColumn id="11481" xr3:uid="{B112789E-BE66-4CF4-82E5-7CE63524E027}" name="Column11476"/>
    <tableColumn id="11482" xr3:uid="{2026BB46-B869-43BD-9BAD-6715E0FD6766}" name="Column11477"/>
    <tableColumn id="11483" xr3:uid="{E3755154-759D-4AB3-B1E7-1D90D0FCDD11}" name="Column11478"/>
    <tableColumn id="11484" xr3:uid="{84DE04CE-5035-4CE6-A410-F30C21FED38B}" name="Column11479"/>
    <tableColumn id="11485" xr3:uid="{7D205DCA-5314-4852-8CCD-E87BC44FE675}" name="Column11480"/>
    <tableColumn id="11486" xr3:uid="{D6FC9ADE-78B3-4287-996F-17C0842E28C2}" name="Column11481"/>
    <tableColumn id="11487" xr3:uid="{2A4DB2CE-B501-4EE8-A4B7-44D5599A6D04}" name="Column11482"/>
    <tableColumn id="11488" xr3:uid="{35F7F611-6DFB-43EF-8D29-1DE37587607E}" name="Column11483"/>
    <tableColumn id="11489" xr3:uid="{6AFD803B-40A6-489E-9783-B266C9491596}" name="Column11484"/>
    <tableColumn id="11490" xr3:uid="{3CE48F35-04AD-4FB3-8C96-871AFCF6C022}" name="Column11485"/>
    <tableColumn id="11491" xr3:uid="{508D4116-319C-49F0-96FA-CDCC9C70EBD4}" name="Column11486"/>
    <tableColumn id="11492" xr3:uid="{510D8777-A5A2-4E62-B81E-EF12AEE47F1B}" name="Column11487"/>
    <tableColumn id="11493" xr3:uid="{0DFC6F8D-8D58-4C72-A77A-57793C3956FB}" name="Column11488"/>
    <tableColumn id="11494" xr3:uid="{C2E4EC16-008F-48C1-8A58-86703031F8F6}" name="Column11489"/>
    <tableColumn id="11495" xr3:uid="{E7B5F211-CCF1-4AE3-A3C3-428B5FCAFAE8}" name="Column11490"/>
    <tableColumn id="11496" xr3:uid="{702EA5C3-8C89-4ADE-B0A7-FBD2EED8914C}" name="Column11491"/>
    <tableColumn id="11497" xr3:uid="{47096F3A-D32D-4595-BA4E-8BE24B76F1D5}" name="Column11492"/>
    <tableColumn id="11498" xr3:uid="{FAFB3E5B-D011-410E-A806-58FAFC01B45A}" name="Column11493"/>
    <tableColumn id="11499" xr3:uid="{AF339135-40C7-4599-AC09-48B62F412A25}" name="Column11494"/>
    <tableColumn id="11500" xr3:uid="{9CB755ED-6E14-4F2E-A503-87FDD7258A23}" name="Column11495"/>
    <tableColumn id="11501" xr3:uid="{D38EB5B0-4A3E-42EC-909E-BF8779894BDF}" name="Column11496"/>
    <tableColumn id="11502" xr3:uid="{E8F5754C-38EB-4747-B1E4-29CC4329F2E7}" name="Column11497"/>
    <tableColumn id="11503" xr3:uid="{AD27BE14-637D-4FFD-9711-C9E460FF3F93}" name="Column11498"/>
    <tableColumn id="11504" xr3:uid="{8A0CB42A-0ACE-4464-8E3C-D8E8079F80B9}" name="Column11499"/>
    <tableColumn id="11505" xr3:uid="{E799711D-F21A-4E95-AB17-D8644948751B}" name="Column11500"/>
    <tableColumn id="11506" xr3:uid="{CEBB4752-F35A-46D9-9583-4CBB473C07C9}" name="Column11501"/>
    <tableColumn id="11507" xr3:uid="{37095FCE-1FA6-4240-8690-D5DCEE47B648}" name="Column11502"/>
    <tableColumn id="11508" xr3:uid="{B2F1333F-19D1-479F-A6C8-FF7E645D30EF}" name="Column11503"/>
    <tableColumn id="11509" xr3:uid="{F911F9D2-98C9-4BE4-BC8E-822B91DE4392}" name="Column11504"/>
    <tableColumn id="11510" xr3:uid="{3312F11E-A654-4960-ACB4-F1DDD8F9681C}" name="Column11505"/>
    <tableColumn id="11511" xr3:uid="{97D2BF12-A3A8-47DE-813B-8F160058156D}" name="Column11506"/>
    <tableColumn id="11512" xr3:uid="{EF168C6E-3A24-4FB2-BA1E-0E1ACCF6ED4A}" name="Column11507"/>
    <tableColumn id="11513" xr3:uid="{45E900CD-B895-4B3F-B7EF-66D135B4138F}" name="Column11508"/>
    <tableColumn id="11514" xr3:uid="{3C54A384-BB6C-46C9-9814-B2713D8E7C3E}" name="Column11509"/>
    <tableColumn id="11515" xr3:uid="{1FB67036-9F26-46C6-B5E2-8EECFEB8975F}" name="Column11510"/>
    <tableColumn id="11516" xr3:uid="{C72A3830-9320-49D8-9DCA-956B5341C8B8}" name="Column11511"/>
    <tableColumn id="11517" xr3:uid="{375C072E-F083-4BCE-9852-A467E96C431D}" name="Column11512"/>
    <tableColumn id="11518" xr3:uid="{DE2F8BAB-028D-4045-8512-760FCFE4E800}" name="Column11513"/>
    <tableColumn id="11519" xr3:uid="{420FDD07-16D8-4073-8603-5CE09C8BA003}" name="Column11514"/>
    <tableColumn id="11520" xr3:uid="{E41A196C-9E06-4347-89EF-DC3F5EC8D06B}" name="Column11515"/>
    <tableColumn id="11521" xr3:uid="{24A99C1F-3C0A-4287-981B-C8BA1E5B09E0}" name="Column11516"/>
    <tableColumn id="11522" xr3:uid="{6513AB54-7180-4DA8-8C26-3FF504AB50A3}" name="Column11517"/>
    <tableColumn id="11523" xr3:uid="{B4BFF3FB-DDCD-4F91-AE07-EEBA12DC4D9B}" name="Column11518"/>
    <tableColumn id="11524" xr3:uid="{A316FBBB-7B2D-43E2-9151-6E67B858A205}" name="Column11519"/>
    <tableColumn id="11525" xr3:uid="{857F5721-AFE7-4ACA-A831-1E0F0A3F6E9D}" name="Column11520"/>
    <tableColumn id="11526" xr3:uid="{56B49688-11EF-4FB5-ABB1-1B9139EE9E72}" name="Column11521"/>
    <tableColumn id="11527" xr3:uid="{D184730F-4C2A-4ECE-B44D-D0020405C818}" name="Column11522"/>
    <tableColumn id="11528" xr3:uid="{82E1C74F-56E7-43EF-A273-42B76BC2E65D}" name="Column11523"/>
    <tableColumn id="11529" xr3:uid="{EB9F3A0A-98BD-4EEC-9CD1-052B292870E5}" name="Column11524"/>
    <tableColumn id="11530" xr3:uid="{F905BF6F-416A-4E35-A9C6-1BB32B7FE0B0}" name="Column11525"/>
    <tableColumn id="11531" xr3:uid="{0C02D836-B925-45C9-952E-FFB96E1E792B}" name="Column11526"/>
    <tableColumn id="11532" xr3:uid="{DB7B25CC-8A9C-4A33-A6A6-1B2BDDF5716C}" name="Column11527"/>
    <tableColumn id="11533" xr3:uid="{66B5F365-6ADC-460B-AC91-9D5B29DBA012}" name="Column11528"/>
    <tableColumn id="11534" xr3:uid="{06E40215-CDEF-4665-A291-D262BFD1D761}" name="Column11529"/>
    <tableColumn id="11535" xr3:uid="{19955FC5-5350-4A2D-9FC8-C24F25F2CE08}" name="Column11530"/>
    <tableColumn id="11536" xr3:uid="{D6428A4D-CD37-4D1B-9003-2B06D0DEA438}" name="Column11531"/>
    <tableColumn id="11537" xr3:uid="{EDABBAD9-AEA9-427F-B15F-614204EABAD9}" name="Column11532"/>
    <tableColumn id="11538" xr3:uid="{75169F59-B114-4AFA-B9F4-530E117D3FB4}" name="Column11533"/>
    <tableColumn id="11539" xr3:uid="{0AA78DA5-5A1D-4032-9344-ED5F501197D0}" name="Column11534"/>
    <tableColumn id="11540" xr3:uid="{28362763-4D4D-428C-84C9-109CDFCB40DA}" name="Column11535"/>
    <tableColumn id="11541" xr3:uid="{9A1FC1F4-CCDE-4FE3-B68C-C3F2A1EE4EC5}" name="Column11536"/>
    <tableColumn id="11542" xr3:uid="{636AAABB-77F5-4AFA-9AC9-906CE310CB9C}" name="Column11537"/>
    <tableColumn id="11543" xr3:uid="{76E3E00D-62C4-4185-81F7-9D226DA47361}" name="Column11538"/>
    <tableColumn id="11544" xr3:uid="{9FDF469C-A70E-4137-A60B-AF85A1A221D8}" name="Column11539"/>
    <tableColumn id="11545" xr3:uid="{553565EF-61CA-4B4C-8ABC-FB1985536707}" name="Column11540"/>
    <tableColumn id="11546" xr3:uid="{3F81B179-624D-440A-8C39-60628C3C0DB5}" name="Column11541"/>
    <tableColumn id="11547" xr3:uid="{E22A6F9B-84D3-4D37-B3DD-F7F8534B9784}" name="Column11542"/>
    <tableColumn id="11548" xr3:uid="{212C0778-18FD-44B0-BB6D-DE4275FDCB30}" name="Column11543"/>
    <tableColumn id="11549" xr3:uid="{E0ABEFF5-B016-4190-B37A-6CC78A52BD8F}" name="Column11544"/>
    <tableColumn id="11550" xr3:uid="{3FF5D09D-71E0-4606-A4CB-73C9A1006200}" name="Column11545"/>
    <tableColumn id="11551" xr3:uid="{56151827-E044-496C-998A-7669CD4587BC}" name="Column11546"/>
    <tableColumn id="11552" xr3:uid="{3A3D87A8-DB52-4FA6-9FC0-21B9096456C1}" name="Column11547"/>
    <tableColumn id="11553" xr3:uid="{E33050BC-80D8-422E-83E6-D9BB9F397697}" name="Column11548"/>
    <tableColumn id="11554" xr3:uid="{45FFA65F-CA8A-4768-AEF4-83B86F46CA9F}" name="Column11549"/>
    <tableColumn id="11555" xr3:uid="{91658B1E-918D-4097-8946-9FDB4249E1BE}" name="Column11550"/>
    <tableColumn id="11556" xr3:uid="{431DB84A-A4F7-4B15-A9FD-D720530F482B}" name="Column11551"/>
    <tableColumn id="11557" xr3:uid="{17EF6645-A671-4F95-B97A-AE2ACC3AADFA}" name="Column11552"/>
    <tableColumn id="11558" xr3:uid="{7F17C0CE-3192-4D85-82F8-0BB482DA2066}" name="Column11553"/>
    <tableColumn id="11559" xr3:uid="{4FE26D06-961E-472E-87AF-C5ACCC8D8329}" name="Column11554"/>
    <tableColumn id="11560" xr3:uid="{CA247080-E2AA-4876-9A90-6EDF5D44293C}" name="Column11555"/>
    <tableColumn id="11561" xr3:uid="{843BFB5C-4AC8-412A-A05A-83579F877631}" name="Column11556"/>
    <tableColumn id="11562" xr3:uid="{00136E2E-86F3-4877-B06F-567387827CD7}" name="Column11557"/>
    <tableColumn id="11563" xr3:uid="{2D44A601-8847-4B46-B993-18D7F8A06A10}" name="Column11558"/>
    <tableColumn id="11564" xr3:uid="{2EA55C52-C2F6-4631-B037-EDAA3E3FD5FD}" name="Column11559"/>
    <tableColumn id="11565" xr3:uid="{5790A78E-AE4D-47C8-B995-983FDE6C97AC}" name="Column11560"/>
    <tableColumn id="11566" xr3:uid="{74E7F9C5-4EF3-407B-954E-67F68C8324C9}" name="Column11561"/>
    <tableColumn id="11567" xr3:uid="{769E5402-8B53-4357-AB69-0B437B1F88E7}" name="Column11562"/>
    <tableColumn id="11568" xr3:uid="{301126B7-1535-4136-9E4F-CB8FABD81B3D}" name="Column11563"/>
    <tableColumn id="11569" xr3:uid="{64C51BE4-6812-4F81-BCBC-0F598E341203}" name="Column11564"/>
    <tableColumn id="11570" xr3:uid="{AD8B15A7-0283-4DA5-8CBB-CA0EC391EA64}" name="Column11565"/>
    <tableColumn id="11571" xr3:uid="{25ACDDEC-F03A-4F72-9372-5E87B0E2CEF5}" name="Column11566"/>
    <tableColumn id="11572" xr3:uid="{1601BF91-4236-45E5-9B75-0C7AAAF687B8}" name="Column11567"/>
    <tableColumn id="11573" xr3:uid="{75F99A30-5731-4F9C-800F-00CAE091D698}" name="Column11568"/>
    <tableColumn id="11574" xr3:uid="{146193A2-F5BE-4CC5-8D8E-F8199E1F478A}" name="Column11569"/>
    <tableColumn id="11575" xr3:uid="{F8058CC2-7E77-4F7F-B778-9B3FBB474168}" name="Column11570"/>
    <tableColumn id="11576" xr3:uid="{816B3494-963F-49A4-8CC9-DBF5007B6961}" name="Column11571"/>
    <tableColumn id="11577" xr3:uid="{E42BB0BC-CD77-4EAD-871E-7B73692CD967}" name="Column11572"/>
    <tableColumn id="11578" xr3:uid="{D8943FAA-BAE2-447C-9C47-ECD5485BC2DE}" name="Column11573"/>
    <tableColumn id="11579" xr3:uid="{3EEA268D-AA97-4280-8CE2-F7CDE57ECC5E}" name="Column11574"/>
    <tableColumn id="11580" xr3:uid="{495ED3A9-14A3-4724-A4FE-FC9098065604}" name="Column11575"/>
    <tableColumn id="11581" xr3:uid="{01FBB04E-3332-4B9E-A931-28D748AAF083}" name="Column11576"/>
    <tableColumn id="11582" xr3:uid="{F386E9FB-5E61-46C5-857D-2F5FE87D37E1}" name="Column11577"/>
    <tableColumn id="11583" xr3:uid="{F20E2DCD-851F-4795-A2C8-4C7D900B72A6}" name="Column11578"/>
    <tableColumn id="11584" xr3:uid="{78D65042-C9C8-4C0C-93D5-3AC79CC1FCFE}" name="Column11579"/>
    <tableColumn id="11585" xr3:uid="{7E7EF8F5-2942-43A4-9B36-A7D397E9FD40}" name="Column11580"/>
    <tableColumn id="11586" xr3:uid="{D8D366DE-473F-473F-AAF9-98263D40761F}" name="Column11581"/>
    <tableColumn id="11587" xr3:uid="{694BE099-8B0D-4A55-91BC-8AB5ADCCD87D}" name="Column11582"/>
    <tableColumn id="11588" xr3:uid="{5174992A-29F5-4A05-A3E0-F91344FC6D19}" name="Column11583"/>
    <tableColumn id="11589" xr3:uid="{C9CD4C61-55F3-4412-8162-57393D122D52}" name="Column11584"/>
    <tableColumn id="11590" xr3:uid="{2935C00C-B1A4-464B-9D67-4B1106F9AA38}" name="Column11585"/>
    <tableColumn id="11591" xr3:uid="{C5EF2E67-EACD-4F8A-8D51-00EF66E4ABCE}" name="Column11586"/>
    <tableColumn id="11592" xr3:uid="{C6A8DDD5-E3B0-4664-A870-6EA57CB0EFCC}" name="Column11587"/>
    <tableColumn id="11593" xr3:uid="{7D4BEDAD-891C-4A48-9876-DEA431C73C30}" name="Column11588"/>
    <tableColumn id="11594" xr3:uid="{23A0151A-313E-4079-A13E-A47CF08568DC}" name="Column11589"/>
    <tableColumn id="11595" xr3:uid="{CBC7530B-4804-41C1-B7DB-F8CCCCF54264}" name="Column11590"/>
    <tableColumn id="11596" xr3:uid="{5FEB9770-F8F6-4199-AC55-54243BDE3977}" name="Column11591"/>
    <tableColumn id="11597" xr3:uid="{4B80684B-170F-4205-999E-204211B9C592}" name="Column11592"/>
    <tableColumn id="11598" xr3:uid="{018029AD-D5D9-441B-A276-96340D0EAA15}" name="Column11593"/>
    <tableColumn id="11599" xr3:uid="{EC9949E7-4D3E-4ECF-B8C8-CF500DE4E670}" name="Column11594"/>
    <tableColumn id="11600" xr3:uid="{5B634A27-A991-4BC5-9597-9763DEF62332}" name="Column11595"/>
    <tableColumn id="11601" xr3:uid="{A4415A82-6C92-419C-836D-2579F8CC3FF5}" name="Column11596"/>
    <tableColumn id="11602" xr3:uid="{A96691B9-C674-4DFA-ADB0-D44A522DCB22}" name="Column11597"/>
    <tableColumn id="11603" xr3:uid="{1847D9A4-2B8E-4AB9-976E-A23E467F9572}" name="Column11598"/>
    <tableColumn id="11604" xr3:uid="{5053105D-08E3-4727-9AF9-AEB8D081ECD4}" name="Column11599"/>
    <tableColumn id="11605" xr3:uid="{1B165919-75E3-42DC-AF65-198362B91173}" name="Column11600"/>
    <tableColumn id="11606" xr3:uid="{30B79839-CE4D-49DE-A183-CFF0526519F8}" name="Column11601"/>
    <tableColumn id="11607" xr3:uid="{CFC9AE89-7F95-42F4-847C-AF8D41B6C8A4}" name="Column11602"/>
    <tableColumn id="11608" xr3:uid="{BB8AC91A-DFA5-43AD-9BC1-749EB3860BC9}" name="Column11603"/>
    <tableColumn id="11609" xr3:uid="{89978982-8027-4199-98D3-0D545DEA494F}" name="Column11604"/>
    <tableColumn id="11610" xr3:uid="{AADA01E0-023C-41AB-A151-A6103803428D}" name="Column11605"/>
    <tableColumn id="11611" xr3:uid="{67895753-E855-41B7-AD89-309E4EFCC2C9}" name="Column11606"/>
    <tableColumn id="11612" xr3:uid="{AE059EFE-87B7-4E93-8663-964E6C8DC903}" name="Column11607"/>
    <tableColumn id="11613" xr3:uid="{D07B0FCA-8602-463E-99F3-59134ED12725}" name="Column11608"/>
    <tableColumn id="11614" xr3:uid="{53DF6B62-C897-485A-95B9-4BF27A3F782B}" name="Column11609"/>
    <tableColumn id="11615" xr3:uid="{05547CCA-5DFA-44F8-93FE-DF6C784E73F6}" name="Column11610"/>
    <tableColumn id="11616" xr3:uid="{ACD770A8-997B-4DB9-9C11-D9A763F7C84E}" name="Column11611"/>
    <tableColumn id="11617" xr3:uid="{DF67EEDF-8A41-4ED1-95F8-FCB7FE931A16}" name="Column11612"/>
    <tableColumn id="11618" xr3:uid="{9CA71511-1431-43FD-9378-190FE6069CD2}" name="Column11613"/>
    <tableColumn id="11619" xr3:uid="{2B23971C-20B8-4183-97E7-44F2E230F117}" name="Column11614"/>
    <tableColumn id="11620" xr3:uid="{149D56DA-2C43-4239-991A-CD598A7EE057}" name="Column11615"/>
    <tableColumn id="11621" xr3:uid="{79DBDE1C-E236-4EE6-8741-A10897EDD0D3}" name="Column11616"/>
    <tableColumn id="11622" xr3:uid="{8AD94C2E-8018-4376-8F94-C6A953523024}" name="Column11617"/>
    <tableColumn id="11623" xr3:uid="{54C9023A-3E9B-4094-8F80-71E3957CB5D1}" name="Column11618"/>
    <tableColumn id="11624" xr3:uid="{B9FCBA2E-C2B6-486B-8414-3FFCBA9ACDD8}" name="Column11619"/>
    <tableColumn id="11625" xr3:uid="{1DEC92C4-A99A-4567-AF14-F1B30FAB1501}" name="Column11620"/>
    <tableColumn id="11626" xr3:uid="{D42B9BD2-6190-4A55-92C1-2E12DEBE90D9}" name="Column11621"/>
    <tableColumn id="11627" xr3:uid="{8B847617-5511-4CB8-AD9C-0B79FC9C44E1}" name="Column11622"/>
    <tableColumn id="11628" xr3:uid="{7D1AAABB-D628-4BB5-9A21-498B7EA8373B}" name="Column11623"/>
    <tableColumn id="11629" xr3:uid="{5EEE9AF8-D09B-4EEE-B0D1-AD9894B0E1B7}" name="Column11624"/>
    <tableColumn id="11630" xr3:uid="{A850FA23-A3DF-41C8-B364-32A67B28C9E8}" name="Column11625"/>
    <tableColumn id="11631" xr3:uid="{A39E498E-53FD-4B47-88C7-DBD3642CB944}" name="Column11626"/>
    <tableColumn id="11632" xr3:uid="{9AE12B56-3CB0-43D0-B0CA-3E228CC333AC}" name="Column11627"/>
    <tableColumn id="11633" xr3:uid="{C2B24E9A-0D31-4DFB-8029-861EF16B2BE2}" name="Column11628"/>
    <tableColumn id="11634" xr3:uid="{13BEE042-46F9-42CE-BC48-5BE900DE5E98}" name="Column11629"/>
    <tableColumn id="11635" xr3:uid="{43890CA9-B0B8-47E5-9DA0-99DE0E40FCDA}" name="Column11630"/>
    <tableColumn id="11636" xr3:uid="{451FE8A9-3E2F-42DF-A156-B6B402CDE76C}" name="Column11631"/>
    <tableColumn id="11637" xr3:uid="{C1C9B3F9-CDA7-409C-946E-D38AF10EF279}" name="Column11632"/>
    <tableColumn id="11638" xr3:uid="{1EBB3466-A130-475B-B9F3-5D2D180B1A07}" name="Column11633"/>
    <tableColumn id="11639" xr3:uid="{BCA26330-CA50-41CC-B462-B585DCB93EA2}" name="Column11634"/>
    <tableColumn id="11640" xr3:uid="{30B02656-A83F-4A6F-AF7B-E28F00BB409E}" name="Column11635"/>
    <tableColumn id="11641" xr3:uid="{6D420474-B0A2-49D7-9072-34A2831C0909}" name="Column11636"/>
    <tableColumn id="11642" xr3:uid="{11A7EA82-038E-4F92-B35A-1A13185E4992}" name="Column11637"/>
    <tableColumn id="11643" xr3:uid="{743D3FCB-8600-4D7A-A547-213F7517E85C}" name="Column11638"/>
    <tableColumn id="11644" xr3:uid="{1781DBB9-EA19-4CF4-A401-2E5DA6BF40EE}" name="Column11639"/>
    <tableColumn id="11645" xr3:uid="{7AA206DF-E46E-49AF-AB5C-B591136DCD8C}" name="Column11640"/>
    <tableColumn id="11646" xr3:uid="{C5690296-5167-48FB-BB6F-C8DF4F333C57}" name="Column11641"/>
    <tableColumn id="11647" xr3:uid="{CD520993-634C-49D2-BC39-C7862C31255E}" name="Column11642"/>
    <tableColumn id="11648" xr3:uid="{249CD989-EF9A-43DE-826D-962D87C17925}" name="Column11643"/>
    <tableColumn id="11649" xr3:uid="{3F264803-A77F-4331-AB80-EB88AB9A9C38}" name="Column11644"/>
    <tableColumn id="11650" xr3:uid="{E44682BA-CFDC-41CB-94EC-3EA642DB7640}" name="Column11645"/>
    <tableColumn id="11651" xr3:uid="{E127FE0F-248D-42FC-BFF6-830E1449D6A5}" name="Column11646"/>
    <tableColumn id="11652" xr3:uid="{5ABBDAD7-B73C-4E90-A360-8A7A9300A6ED}" name="Column11647"/>
    <tableColumn id="11653" xr3:uid="{E35474B4-4B28-4396-80C9-3A896DC7BEDC}" name="Column11648"/>
    <tableColumn id="11654" xr3:uid="{38D4ACC6-4290-47C6-BC14-D97F0E323E45}" name="Column11649"/>
    <tableColumn id="11655" xr3:uid="{9867A82B-2DEA-46D9-B9D8-04E60EAB8488}" name="Column11650"/>
    <tableColumn id="11656" xr3:uid="{D6613984-A331-4531-AC3E-A4FA5BDF28D1}" name="Column11651"/>
    <tableColumn id="11657" xr3:uid="{FF470F33-2CA6-4CA7-A728-30887F54E7AC}" name="Column11652"/>
    <tableColumn id="11658" xr3:uid="{F71E6AB5-FE96-47CE-B6A7-98B08CCC72DD}" name="Column11653"/>
    <tableColumn id="11659" xr3:uid="{A303A974-6293-426B-A74A-F39C27B42035}" name="Column11654"/>
    <tableColumn id="11660" xr3:uid="{9F79E368-2B76-4F1C-AE3B-C92B996B1D36}" name="Column11655"/>
    <tableColumn id="11661" xr3:uid="{5B5F36F1-B637-433F-A19F-D4E3A7415892}" name="Column11656"/>
    <tableColumn id="11662" xr3:uid="{40536A22-CF93-48C4-B6CE-A47D5878ECD8}" name="Column11657"/>
    <tableColumn id="11663" xr3:uid="{56687919-4A3F-48D9-B23C-2850B165D49E}" name="Column11658"/>
    <tableColumn id="11664" xr3:uid="{F78CC0A6-4A04-46CB-9177-3A18A5281F1D}" name="Column11659"/>
    <tableColumn id="11665" xr3:uid="{0D3BFA8F-7092-4A7E-96E3-4F00D443FEDB}" name="Column11660"/>
    <tableColumn id="11666" xr3:uid="{F461F001-AA4F-4725-A2F5-C9FCDA9DFC5B}" name="Column11661"/>
    <tableColumn id="11667" xr3:uid="{EE6F0E0D-A751-42AC-B477-2074EFFA3D5E}" name="Column11662"/>
    <tableColumn id="11668" xr3:uid="{F2EF4509-C8C0-4C57-9FAA-2699F621CAA7}" name="Column11663"/>
    <tableColumn id="11669" xr3:uid="{1607F44D-D7AF-4CBB-BDF2-6EC63387863C}" name="Column11664"/>
    <tableColumn id="11670" xr3:uid="{4AC7E22C-2305-4EC0-98FB-63D4990C6867}" name="Column11665"/>
    <tableColumn id="11671" xr3:uid="{ADED6A5E-B91A-4F57-87CB-B68FE7D7674A}" name="Column11666"/>
    <tableColumn id="11672" xr3:uid="{9A0904E1-E199-4C78-B5DF-3293B6A2499D}" name="Column11667"/>
    <tableColumn id="11673" xr3:uid="{1894383D-EC51-4FB9-8BCF-3D4EE4E27E63}" name="Column11668"/>
    <tableColumn id="11674" xr3:uid="{EF6497EF-B97E-4D5D-AFBD-2A4AF80DE266}" name="Column11669"/>
    <tableColumn id="11675" xr3:uid="{4BBF1417-2CC6-4B7E-ABEC-B9E642D0F709}" name="Column11670"/>
    <tableColumn id="11676" xr3:uid="{039D028B-9C4D-4FE5-A631-4467984D2A29}" name="Column11671"/>
    <tableColumn id="11677" xr3:uid="{74519E70-2CE5-4809-B677-FF352A064C44}" name="Column11672"/>
    <tableColumn id="11678" xr3:uid="{98B66429-8687-45B5-ABC3-B8DBEE3CB845}" name="Column11673"/>
    <tableColumn id="11679" xr3:uid="{244EFD8C-4995-4F56-94CA-D9C8E5016135}" name="Column11674"/>
    <tableColumn id="11680" xr3:uid="{9CDE63FC-38C9-408E-8126-9BAC489B8B18}" name="Column11675"/>
    <tableColumn id="11681" xr3:uid="{FF2EBD63-A2C9-4724-8B82-13AE10FA6EA7}" name="Column11676"/>
    <tableColumn id="11682" xr3:uid="{98690B2E-6DEA-49C2-AE0E-3B74B2AAE9AD}" name="Column11677"/>
    <tableColumn id="11683" xr3:uid="{1AA85297-18CD-42DC-BC7F-846F8BD388B8}" name="Column11678"/>
    <tableColumn id="11684" xr3:uid="{F9BDE6C6-5986-4BC2-8A4D-DC174441B803}" name="Column11679"/>
    <tableColumn id="11685" xr3:uid="{60414DCC-B7F2-490A-A422-1DB091A5E65E}" name="Column11680"/>
    <tableColumn id="11686" xr3:uid="{E34A5FCA-5242-471A-9AE2-B2CACAA7CDF1}" name="Column11681"/>
    <tableColumn id="11687" xr3:uid="{728D081D-9DB4-474E-B244-DBCDD1FCB0E4}" name="Column11682"/>
    <tableColumn id="11688" xr3:uid="{C15FEEEF-4653-4B33-BF91-9EF8B4C26489}" name="Column11683"/>
    <tableColumn id="11689" xr3:uid="{8FEC8C9F-43D8-4F7C-A403-DC629C038538}" name="Column11684"/>
    <tableColumn id="11690" xr3:uid="{6EF8C687-6058-4E8E-A7C9-2B1B11ACC78F}" name="Column11685"/>
    <tableColumn id="11691" xr3:uid="{DFBB3563-EB17-4F02-AEBA-F58CDC314BE5}" name="Column11686"/>
    <tableColumn id="11692" xr3:uid="{FD8904FE-C8B8-4AD9-95D6-A1ECE05198D4}" name="Column11687"/>
    <tableColumn id="11693" xr3:uid="{4FCA6018-89AB-46B8-AFF1-C70AA80DE31B}" name="Column11688"/>
    <tableColumn id="11694" xr3:uid="{1CC4BCE2-65DF-452E-98A1-493B8636866F}" name="Column11689"/>
    <tableColumn id="11695" xr3:uid="{57A667CC-FADC-4C49-8D7E-F8129B7998AE}" name="Column11690"/>
    <tableColumn id="11696" xr3:uid="{A3602F39-16F9-44F9-8778-C33F0AE4C5D2}" name="Column11691"/>
    <tableColumn id="11697" xr3:uid="{0EBC7635-C612-42E2-B0EB-D39B0DA9D743}" name="Column11692"/>
    <tableColumn id="11698" xr3:uid="{7D7E877F-E6EE-401D-97C8-671882ADB9FB}" name="Column11693"/>
    <tableColumn id="11699" xr3:uid="{427A5065-438E-400B-8F54-F881E42D946B}" name="Column11694"/>
    <tableColumn id="11700" xr3:uid="{8D1F3F88-96A2-4475-804F-2372E1C71805}" name="Column11695"/>
    <tableColumn id="11701" xr3:uid="{A8B5D455-8C2E-42F5-93EA-E60827C2677B}" name="Column11696"/>
    <tableColumn id="11702" xr3:uid="{8F399DB2-1DB0-4EBB-9710-12E65A087D35}" name="Column11697"/>
    <tableColumn id="11703" xr3:uid="{162CB035-8F6C-4DD3-8819-6869D91ACD77}" name="Column11698"/>
    <tableColumn id="11704" xr3:uid="{8B319E62-936E-4C62-8B55-879741877050}" name="Column11699"/>
    <tableColumn id="11705" xr3:uid="{B19F0463-29E7-4DD6-BB02-638CF3431231}" name="Column11700"/>
    <tableColumn id="11706" xr3:uid="{ABC091FB-D4DB-4965-BDCA-14A64005F2C3}" name="Column11701"/>
    <tableColumn id="11707" xr3:uid="{856F858C-6C87-4AA8-BDB6-1659636FACDB}" name="Column11702"/>
    <tableColumn id="11708" xr3:uid="{0F1C3137-C21E-418D-8927-0EC13446887B}" name="Column11703"/>
    <tableColumn id="11709" xr3:uid="{51C45E2F-3F6C-4526-B3C3-25AF7E0D5296}" name="Column11704"/>
    <tableColumn id="11710" xr3:uid="{4C878D9A-A238-4075-B783-88DD156035A5}" name="Column11705"/>
    <tableColumn id="11711" xr3:uid="{84409622-4779-4C28-8F47-F2A4F196F777}" name="Column11706"/>
    <tableColumn id="11712" xr3:uid="{287A7D50-93DF-4446-8378-0E765B82217C}" name="Column11707"/>
    <tableColumn id="11713" xr3:uid="{55B1BE64-5724-430A-8501-34E3DD9D4080}" name="Column11708"/>
    <tableColumn id="11714" xr3:uid="{FD3CFB5F-B006-4276-922F-4D0CD3BF742D}" name="Column11709"/>
    <tableColumn id="11715" xr3:uid="{FA7AC2F3-E61B-46D4-B038-266E0B58A09C}" name="Column11710"/>
    <tableColumn id="11716" xr3:uid="{AF052261-D38C-4C49-AD1D-17EDD7D1D3AA}" name="Column11711"/>
    <tableColumn id="11717" xr3:uid="{6972A04A-9783-4DA0-AD42-098A55957841}" name="Column11712"/>
    <tableColumn id="11718" xr3:uid="{E9743BAD-6DC8-41F2-B07F-802CFF01F798}" name="Column11713"/>
    <tableColumn id="11719" xr3:uid="{6A07997C-4866-45EF-BE6A-1507689294BF}" name="Column11714"/>
    <tableColumn id="11720" xr3:uid="{09DAE230-EA8C-45DE-B6F1-23E3F36577CE}" name="Column11715"/>
    <tableColumn id="11721" xr3:uid="{03028ACB-F650-4A35-8B47-B3B38A392374}" name="Column11716"/>
    <tableColumn id="11722" xr3:uid="{8B6126BA-CD8A-46EE-B61D-9A8936480442}" name="Column11717"/>
    <tableColumn id="11723" xr3:uid="{C9A13F9A-45B7-4D00-9E33-FC1C37851E34}" name="Column11718"/>
    <tableColumn id="11724" xr3:uid="{9B7CF57D-94D3-4C08-9ECC-D1F2FA02FF29}" name="Column11719"/>
    <tableColumn id="11725" xr3:uid="{69AF591B-76F2-4CE2-8A24-DC00BD52E234}" name="Column11720"/>
    <tableColumn id="11726" xr3:uid="{9888CA50-F1C8-4342-86E1-BA91387885A3}" name="Column11721"/>
    <tableColumn id="11727" xr3:uid="{D3EB07DC-BBEA-4DDE-AB12-12CF25B80526}" name="Column11722"/>
    <tableColumn id="11728" xr3:uid="{B4372726-75ED-40BE-93FB-1A17A2C64129}" name="Column11723"/>
    <tableColumn id="11729" xr3:uid="{B6E7AC1D-9115-4E0C-8825-18B7A6F78935}" name="Column11724"/>
    <tableColumn id="11730" xr3:uid="{BC4ECBF8-5ED9-4AB9-9921-BB17BC124A04}" name="Column11725"/>
    <tableColumn id="11731" xr3:uid="{DCBACA2F-B78B-4088-8557-47C6CB914CC6}" name="Column11726"/>
    <tableColumn id="11732" xr3:uid="{87BF526B-C77A-4330-958F-DEB7C5C1847B}" name="Column11727"/>
    <tableColumn id="11733" xr3:uid="{1F77CC8E-63BA-481B-A521-5470FF07964F}" name="Column11728"/>
    <tableColumn id="11734" xr3:uid="{18FE405E-AEB7-441B-820C-C7A91EB27ADC}" name="Column11729"/>
    <tableColumn id="11735" xr3:uid="{90A44358-F07C-494F-9CF9-22490BDAC324}" name="Column11730"/>
    <tableColumn id="11736" xr3:uid="{7BB9B354-076D-42D4-A079-BA8E1AFE65B6}" name="Column11731"/>
    <tableColumn id="11737" xr3:uid="{28BAAB06-A38D-45F4-A329-65F235BB9965}" name="Column11732"/>
    <tableColumn id="11738" xr3:uid="{D7AADC23-8607-4AE5-BDCE-82F95C8E4237}" name="Column11733"/>
    <tableColumn id="11739" xr3:uid="{37234298-3184-4BC0-9BC4-ECDA8E08A76C}" name="Column11734"/>
    <tableColumn id="11740" xr3:uid="{7E374663-D1F2-4876-8CB4-75E2752F9C75}" name="Column11735"/>
    <tableColumn id="11741" xr3:uid="{82D0FC56-DE5F-441C-AA0D-576E60B91F49}" name="Column11736"/>
    <tableColumn id="11742" xr3:uid="{B7AA496B-23FC-402C-8507-0EE684FA18AB}" name="Column11737"/>
    <tableColumn id="11743" xr3:uid="{62A5CDA9-56BC-46EC-A71E-16EB26718F08}" name="Column11738"/>
    <tableColumn id="11744" xr3:uid="{755BC941-B334-4FFF-9ABE-CDCE168C1426}" name="Column11739"/>
    <tableColumn id="11745" xr3:uid="{B64529AD-A525-4116-9359-CEFA0DD38D9B}" name="Column11740"/>
    <tableColumn id="11746" xr3:uid="{9CA7DE96-EA96-4787-B1EB-6D70096B86CF}" name="Column11741"/>
    <tableColumn id="11747" xr3:uid="{8CBF0367-62AF-42B7-8616-584741B76934}" name="Column11742"/>
    <tableColumn id="11748" xr3:uid="{8BC34414-1D6F-4B62-97E6-3DE700931907}" name="Column11743"/>
    <tableColumn id="11749" xr3:uid="{61B1F01B-A780-4BC5-9DEE-A048FBC42F3E}" name="Column11744"/>
    <tableColumn id="11750" xr3:uid="{32D9488B-68A5-4F72-8ED8-67408FD05755}" name="Column11745"/>
    <tableColumn id="11751" xr3:uid="{E5F0B1B9-A8D9-4DC6-AF8D-34F687A0F85B}" name="Column11746"/>
    <tableColumn id="11752" xr3:uid="{F1AABAAB-2A4C-4FF4-B30E-18756B1B2A08}" name="Column11747"/>
    <tableColumn id="11753" xr3:uid="{DC8E8DC9-DF92-460C-B28D-713611258FF0}" name="Column11748"/>
    <tableColumn id="11754" xr3:uid="{86A5464E-99C6-4F09-A86E-3CBFE4552661}" name="Column11749"/>
    <tableColumn id="11755" xr3:uid="{6EDCFCD0-F8F2-451B-9596-75A462A28A57}" name="Column11750"/>
    <tableColumn id="11756" xr3:uid="{05D09183-7BB3-4644-B591-6A5917CFD911}" name="Column11751"/>
    <tableColumn id="11757" xr3:uid="{C8B92018-913F-4624-BEB9-5457D881F3A9}" name="Column11752"/>
    <tableColumn id="11758" xr3:uid="{9B706D58-3249-47BF-80CA-43E130B766D2}" name="Column11753"/>
    <tableColumn id="11759" xr3:uid="{4A84DF1E-6541-413A-8658-3CBDBFC466A3}" name="Column11754"/>
    <tableColumn id="11760" xr3:uid="{82A24771-06BA-4739-9476-E4BE9397F3D7}" name="Column11755"/>
    <tableColumn id="11761" xr3:uid="{EDE68967-8980-449B-ADA6-F0C26FCF7B9F}" name="Column11756"/>
    <tableColumn id="11762" xr3:uid="{D11592F7-D0A6-4EAA-B134-A2C9994C2397}" name="Column11757"/>
    <tableColumn id="11763" xr3:uid="{ED634D63-11C8-4490-A546-E2B13AEA26DA}" name="Column11758"/>
    <tableColumn id="11764" xr3:uid="{DEE601E3-B999-431F-AC84-CD93DC32C6B4}" name="Column11759"/>
    <tableColumn id="11765" xr3:uid="{C86E2CD7-6DFA-4441-A8A9-C96620A57889}" name="Column11760"/>
    <tableColumn id="11766" xr3:uid="{52160EF3-F7EA-4B0B-B224-C40119E7DB85}" name="Column11761"/>
    <tableColumn id="11767" xr3:uid="{30F3CF36-3B37-49EB-A1C2-07C9A00BFBEF}" name="Column11762"/>
    <tableColumn id="11768" xr3:uid="{E4D8A758-0FBD-4D5E-B8C5-764062C9DE3C}" name="Column11763"/>
    <tableColumn id="11769" xr3:uid="{7FEE66DF-B3D8-465C-993B-AE69DFD05438}" name="Column11764"/>
    <tableColumn id="11770" xr3:uid="{E5F79050-6C84-4205-B9E6-9E3BACB7EC76}" name="Column11765"/>
    <tableColumn id="11771" xr3:uid="{516A2CC6-0BB3-4902-86B8-BD760AF22B65}" name="Column11766"/>
    <tableColumn id="11772" xr3:uid="{D01A795B-399F-4D8B-90F9-22EB12AE1550}" name="Column11767"/>
    <tableColumn id="11773" xr3:uid="{B96593AA-33DB-4290-8928-85473BEC034B}" name="Column11768"/>
    <tableColumn id="11774" xr3:uid="{1CF84878-2BF4-456E-88D3-DCAB6ED4E5EB}" name="Column11769"/>
    <tableColumn id="11775" xr3:uid="{2ECCD228-70FF-4405-8C6A-3D94E7A0E500}" name="Column11770"/>
    <tableColumn id="11776" xr3:uid="{CDAE8286-0431-4BBC-87A2-A28C616E96F2}" name="Column11771"/>
    <tableColumn id="11777" xr3:uid="{4DCF1EA7-4202-40B2-9929-F2A721C40E9B}" name="Column11772"/>
    <tableColumn id="11778" xr3:uid="{2AD30B0E-DF47-4686-9562-1855A797F932}" name="Column11773"/>
    <tableColumn id="11779" xr3:uid="{6AAE6913-4F39-4910-B754-9E4C49103132}" name="Column11774"/>
    <tableColumn id="11780" xr3:uid="{B397F4BA-0CAE-4E13-98EA-AA12DE515A61}" name="Column11775"/>
    <tableColumn id="11781" xr3:uid="{3CD3C952-4610-4CF5-B176-D0E6F4B57422}" name="Column11776"/>
    <tableColumn id="11782" xr3:uid="{D7B454C0-105D-495E-9B18-63082FDBEBE4}" name="Column11777"/>
    <tableColumn id="11783" xr3:uid="{B98CFDAA-44CD-493E-91C3-F583DEB863E6}" name="Column11778"/>
    <tableColumn id="11784" xr3:uid="{1BAD4A0C-8D84-4B01-93FF-B40913D17297}" name="Column11779"/>
    <tableColumn id="11785" xr3:uid="{469D1D7C-5BBB-4574-89B4-9E7D116FB9CE}" name="Column11780"/>
    <tableColumn id="11786" xr3:uid="{5C5132FE-7194-4F69-BC05-A61BC8D4A3B1}" name="Column11781"/>
    <tableColumn id="11787" xr3:uid="{55D0017E-03F8-4FD2-AE5A-5C38D81350D4}" name="Column11782"/>
    <tableColumn id="11788" xr3:uid="{DD9CF5E8-CAE8-43E6-B113-AAC18335C749}" name="Column11783"/>
    <tableColumn id="11789" xr3:uid="{79EDC1D4-2584-42F1-AA83-E8B65C4A317B}" name="Column11784"/>
    <tableColumn id="11790" xr3:uid="{489AD1BC-A770-43EA-B590-C6934B15ABB4}" name="Column11785"/>
    <tableColumn id="11791" xr3:uid="{54D5AA94-3AD9-48C8-B946-8673D4D5C466}" name="Column11786"/>
    <tableColumn id="11792" xr3:uid="{B9A31DEF-00F6-41AE-91AD-3A73255F2051}" name="Column11787"/>
    <tableColumn id="11793" xr3:uid="{56609A3A-BE3B-47D9-B1DD-60311C283270}" name="Column11788"/>
    <tableColumn id="11794" xr3:uid="{00BF9361-1E16-4564-913E-2E7FAA241F6F}" name="Column11789"/>
    <tableColumn id="11795" xr3:uid="{03D52812-DE48-4050-BB68-D64163204A81}" name="Column11790"/>
    <tableColumn id="11796" xr3:uid="{F2C4A9BD-DBB6-40C5-B748-DE36531EEDBC}" name="Column11791"/>
    <tableColumn id="11797" xr3:uid="{32580964-3B1F-4F3C-AA2E-DB8B93D4EC92}" name="Column11792"/>
    <tableColumn id="11798" xr3:uid="{F659C383-67D1-484C-957B-14288202E36E}" name="Column11793"/>
    <tableColumn id="11799" xr3:uid="{A972E868-34F2-483B-A3C1-8D5BA5E9028F}" name="Column11794"/>
    <tableColumn id="11800" xr3:uid="{D963E3E8-2224-476B-BACB-4613ACB977D6}" name="Column11795"/>
    <tableColumn id="11801" xr3:uid="{2BF13EE8-28C5-404C-81A3-1C805F87E953}" name="Column11796"/>
    <tableColumn id="11802" xr3:uid="{1C04D302-4FE5-40B9-879B-8648F4BE7B00}" name="Column11797"/>
    <tableColumn id="11803" xr3:uid="{B7CCB3A8-91EE-4EED-8017-80F3DB867055}" name="Column11798"/>
    <tableColumn id="11804" xr3:uid="{196D9D47-C593-44E6-9477-C76BF77F85A7}" name="Column11799"/>
    <tableColumn id="11805" xr3:uid="{A436ADFD-15C3-4BE9-A276-5C82348291FF}" name="Column11800"/>
    <tableColumn id="11806" xr3:uid="{21C4FAB7-BF9A-4E17-BAE5-8DAF7375C6CB}" name="Column11801"/>
    <tableColumn id="11807" xr3:uid="{72AC70D9-3F62-4FE9-B4FB-9533C2CB8C69}" name="Column11802"/>
    <tableColumn id="11808" xr3:uid="{D014A762-F2C0-40AE-B236-E7487AEE49B2}" name="Column11803"/>
    <tableColumn id="11809" xr3:uid="{007E3B0B-FF99-40CF-B078-5BB501E85DE5}" name="Column11804"/>
    <tableColumn id="11810" xr3:uid="{C8AEB1A1-C421-420C-B7E3-DA9857C6AE66}" name="Column11805"/>
    <tableColumn id="11811" xr3:uid="{26C3A4F2-B801-48B7-8E4E-9D4AAF317A3F}" name="Column11806"/>
    <tableColumn id="11812" xr3:uid="{C8E02B12-9E7E-41B3-9A45-63CB2DFC16B8}" name="Column11807"/>
    <tableColumn id="11813" xr3:uid="{CBB146D0-C200-4988-8EA8-A0FA79EBDAA0}" name="Column11808"/>
    <tableColumn id="11814" xr3:uid="{A6B6247B-3403-48A6-8D9A-3D3606EF9D10}" name="Column11809"/>
    <tableColumn id="11815" xr3:uid="{B7A1DB44-CA7D-47D2-81AF-AD69BD8641DA}" name="Column11810"/>
    <tableColumn id="11816" xr3:uid="{6868F3B9-961C-45D9-9974-D4091A661EA3}" name="Column11811"/>
    <tableColumn id="11817" xr3:uid="{56ECFC45-3200-4A44-A80D-EB0436B2C714}" name="Column11812"/>
    <tableColumn id="11818" xr3:uid="{885059B8-917D-4C0B-A9BD-4F8451FA8CC6}" name="Column11813"/>
    <tableColumn id="11819" xr3:uid="{06D7D3DC-23BD-4FBF-ACDF-CC07F90EC935}" name="Column11814"/>
    <tableColumn id="11820" xr3:uid="{22DC33CD-0410-42D1-9526-A6EA3D5E7B7F}" name="Column11815"/>
    <tableColumn id="11821" xr3:uid="{564E40DB-C6C6-4736-9C90-8C885E747DDA}" name="Column11816"/>
    <tableColumn id="11822" xr3:uid="{FA7E6523-D10F-426E-9259-69D1A57F877F}" name="Column11817"/>
    <tableColumn id="11823" xr3:uid="{39D99BCD-CC6D-4269-90CA-B546B4FFA82A}" name="Column11818"/>
    <tableColumn id="11824" xr3:uid="{018C209B-C9BB-42B6-B474-9302EA932D57}" name="Column11819"/>
    <tableColumn id="11825" xr3:uid="{159A780E-3EE0-48F7-9310-1D1177A5D8D3}" name="Column11820"/>
    <tableColumn id="11826" xr3:uid="{31F0E3FA-2298-4608-8916-E7871C85D396}" name="Column11821"/>
    <tableColumn id="11827" xr3:uid="{655AB087-47A7-44BC-B016-7A43E688ECE0}" name="Column11822"/>
    <tableColumn id="11828" xr3:uid="{0F81347B-B85F-4787-99B8-1FAC6762B7DA}" name="Column11823"/>
    <tableColumn id="11829" xr3:uid="{90AB70CB-5ACA-4275-9C4A-145FCE664EF9}" name="Column11824"/>
    <tableColumn id="11830" xr3:uid="{71154E21-F310-48A5-8A33-27A53C1C5838}" name="Column11825"/>
    <tableColumn id="11831" xr3:uid="{DE6209BE-055C-415E-98FB-52051904321F}" name="Column11826"/>
    <tableColumn id="11832" xr3:uid="{C93C0770-963B-4FE2-AB30-246BA76B8FD9}" name="Column11827"/>
    <tableColumn id="11833" xr3:uid="{87522A36-DA62-4659-B4AF-91DC8EA9A77C}" name="Column11828"/>
    <tableColumn id="11834" xr3:uid="{30F847EE-9FF8-4AAF-8A3B-8F473BC3D974}" name="Column11829"/>
    <tableColumn id="11835" xr3:uid="{9AC15CE6-15C1-4C0F-AA58-54EDA5130042}" name="Column11830"/>
    <tableColumn id="11836" xr3:uid="{D31ACA0B-1D73-484B-9F9D-EA9AF96D12A9}" name="Column11831"/>
    <tableColumn id="11837" xr3:uid="{83E54777-B3E5-47CC-B95A-DCC3B9BAA7D9}" name="Column11832"/>
    <tableColumn id="11838" xr3:uid="{FDBFB9BF-5570-4E06-851B-892CB11B6952}" name="Column11833"/>
    <tableColumn id="11839" xr3:uid="{90D2EBA3-B3C5-46A2-9A2E-CC074F233637}" name="Column11834"/>
    <tableColumn id="11840" xr3:uid="{371D7451-A4B7-4EC3-9485-0A31B417F8F3}" name="Column11835"/>
    <tableColumn id="11841" xr3:uid="{5E656B04-9C34-42EA-87A9-4C2AFB7F5D8F}" name="Column11836"/>
    <tableColumn id="11842" xr3:uid="{417A9A54-6F9B-412A-8D7B-1768CEDBF71C}" name="Column11837"/>
    <tableColumn id="11843" xr3:uid="{93B4D715-34B8-4D95-9BF4-4CAE0BA53CD7}" name="Column11838"/>
    <tableColumn id="11844" xr3:uid="{5321848C-5264-4873-9899-74B3F9795826}" name="Column11839"/>
    <tableColumn id="11845" xr3:uid="{50403F25-2715-4DA6-B754-E0756B80FD93}" name="Column11840"/>
    <tableColumn id="11846" xr3:uid="{EAB18AC1-891C-4C21-BB6C-2D2F46F7DAD4}" name="Column11841"/>
    <tableColumn id="11847" xr3:uid="{2D4218A1-202C-43BB-8ECC-538DAB64E16E}" name="Column11842"/>
    <tableColumn id="11848" xr3:uid="{F525C07C-764C-49BB-B078-9314A0A46517}" name="Column11843"/>
    <tableColumn id="11849" xr3:uid="{21328512-7057-4134-B530-64C7B4114FB7}" name="Column11844"/>
    <tableColumn id="11850" xr3:uid="{B1507E82-76C1-49F7-9038-96C077F235EA}" name="Column11845"/>
    <tableColumn id="11851" xr3:uid="{92097578-1E77-47BD-B9F4-4162B3316414}" name="Column11846"/>
    <tableColumn id="11852" xr3:uid="{78589715-77BC-40A5-BE0F-D28201DE7B61}" name="Column11847"/>
    <tableColumn id="11853" xr3:uid="{101D2D33-FC87-4298-96E2-5945904658BE}" name="Column11848"/>
    <tableColumn id="11854" xr3:uid="{01DB4CD2-CBB1-4749-9648-4C6C16CBA7C0}" name="Column11849"/>
    <tableColumn id="11855" xr3:uid="{65221FDA-EA31-49C4-B8CF-7AEFD91B17A6}" name="Column11850"/>
    <tableColumn id="11856" xr3:uid="{52792D5B-B1F5-45FA-A35C-5DF1832EC7A6}" name="Column11851"/>
    <tableColumn id="11857" xr3:uid="{7C43C716-D2DD-457C-8BAD-5AFCD482C2BD}" name="Column11852"/>
    <tableColumn id="11858" xr3:uid="{56D0D96C-0EF3-4802-85F0-CE3B8310FA9A}" name="Column11853"/>
    <tableColumn id="11859" xr3:uid="{03BC6062-70CD-4B7B-82C0-2FC3348A50FA}" name="Column11854"/>
    <tableColumn id="11860" xr3:uid="{E9EE5A82-1F0A-4415-A77F-B734CE6F7A94}" name="Column11855"/>
    <tableColumn id="11861" xr3:uid="{E8864B0B-729C-4CE3-880C-67E46A96907C}" name="Column11856"/>
    <tableColumn id="11862" xr3:uid="{BF5443C1-B97B-48AF-96F6-B7AA77E3CD70}" name="Column11857"/>
    <tableColumn id="11863" xr3:uid="{C05D330D-F009-473C-9B3B-73A23E56D514}" name="Column11858"/>
    <tableColumn id="11864" xr3:uid="{65073D93-5BB4-441A-B0E4-C4C0EB01DDE4}" name="Column11859"/>
    <tableColumn id="11865" xr3:uid="{C907C07A-5FD0-4BF7-987D-424FB4EA287F}" name="Column11860"/>
    <tableColumn id="11866" xr3:uid="{0ACC8AC1-3596-44F8-BA09-854EA7DD76C8}" name="Column11861"/>
    <tableColumn id="11867" xr3:uid="{312385D9-E53C-45A3-A04A-A805F5A2B43C}" name="Column11862"/>
    <tableColumn id="11868" xr3:uid="{559081CA-C66E-4A5D-B792-E3FF06FE7772}" name="Column11863"/>
    <tableColumn id="11869" xr3:uid="{90CCF4A6-E8A8-480E-8FAC-53C7ACF084E7}" name="Column11864"/>
    <tableColumn id="11870" xr3:uid="{75844FC5-A91D-466D-BDB7-8FA72FB84C27}" name="Column11865"/>
    <tableColumn id="11871" xr3:uid="{A1F50379-871C-4CE0-AE19-12A71219AAB0}" name="Column11866"/>
    <tableColumn id="11872" xr3:uid="{8174092A-AE21-44EA-BE98-FCC25C99EBBD}" name="Column11867"/>
    <tableColumn id="11873" xr3:uid="{E045104A-3DDB-4D7A-B5C8-BBE3999287A3}" name="Column11868"/>
    <tableColumn id="11874" xr3:uid="{3DDBCAD1-DB38-4F09-A605-6EF6139C5316}" name="Column11869"/>
    <tableColumn id="11875" xr3:uid="{EA565AB1-43B3-4A02-BEEA-EE8B8EB8B831}" name="Column11870"/>
    <tableColumn id="11876" xr3:uid="{CFF5908F-5FD1-475B-A527-F782A0E3A59D}" name="Column11871"/>
    <tableColumn id="11877" xr3:uid="{2D8C1B9A-1ED9-464E-A8F7-B364BDB46062}" name="Column11872"/>
    <tableColumn id="11878" xr3:uid="{3FA4D71F-75E5-44B8-A448-AC1DEF6157B4}" name="Column11873"/>
    <tableColumn id="11879" xr3:uid="{F61F40E3-22FD-4352-AFC2-8E4D1918FACB}" name="Column11874"/>
    <tableColumn id="11880" xr3:uid="{B7C4FB98-3E73-4D09-A7EB-66EEAD9C7F80}" name="Column11875"/>
    <tableColumn id="11881" xr3:uid="{34E08D50-E929-47D8-BFF6-C13233F24D11}" name="Column11876"/>
    <tableColumn id="11882" xr3:uid="{C49666EF-6CFF-45D5-B8A2-B45E61853BFC}" name="Column11877"/>
    <tableColumn id="11883" xr3:uid="{AFC567A0-F5E7-47AD-B3DC-673D8A55AC17}" name="Column11878"/>
    <tableColumn id="11884" xr3:uid="{0874007C-C1B0-4EFD-A879-377D30F02B76}" name="Column11879"/>
    <tableColumn id="11885" xr3:uid="{81D5499B-2BF3-462D-9BA6-4B1608F2DCB7}" name="Column11880"/>
    <tableColumn id="11886" xr3:uid="{474E9FBD-3935-4686-9AC1-55020064CD72}" name="Column11881"/>
    <tableColumn id="11887" xr3:uid="{9AD376AA-B59C-42BF-A22A-A016014BA789}" name="Column11882"/>
    <tableColumn id="11888" xr3:uid="{F650F3A1-2AAE-40C4-95EB-9AF616593BED}" name="Column11883"/>
    <tableColumn id="11889" xr3:uid="{A5323639-8E97-442F-8E54-867081D438D6}" name="Column11884"/>
    <tableColumn id="11890" xr3:uid="{F154DC53-F8F7-47A4-B1F4-92B79E250A56}" name="Column11885"/>
    <tableColumn id="11891" xr3:uid="{AE242D8F-D0CE-442D-84E5-4CA53A9AA8EC}" name="Column11886"/>
    <tableColumn id="11892" xr3:uid="{95183571-9B96-494C-B308-82CFCA5508F0}" name="Column11887"/>
    <tableColumn id="11893" xr3:uid="{E4A94E98-58F9-425A-AF28-E26C3556F882}" name="Column11888"/>
    <tableColumn id="11894" xr3:uid="{59D48E66-7490-46B8-B1E4-0D9E1C5695DD}" name="Column11889"/>
    <tableColumn id="11895" xr3:uid="{FBD9E914-B329-4B49-9A9C-0ED1902556BE}" name="Column11890"/>
    <tableColumn id="11896" xr3:uid="{B646B639-052D-4528-A00B-AA27115BC81C}" name="Column11891"/>
    <tableColumn id="11897" xr3:uid="{D217222A-A1A6-4CA1-AB12-322BF67EFF11}" name="Column11892"/>
    <tableColumn id="11898" xr3:uid="{B52A7FE6-7E02-4C80-98F8-0A3F785D6421}" name="Column11893"/>
    <tableColumn id="11899" xr3:uid="{73FA59B3-9F10-4D66-9325-4F1B39E15B8A}" name="Column11894"/>
    <tableColumn id="11900" xr3:uid="{1E9A04D6-6F2A-4D46-AA21-567854407601}" name="Column11895"/>
    <tableColumn id="11901" xr3:uid="{6ECF11CD-D180-4F56-991D-44CA513DABDB}" name="Column11896"/>
    <tableColumn id="11902" xr3:uid="{8C0D6360-83B7-4A4D-91D6-117FF1BDEC65}" name="Column11897"/>
    <tableColumn id="11903" xr3:uid="{683EB1E8-C95F-4015-8F1F-E6E2A63F7094}" name="Column11898"/>
    <tableColumn id="11904" xr3:uid="{128EF0E2-5FA6-4F42-8964-4D1EADAB0EA8}" name="Column11899"/>
    <tableColumn id="11905" xr3:uid="{1C5CB8CA-5F1C-4AE1-9943-35341B62F53A}" name="Column11900"/>
    <tableColumn id="11906" xr3:uid="{2477F680-7250-4415-B3F6-0E15A902A96B}" name="Column11901"/>
    <tableColumn id="11907" xr3:uid="{7113F7F5-237E-415E-9C67-CE47B3D9221D}" name="Column11902"/>
    <tableColumn id="11908" xr3:uid="{3AFB7607-F819-47EB-9AB4-E28568F76644}" name="Column11903"/>
    <tableColumn id="11909" xr3:uid="{400E1F96-EC4C-4B61-89F9-6E26A7370E3E}" name="Column11904"/>
    <tableColumn id="11910" xr3:uid="{EC4C9E2C-56B6-4AE4-94A2-C35185F50C89}" name="Column11905"/>
    <tableColumn id="11911" xr3:uid="{1482B82E-8D29-4088-B9FA-EE175D110659}" name="Column11906"/>
    <tableColumn id="11912" xr3:uid="{51E40448-B3C0-4558-ACC0-87B987958DE9}" name="Column11907"/>
    <tableColumn id="11913" xr3:uid="{BD4393AD-3AB5-4670-9C69-34422ABF1E0B}" name="Column11908"/>
    <tableColumn id="11914" xr3:uid="{A0A3F540-2997-47CD-BD69-3F7B4612DF65}" name="Column11909"/>
    <tableColumn id="11915" xr3:uid="{E487750D-5000-408F-81C2-E19B9D4F1D4E}" name="Column11910"/>
    <tableColumn id="11916" xr3:uid="{9BFEF01E-D797-4F4C-ADE5-6BA1F1E738FA}" name="Column11911"/>
    <tableColumn id="11917" xr3:uid="{71750C50-5760-4F90-B347-C71AE93D2C1D}" name="Column11912"/>
    <tableColumn id="11918" xr3:uid="{024372EB-252C-4435-A7B1-B04BD37BFE02}" name="Column11913"/>
    <tableColumn id="11919" xr3:uid="{5A93226A-8FD3-4E09-AB1F-9FE54CB842B7}" name="Column11914"/>
    <tableColumn id="11920" xr3:uid="{50241EBF-D87C-4C4F-BE89-ECAA02526B14}" name="Column11915"/>
    <tableColumn id="11921" xr3:uid="{7327AB9D-80CA-4AD8-BD8D-7FDEBF3F2839}" name="Column11916"/>
    <tableColumn id="11922" xr3:uid="{44B87945-617A-4BED-A6D9-30969BC63784}" name="Column11917"/>
    <tableColumn id="11923" xr3:uid="{E1B05CB6-B00A-4EB7-802E-648DCDD5BE25}" name="Column11918"/>
    <tableColumn id="11924" xr3:uid="{BCB4B590-B43B-4316-97C5-94EE283E4EE4}" name="Column11919"/>
    <tableColumn id="11925" xr3:uid="{321A6FE9-1E60-40ED-9730-CF58D8BCEBD6}" name="Column11920"/>
    <tableColumn id="11926" xr3:uid="{DCE1006C-A6F7-4BB2-8C4E-8CC63AE5719F}" name="Column11921"/>
    <tableColumn id="11927" xr3:uid="{1BA57D4F-0A84-49C5-AAB0-5AD2BB13DAAA}" name="Column11922"/>
    <tableColumn id="11928" xr3:uid="{1CB439BF-E175-456A-B231-34712788C4EE}" name="Column11923"/>
    <tableColumn id="11929" xr3:uid="{55CF1DE0-70F1-4206-B11E-8D7B0DAC34C9}" name="Column11924"/>
    <tableColumn id="11930" xr3:uid="{75E8B9A1-B1ED-4676-8A0E-97F192440A52}" name="Column11925"/>
    <tableColumn id="11931" xr3:uid="{4FB5946E-1034-4EA3-9FB2-D184F6FFAF6C}" name="Column11926"/>
    <tableColumn id="11932" xr3:uid="{F82BE927-369A-4DE0-8E2A-7E81322DBBCD}" name="Column11927"/>
    <tableColumn id="11933" xr3:uid="{130710C9-588E-4666-8232-4D0FD666557E}" name="Column11928"/>
    <tableColumn id="11934" xr3:uid="{6296F369-BEF0-4EF8-B247-A7B64B46FD9D}" name="Column11929"/>
    <tableColumn id="11935" xr3:uid="{B1C4FB1A-7875-4F4E-B647-EEC8A371D9CC}" name="Column11930"/>
    <tableColumn id="11936" xr3:uid="{16E644CB-6486-4296-82DF-4C61501B4B5E}" name="Column11931"/>
    <tableColumn id="11937" xr3:uid="{AE259375-1713-4118-A8B8-A1C4513ECA00}" name="Column11932"/>
    <tableColumn id="11938" xr3:uid="{12A42939-35FD-4F69-9424-D66991EF7527}" name="Column11933"/>
    <tableColumn id="11939" xr3:uid="{8B1BF176-FA8F-4418-83AE-76CF63EB45D8}" name="Column11934"/>
    <tableColumn id="11940" xr3:uid="{8BF0B880-B217-4C0D-B646-D6D2694DC06A}" name="Column11935"/>
    <tableColumn id="11941" xr3:uid="{ABFF4C07-221C-4D8E-9DEE-55C5C58F877C}" name="Column11936"/>
    <tableColumn id="11942" xr3:uid="{88A2F2DE-679D-4052-A982-0BA5DD8B27D7}" name="Column11937"/>
    <tableColumn id="11943" xr3:uid="{409F10E7-6C67-4A0F-ACE5-D76A8F038471}" name="Column11938"/>
    <tableColumn id="11944" xr3:uid="{CEB08854-E380-4D32-867A-3D98D350FD68}" name="Column11939"/>
    <tableColumn id="11945" xr3:uid="{768D1F7C-3317-41A1-956C-828FFF97AD3A}" name="Column11940"/>
    <tableColumn id="11946" xr3:uid="{70E738B9-6FBA-435E-882E-5F2A5511028E}" name="Column11941"/>
    <tableColumn id="11947" xr3:uid="{2B6936E5-E1A6-45A7-9D06-35F70360F4ED}" name="Column11942"/>
    <tableColumn id="11948" xr3:uid="{D9CADEEE-B628-4A92-8229-3B9A9B65E4EE}" name="Column11943"/>
    <tableColumn id="11949" xr3:uid="{662A4C4F-A995-464C-AAA3-01EA7AA13555}" name="Column11944"/>
    <tableColumn id="11950" xr3:uid="{17B5F2CA-875A-4A0A-94B0-3A483B39D79B}" name="Column11945"/>
    <tableColumn id="11951" xr3:uid="{AC709514-AD93-447C-B34A-8872274AE0B3}" name="Column11946"/>
    <tableColumn id="11952" xr3:uid="{779CA087-7C1B-40F5-AEB6-E5F688EC34D8}" name="Column11947"/>
    <tableColumn id="11953" xr3:uid="{67EE6E89-FA42-4A8E-8CDF-CBDEAF420C0E}" name="Column11948"/>
    <tableColumn id="11954" xr3:uid="{2A7F427F-2F7A-456A-9F35-2C8F9C4F2D42}" name="Column11949"/>
    <tableColumn id="11955" xr3:uid="{F5724667-5BA6-4996-9E2A-30438CAC3157}" name="Column11950"/>
    <tableColumn id="11956" xr3:uid="{8B906989-D34F-4CD2-BD46-EC7A9C82A454}" name="Column11951"/>
    <tableColumn id="11957" xr3:uid="{AF1BBC22-6ECD-4BD7-B633-99E4261EA149}" name="Column11952"/>
    <tableColumn id="11958" xr3:uid="{8F16B7CB-4340-4897-86A8-618EE1C701E3}" name="Column11953"/>
    <tableColumn id="11959" xr3:uid="{148E36B8-9B0E-4E81-8708-E0D43EF76963}" name="Column11954"/>
    <tableColumn id="11960" xr3:uid="{6463D902-A369-4459-98A6-DAA1132C98D0}" name="Column11955"/>
    <tableColumn id="11961" xr3:uid="{AE81FF37-7FBB-4BFA-8085-4E1FEDECB670}" name="Column11956"/>
    <tableColumn id="11962" xr3:uid="{DB6A85D2-1D5D-4B62-AE4E-53DB4A59FADC}" name="Column11957"/>
    <tableColumn id="11963" xr3:uid="{5041C4C2-F42B-42E4-909A-779756EEAE09}" name="Column11958"/>
    <tableColumn id="11964" xr3:uid="{2D6AA8EA-A68E-4BCE-8B6D-EDC52FE3E28E}" name="Column11959"/>
    <tableColumn id="11965" xr3:uid="{85167E0A-0C94-45F1-8D29-EFB9803A2ED2}" name="Column11960"/>
    <tableColumn id="11966" xr3:uid="{009295EC-BDC4-4314-8BB7-C6D8B7C15102}" name="Column11961"/>
    <tableColumn id="11967" xr3:uid="{3847DA2C-F9B7-430B-B4FB-B5A38C3724E9}" name="Column11962"/>
    <tableColumn id="11968" xr3:uid="{1A41A7B5-AE0F-4572-93C2-368FA7777E24}" name="Column11963"/>
    <tableColumn id="11969" xr3:uid="{83498D9E-7CD7-4D47-BC52-B5C4EB24B672}" name="Column11964"/>
    <tableColumn id="11970" xr3:uid="{B0E9F5AC-AC5F-4A0D-9EFA-C2E2E7261FB0}" name="Column11965"/>
    <tableColumn id="11971" xr3:uid="{A8B3AEED-2E56-449A-93DB-5FCC205D20DA}" name="Column11966"/>
    <tableColumn id="11972" xr3:uid="{52F6334C-A4C1-4311-AD21-A8EFAE8C03DA}" name="Column11967"/>
    <tableColumn id="11973" xr3:uid="{F1130365-1F53-4E0D-8FDC-CC9B8139553D}" name="Column11968"/>
    <tableColumn id="11974" xr3:uid="{87F9C5BA-72F1-45A5-B0BA-290A3809CA3E}" name="Column11969"/>
    <tableColumn id="11975" xr3:uid="{BB29AF92-C38D-4492-9A81-B716BF0271A1}" name="Column11970"/>
    <tableColumn id="11976" xr3:uid="{668FE592-4634-4715-8AAC-B60CF17ECA85}" name="Column11971"/>
    <tableColumn id="11977" xr3:uid="{9B4D1415-33EF-4028-9DC7-4475EAC5A78B}" name="Column11972"/>
    <tableColumn id="11978" xr3:uid="{84B6819E-61C1-4442-9124-46EECFFE8295}" name="Column11973"/>
    <tableColumn id="11979" xr3:uid="{BD7145FF-F97D-4AD0-9CBB-F44A9F176698}" name="Column11974"/>
    <tableColumn id="11980" xr3:uid="{F810F70A-2260-4DF6-AA2E-5F586CE4C142}" name="Column11975"/>
    <tableColumn id="11981" xr3:uid="{1CFF5B6C-D2ED-42CE-A189-E5BE85655DA4}" name="Column11976"/>
    <tableColumn id="11982" xr3:uid="{E61B9E1F-7DF0-4B50-B0CD-DF061A9617E3}" name="Column11977"/>
    <tableColumn id="11983" xr3:uid="{B0005DA0-0079-453E-A9AE-E7B9EC239A82}" name="Column11978"/>
    <tableColumn id="11984" xr3:uid="{583C5BA4-2C76-43EE-979E-0257B0FF676F}" name="Column11979"/>
    <tableColumn id="11985" xr3:uid="{1A9B203D-6A99-41DE-A40D-C0B4FD5A0D30}" name="Column11980"/>
    <tableColumn id="11986" xr3:uid="{0F359CB8-45FF-4D74-8CD4-24061F7026C5}" name="Column11981"/>
    <tableColumn id="11987" xr3:uid="{0272D30D-F6CC-4743-A1BF-DBFFFB5B8306}" name="Column11982"/>
    <tableColumn id="11988" xr3:uid="{6DADB3FC-876D-43FB-AB95-4215F35C5A8C}" name="Column11983"/>
    <tableColumn id="11989" xr3:uid="{10BEBF1C-BCC8-44A8-9C50-A79D863770D4}" name="Column11984"/>
    <tableColumn id="11990" xr3:uid="{F3E81C04-B215-45B0-957C-687D2CDC5CE0}" name="Column11985"/>
    <tableColumn id="11991" xr3:uid="{D1A51968-E3B3-465B-B5A0-34EFC93F2A4A}" name="Column11986"/>
    <tableColumn id="11992" xr3:uid="{5F73289B-38E1-44B2-9D14-6C4F22F7974F}" name="Column11987"/>
    <tableColumn id="11993" xr3:uid="{1E00B254-8027-432B-81A4-2332A22DA531}" name="Column11988"/>
    <tableColumn id="11994" xr3:uid="{3819D0D0-B62F-455A-8544-25A4BD81151D}" name="Column11989"/>
    <tableColumn id="11995" xr3:uid="{597AEF9C-5A9B-44C9-9986-E2826A653F01}" name="Column11990"/>
    <tableColumn id="11996" xr3:uid="{AF3AA6D4-C102-49D7-8E8B-E2E7EA88DC37}" name="Column11991"/>
    <tableColumn id="11997" xr3:uid="{FCDCA211-E3E6-4820-8BE3-38342B0E43BF}" name="Column11992"/>
    <tableColumn id="11998" xr3:uid="{413F97C9-CA78-4B60-8393-D055674C6F92}" name="Column11993"/>
    <tableColumn id="11999" xr3:uid="{484516A7-6717-43BF-9EB8-7A35591D2A42}" name="Column11994"/>
    <tableColumn id="12000" xr3:uid="{E3DB386B-0845-44C0-8BD6-EDC242651774}" name="Column11995"/>
    <tableColumn id="12001" xr3:uid="{5B9097C0-7869-4F38-9141-068C032624A9}" name="Column11996"/>
    <tableColumn id="12002" xr3:uid="{F2E0BBBA-752E-4E4F-8FA5-7E570B24ACB1}" name="Column11997"/>
    <tableColumn id="12003" xr3:uid="{2EEA3053-D8DD-42F6-AB1C-4DCD8F325B25}" name="Column11998"/>
    <tableColumn id="12004" xr3:uid="{03D18EEE-81E5-4850-B010-A2E72785193A}" name="Column11999"/>
    <tableColumn id="12005" xr3:uid="{A88F7E6A-59A3-465C-BCB8-CC2A4C08DF0C}" name="Column12000"/>
    <tableColumn id="12006" xr3:uid="{A3935CCD-6EFC-46C7-8687-3766403F7658}" name="Column12001"/>
    <tableColumn id="12007" xr3:uid="{5BE26B9D-AFCF-41F8-B8CA-89CC73C2ECA3}" name="Column12002"/>
    <tableColumn id="12008" xr3:uid="{6817DFF0-72E5-4516-A90F-C9C6AAA86564}" name="Column12003"/>
    <tableColumn id="12009" xr3:uid="{7C1AFC97-0E11-404F-85BE-7C8DAFDDD0A5}" name="Column12004"/>
    <tableColumn id="12010" xr3:uid="{D7B833AF-9C16-479E-8044-58625A33CAFC}" name="Column12005"/>
    <tableColumn id="12011" xr3:uid="{93F9E9D2-A864-4644-A532-6A1CE956C698}" name="Column12006"/>
    <tableColumn id="12012" xr3:uid="{51004C20-28DB-49ED-AE3A-C152B1477F3B}" name="Column12007"/>
    <tableColumn id="12013" xr3:uid="{BCA1708D-7826-4305-B1F0-405DEC9FC732}" name="Column12008"/>
    <tableColumn id="12014" xr3:uid="{73A5729E-EB13-4C5F-9F98-C5EF4EFCCE74}" name="Column12009"/>
    <tableColumn id="12015" xr3:uid="{4F7DCD1A-28FD-44D1-829E-00819E8EC296}" name="Column12010"/>
    <tableColumn id="12016" xr3:uid="{49AAEDBA-410F-4C05-9C2B-7D6A62A0BDDC}" name="Column12011"/>
    <tableColumn id="12017" xr3:uid="{DC6792E4-17D4-41BD-9427-F962827F8FE5}" name="Column12012"/>
    <tableColumn id="12018" xr3:uid="{C6907687-65E7-42F5-9E4E-F36513F47F7B}" name="Column12013"/>
    <tableColumn id="12019" xr3:uid="{D9E1C593-7E6D-4354-9114-D464C7DD9667}" name="Column12014"/>
    <tableColumn id="12020" xr3:uid="{578EFA28-F4B5-4E85-9DC2-B0F02BAA0CB5}" name="Column12015"/>
    <tableColumn id="12021" xr3:uid="{6925FAD2-05EE-4DD7-8CAA-7F56D12729E1}" name="Column12016"/>
    <tableColumn id="12022" xr3:uid="{805E98B8-21DA-4814-B1AC-46DDA9FA739D}" name="Column12017"/>
    <tableColumn id="12023" xr3:uid="{AB31A628-73E0-4A10-B679-C098AFF50B6E}" name="Column12018"/>
    <tableColumn id="12024" xr3:uid="{677D7745-FF88-4C69-A437-5670EDA00D22}" name="Column12019"/>
    <tableColumn id="12025" xr3:uid="{44824FBE-9701-4232-A6C1-D22916B96F29}" name="Column12020"/>
    <tableColumn id="12026" xr3:uid="{B9E0FD70-AE6A-47CE-B95F-9D4600ED12CE}" name="Column12021"/>
    <tableColumn id="12027" xr3:uid="{C48D5F7C-625D-42EF-8869-83CC10DF9AF1}" name="Column12022"/>
    <tableColumn id="12028" xr3:uid="{072B6554-0A70-4FA3-A8D0-4672E4266EA8}" name="Column12023"/>
    <tableColumn id="12029" xr3:uid="{B8B66622-C56B-4541-8C90-2AB8147C1A08}" name="Column12024"/>
    <tableColumn id="12030" xr3:uid="{4AD70975-DE76-4C28-8422-5F9B2A1D3746}" name="Column12025"/>
    <tableColumn id="12031" xr3:uid="{2BED6E43-A544-4699-AACB-2AF0EA333E09}" name="Column12026"/>
    <tableColumn id="12032" xr3:uid="{4AD15130-B5AE-48A0-9B7E-E6AD5A10D575}" name="Column12027"/>
    <tableColumn id="12033" xr3:uid="{CA427BD3-E5C9-42DB-A5B8-DBF6E627ADB2}" name="Column12028"/>
    <tableColumn id="12034" xr3:uid="{EEA75DD2-AA10-4DAD-9603-17D31982F24C}" name="Column12029"/>
    <tableColumn id="12035" xr3:uid="{3A21DD75-1754-446C-A93C-69B995BECBBB}" name="Column12030"/>
    <tableColumn id="12036" xr3:uid="{6D452C8C-E9C9-4AB4-B9DB-B172D0DF650C}" name="Column12031"/>
    <tableColumn id="12037" xr3:uid="{868DE581-732A-44CB-8089-53F3650FD392}" name="Column12032"/>
    <tableColumn id="12038" xr3:uid="{A289B35B-4F8E-478C-91BA-FD7DD28958BB}" name="Column12033"/>
    <tableColumn id="12039" xr3:uid="{E4E7B7AE-3DDA-4074-8D78-DBFA3A6D7196}" name="Column12034"/>
    <tableColumn id="12040" xr3:uid="{D62AC612-E923-4A11-B94F-531C62C414CD}" name="Column12035"/>
    <tableColumn id="12041" xr3:uid="{4C903D7C-B9AF-4511-89AD-BD38547A2C0B}" name="Column12036"/>
    <tableColumn id="12042" xr3:uid="{EE1D12A5-738D-4E39-8A34-B6D5401BC646}" name="Column12037"/>
    <tableColumn id="12043" xr3:uid="{2A1F1B24-8E8F-41D5-B517-BD12500DB402}" name="Column12038"/>
    <tableColumn id="12044" xr3:uid="{4E251ADE-6B81-4145-8A26-57C66D42F9CA}" name="Column12039"/>
    <tableColumn id="12045" xr3:uid="{8510FB36-07C7-4E35-BEF0-9B4C4DC2579F}" name="Column12040"/>
    <tableColumn id="12046" xr3:uid="{7927A455-83EF-4A0F-9246-ABD6A9B74137}" name="Column12041"/>
    <tableColumn id="12047" xr3:uid="{A77ADA0E-251B-4A88-AD61-5EFDD149158A}" name="Column12042"/>
    <tableColumn id="12048" xr3:uid="{C8916DC9-3E79-4582-963B-5DB23D8F2D89}" name="Column12043"/>
    <tableColumn id="12049" xr3:uid="{29A62572-9A37-4D79-8D00-5E87BFBE8390}" name="Column12044"/>
    <tableColumn id="12050" xr3:uid="{D3E49BEE-C87D-46C8-8287-515A1881D255}" name="Column12045"/>
    <tableColumn id="12051" xr3:uid="{7F1B15D0-BF41-493F-9BA3-04EB4F77F34B}" name="Column12046"/>
    <tableColumn id="12052" xr3:uid="{15CDC9C3-EC54-45B4-BEAD-AC0C347C5A63}" name="Column12047"/>
    <tableColumn id="12053" xr3:uid="{689885D6-8F56-4B96-BF1B-55B4E370CE72}" name="Column12048"/>
    <tableColumn id="12054" xr3:uid="{D85C9E5F-A2B7-4AA0-BCC9-F126B7B3D9CE}" name="Column12049"/>
    <tableColumn id="12055" xr3:uid="{C3F90F2C-6C9B-488B-9957-3BA3BDF06D21}" name="Column12050"/>
    <tableColumn id="12056" xr3:uid="{B6FF97B0-964D-45D7-9FBE-D301FC9EE0CA}" name="Column12051"/>
    <tableColumn id="12057" xr3:uid="{60084545-B018-4FDC-8040-E9BBE0F613FC}" name="Column12052"/>
    <tableColumn id="12058" xr3:uid="{E7BA3DEB-65F5-453C-BEF8-D3C4DBE18AE9}" name="Column12053"/>
    <tableColumn id="12059" xr3:uid="{DFC356C6-DD5C-4531-83E4-F30978FAAF14}" name="Column12054"/>
    <tableColumn id="12060" xr3:uid="{2F40F335-02A1-40F9-8A74-AD117DBE9DD5}" name="Column12055"/>
    <tableColumn id="12061" xr3:uid="{AB349E81-2546-440A-8E01-02752353208B}" name="Column12056"/>
    <tableColumn id="12062" xr3:uid="{C083983C-AD90-4979-8CB0-C478AADC1935}" name="Column12057"/>
    <tableColumn id="12063" xr3:uid="{66E4FC8F-E0DB-46BF-928E-A9D992116889}" name="Column12058"/>
    <tableColumn id="12064" xr3:uid="{224EBBC5-6307-4039-94A9-8DB10CE89665}" name="Column12059"/>
    <tableColumn id="12065" xr3:uid="{2D116FC8-8D50-484B-BA9B-EA3B82DA5444}" name="Column12060"/>
    <tableColumn id="12066" xr3:uid="{E1950D4C-8408-4B51-BFF5-25578F084F81}" name="Column12061"/>
    <tableColumn id="12067" xr3:uid="{55FCFB49-0A20-48E0-9CC2-FA1949A5034A}" name="Column12062"/>
    <tableColumn id="12068" xr3:uid="{70AE4B97-2D53-40A6-BDFA-DEDFAB585427}" name="Column12063"/>
    <tableColumn id="12069" xr3:uid="{77C699B6-6883-4421-9BE7-8E1C86EF7E3F}" name="Column12064"/>
    <tableColumn id="12070" xr3:uid="{03F8F6A5-8EB2-4C1C-8C22-387EEC2385A9}" name="Column12065"/>
    <tableColumn id="12071" xr3:uid="{BECBCBCC-0B96-467C-83BF-AA58AF9183EE}" name="Column12066"/>
    <tableColumn id="12072" xr3:uid="{53833B8B-2865-449C-8D3E-DA583CCD3560}" name="Column12067"/>
    <tableColumn id="12073" xr3:uid="{F53E2D09-596D-460A-85FF-1B5BBAD16892}" name="Column12068"/>
    <tableColumn id="12074" xr3:uid="{5D8DC812-DF39-4037-BC1F-933BADCCFB34}" name="Column12069"/>
    <tableColumn id="12075" xr3:uid="{C3A30853-3EDC-4282-808C-33CD82B34939}" name="Column12070"/>
    <tableColumn id="12076" xr3:uid="{29B63F8D-C6D0-456C-BB0A-CE20788544DC}" name="Column12071"/>
    <tableColumn id="12077" xr3:uid="{CFE6F24B-E362-40C8-A92D-CE4F8758EF1D}" name="Column12072"/>
    <tableColumn id="12078" xr3:uid="{03DEE117-1C16-4F27-9AD4-B0A51A31ABCF}" name="Column12073"/>
    <tableColumn id="12079" xr3:uid="{30EE7543-6420-48E7-AFD1-2655D3F43230}" name="Column12074"/>
    <tableColumn id="12080" xr3:uid="{0238E074-5D5A-4554-B5A6-07D1603F26F4}" name="Column12075"/>
    <tableColumn id="12081" xr3:uid="{043EE8E3-AB6B-4667-9771-F359335B8120}" name="Column12076"/>
    <tableColumn id="12082" xr3:uid="{97E803ED-1737-4579-9BBF-685E4DF4D490}" name="Column12077"/>
    <tableColumn id="12083" xr3:uid="{20F63008-0065-438B-9DBD-1C488C1A2B3D}" name="Column12078"/>
    <tableColumn id="12084" xr3:uid="{EB4C5FD8-9299-4FF5-830C-D15D2887DAB9}" name="Column12079"/>
    <tableColumn id="12085" xr3:uid="{3827395F-811A-4512-81D6-52F6448D1BE4}" name="Column12080"/>
    <tableColumn id="12086" xr3:uid="{9FEE3232-2A02-4728-A22A-E19D4CFD5AEA}" name="Column12081"/>
    <tableColumn id="12087" xr3:uid="{77DD4B14-077D-459E-918B-32FEE31257CD}" name="Column12082"/>
    <tableColumn id="12088" xr3:uid="{07B2E375-394A-462D-B6FF-AF3EFDDEE601}" name="Column12083"/>
    <tableColumn id="12089" xr3:uid="{D6AC7A38-261B-4492-8719-FEC85C8FDA4B}" name="Column12084"/>
    <tableColumn id="12090" xr3:uid="{179A2E14-43FF-4386-B49B-12B58637B787}" name="Column12085"/>
    <tableColumn id="12091" xr3:uid="{680AD39E-3686-48CC-B2F8-1BF5988D2B3D}" name="Column12086"/>
    <tableColumn id="12092" xr3:uid="{5C052C0B-4C96-4F9C-8046-58B6968FE9EC}" name="Column12087"/>
    <tableColumn id="12093" xr3:uid="{5F1464FC-E797-4837-87F4-C7EDF950A7B5}" name="Column12088"/>
    <tableColumn id="12094" xr3:uid="{277AC431-02EF-4E21-B0B9-5DD528D1055C}" name="Column12089"/>
    <tableColumn id="12095" xr3:uid="{E95A072F-0476-4E67-98AE-ECC184012E07}" name="Column12090"/>
    <tableColumn id="12096" xr3:uid="{F762BB4E-0FF3-47F2-BA24-D9C9298D17D0}" name="Column12091"/>
    <tableColumn id="12097" xr3:uid="{E64A999F-6C61-4037-99D8-F45AA259C04D}" name="Column12092"/>
    <tableColumn id="12098" xr3:uid="{BEACD9AA-D272-4CF4-9DF4-6314061479FE}" name="Column12093"/>
    <tableColumn id="12099" xr3:uid="{D9E67154-F406-47C1-82C0-5B62421827F8}" name="Column12094"/>
    <tableColumn id="12100" xr3:uid="{AD7202F8-3ECD-49A7-BE13-53980830702A}" name="Column12095"/>
    <tableColumn id="12101" xr3:uid="{A025E895-6A0D-4D84-BBFD-3282E49D4D3F}" name="Column12096"/>
    <tableColumn id="12102" xr3:uid="{9C13CD4C-515E-4FBB-93F0-3A4D62589023}" name="Column12097"/>
    <tableColumn id="12103" xr3:uid="{407EE6CD-06F8-478E-83A4-0F972B980D36}" name="Column12098"/>
    <tableColumn id="12104" xr3:uid="{B300697B-8094-432D-BB5D-CAB434438B6C}" name="Column12099"/>
    <tableColumn id="12105" xr3:uid="{18DB9937-17CB-4F22-931F-27003D434CDB}" name="Column12100"/>
    <tableColumn id="12106" xr3:uid="{8FA0A9B4-FCF4-46B1-9848-0E201BAA1E96}" name="Column12101"/>
    <tableColumn id="12107" xr3:uid="{B3E741A5-D991-4646-B986-0ECBF1290FEA}" name="Column12102"/>
    <tableColumn id="12108" xr3:uid="{0B41AC24-E09B-44CF-947E-15C2174321F4}" name="Column12103"/>
    <tableColumn id="12109" xr3:uid="{91364791-9586-45DE-B7AC-5F1B78B8F45C}" name="Column12104"/>
    <tableColumn id="12110" xr3:uid="{7C63B318-04FC-4639-818C-E6A7FAAD26C1}" name="Column12105"/>
    <tableColumn id="12111" xr3:uid="{5F1AE46E-7D4E-4D05-9621-B50A59ABBFE9}" name="Column12106"/>
    <tableColumn id="12112" xr3:uid="{D64D97B4-11DF-4B2D-808B-E9D914EC29FE}" name="Column12107"/>
    <tableColumn id="12113" xr3:uid="{29783823-CFB6-4712-84A6-AC1A8366C755}" name="Column12108"/>
    <tableColumn id="12114" xr3:uid="{5BFD32C3-531E-4109-AE9E-6A900C83C26D}" name="Column12109"/>
    <tableColumn id="12115" xr3:uid="{45C6FB5A-4C81-4801-AFBF-F68D4A604CF7}" name="Column12110"/>
    <tableColumn id="12116" xr3:uid="{AAAE3354-514C-49AD-948C-CF8607FCEA1D}" name="Column12111"/>
    <tableColumn id="12117" xr3:uid="{3B567556-7CEF-44D0-8E05-01784872E03F}" name="Column12112"/>
    <tableColumn id="12118" xr3:uid="{B3AA4EBF-4310-40A1-AB5D-4BA95EAE95F4}" name="Column12113"/>
    <tableColumn id="12119" xr3:uid="{FA4FB7E8-7854-42FB-AE76-19B97E6F9EDF}" name="Column12114"/>
    <tableColumn id="12120" xr3:uid="{F5C20F4C-F30F-44A9-9B20-08A73A1F2C7A}" name="Column12115"/>
    <tableColumn id="12121" xr3:uid="{A3A734DE-C748-416E-BF8A-927FBACE72BB}" name="Column12116"/>
    <tableColumn id="12122" xr3:uid="{6560A392-22FE-4336-A1A2-091660EE53F5}" name="Column12117"/>
    <tableColumn id="12123" xr3:uid="{2A5AEBA3-7FC0-4A17-AFB8-261353DFA752}" name="Column12118"/>
    <tableColumn id="12124" xr3:uid="{7A64D94B-AF3D-482A-BF56-B6E8362BFC40}" name="Column12119"/>
    <tableColumn id="12125" xr3:uid="{51BA2183-23F5-4CB4-9928-EBB053B4128F}" name="Column12120"/>
    <tableColumn id="12126" xr3:uid="{A31EE736-4591-4ECC-95F8-BFB9B8290F6D}" name="Column12121"/>
    <tableColumn id="12127" xr3:uid="{8B830A2D-1FA1-4680-9853-2006F008101A}" name="Column12122"/>
    <tableColumn id="12128" xr3:uid="{BD5CBE92-73F8-4B7E-9928-55533F171CE9}" name="Column12123"/>
    <tableColumn id="12129" xr3:uid="{7C64952D-62E2-4806-AE41-A69A1E2D5720}" name="Column12124"/>
    <tableColumn id="12130" xr3:uid="{575652FD-FD46-447A-A3BD-4612E7D32963}" name="Column12125"/>
    <tableColumn id="12131" xr3:uid="{F8C925E6-3596-42E4-A975-0660ABF14B37}" name="Column12126"/>
    <tableColumn id="12132" xr3:uid="{C3483B7F-A06D-47A7-9B89-0A8580B72103}" name="Column12127"/>
    <tableColumn id="12133" xr3:uid="{90ACBB99-EFDB-4196-9DF5-45A488B5FC74}" name="Column12128"/>
    <tableColumn id="12134" xr3:uid="{D406DBA1-4B5E-4941-837E-CE7154721E0F}" name="Column12129"/>
    <tableColumn id="12135" xr3:uid="{DFD820B3-8DF8-43CB-BBC5-0F0173639252}" name="Column12130"/>
    <tableColumn id="12136" xr3:uid="{3FA1DC75-34C7-4DD4-9225-FECD3475CB7C}" name="Column12131"/>
    <tableColumn id="12137" xr3:uid="{8D613E3D-8FD0-4D95-ADD6-178C613D0FE9}" name="Column12132"/>
    <tableColumn id="12138" xr3:uid="{62AE11BE-5ADC-4100-B0C8-28EFA1AE9F0A}" name="Column12133"/>
    <tableColumn id="12139" xr3:uid="{80C2D42E-14B9-4994-B1D0-0F0E9692990C}" name="Column12134"/>
    <tableColumn id="12140" xr3:uid="{B5814450-1B40-4182-B8A9-7127ECF25472}" name="Column12135"/>
    <tableColumn id="12141" xr3:uid="{DCFCD01B-CE9C-403E-B5A8-BF8009B1B8AB}" name="Column12136"/>
    <tableColumn id="12142" xr3:uid="{5E16A9BA-700A-45F1-AD67-18B4C4FE8629}" name="Column12137"/>
    <tableColumn id="12143" xr3:uid="{C969760B-D688-4DF1-AE07-4119B509B287}" name="Column12138"/>
    <tableColumn id="12144" xr3:uid="{1D52EB34-7693-4771-A0D4-005B7A2FD483}" name="Column12139"/>
    <tableColumn id="12145" xr3:uid="{0334F205-960A-4DEC-828D-9B4B0176AB57}" name="Column12140"/>
    <tableColumn id="12146" xr3:uid="{0CD1CCAC-CC71-4310-AC75-768A5A82AE9E}" name="Column12141"/>
    <tableColumn id="12147" xr3:uid="{2B424C70-118A-43DE-9E96-A549F28C0ED7}" name="Column12142"/>
    <tableColumn id="12148" xr3:uid="{1F23D9D1-2DC1-453F-A8F9-B54BCC5A44DC}" name="Column12143"/>
    <tableColumn id="12149" xr3:uid="{847D6E0F-93BC-4601-A2A9-D6C4ED9273EB}" name="Column12144"/>
    <tableColumn id="12150" xr3:uid="{9CAE700E-A338-42B7-91CB-02C00B47D259}" name="Column12145"/>
    <tableColumn id="12151" xr3:uid="{E62954BA-5442-49F2-B6C9-951E9307B11F}" name="Column12146"/>
    <tableColumn id="12152" xr3:uid="{6F28B861-3165-48D0-AB31-2D6DCE61B974}" name="Column12147"/>
    <tableColumn id="12153" xr3:uid="{A84D5A24-D047-49D0-8FCD-324805CB19A5}" name="Column12148"/>
    <tableColumn id="12154" xr3:uid="{3AE6A562-83F6-46A8-B676-DBA31D3E1DC3}" name="Column12149"/>
    <tableColumn id="12155" xr3:uid="{CD03BAFA-8983-417A-9440-19FF40DDA21B}" name="Column12150"/>
    <tableColumn id="12156" xr3:uid="{DDACA420-D663-45FA-9976-47AB22B807DE}" name="Column12151"/>
    <tableColumn id="12157" xr3:uid="{15DDB562-41F9-4E39-BF4E-AEAF924D96C6}" name="Column12152"/>
    <tableColumn id="12158" xr3:uid="{BE234867-C124-4CA0-968E-BA1207300364}" name="Column12153"/>
    <tableColumn id="12159" xr3:uid="{D124186B-517C-42E6-B0CE-F1DC762C2452}" name="Column12154"/>
    <tableColumn id="12160" xr3:uid="{8B82E61B-DF3C-443A-8F92-2088CC8140D4}" name="Column12155"/>
    <tableColumn id="12161" xr3:uid="{40AD3184-8F12-4F5A-BB8D-9B4DE9020D3B}" name="Column12156"/>
    <tableColumn id="12162" xr3:uid="{CB81A3A8-F4D0-43B6-99DE-FC5C7BD19002}" name="Column12157"/>
    <tableColumn id="12163" xr3:uid="{51C1FD7C-1A68-4F3A-9A10-0F06B63748CB}" name="Column12158"/>
    <tableColumn id="12164" xr3:uid="{A19C5ADB-FE97-4227-9BEE-89D2AABAD4B6}" name="Column12159"/>
    <tableColumn id="12165" xr3:uid="{7B54EA25-04F2-43FF-9F80-BD045E968C5E}" name="Column12160"/>
    <tableColumn id="12166" xr3:uid="{5C2F0010-E2EE-40D3-830C-F74324420886}" name="Column12161"/>
    <tableColumn id="12167" xr3:uid="{93ED67F6-27ED-42B3-8694-7046CBC4AD26}" name="Column12162"/>
    <tableColumn id="12168" xr3:uid="{F297FE3B-B345-448F-BD13-8A1EFD30883E}" name="Column12163"/>
    <tableColumn id="12169" xr3:uid="{E4BE7A75-79F6-4B7A-8296-84D359C64FF0}" name="Column12164"/>
    <tableColumn id="12170" xr3:uid="{9EC92968-7559-4F74-815D-FEE1A31DE866}" name="Column12165"/>
    <tableColumn id="12171" xr3:uid="{8FD9FE1B-A1AC-4B99-9F90-A02282A70256}" name="Column12166"/>
    <tableColumn id="12172" xr3:uid="{6A4408F6-713A-463D-8DE2-84DD0D87F1D8}" name="Column12167"/>
    <tableColumn id="12173" xr3:uid="{F0AFF445-6FA1-4FC8-A22D-001132B018F8}" name="Column12168"/>
    <tableColumn id="12174" xr3:uid="{95D5D926-DAC8-4209-AF3B-E2BCAFF5CA7B}" name="Column12169"/>
    <tableColumn id="12175" xr3:uid="{A75CA236-A2A4-4EBC-980A-7515252E23E2}" name="Column12170"/>
    <tableColumn id="12176" xr3:uid="{3A129638-B6FC-4042-BB64-F22C9AE2DDB1}" name="Column12171"/>
    <tableColumn id="12177" xr3:uid="{73047234-8C72-4441-A735-7070DF0070B6}" name="Column12172"/>
    <tableColumn id="12178" xr3:uid="{67470D9B-57BF-456C-B47F-B6FC0E40735A}" name="Column12173"/>
    <tableColumn id="12179" xr3:uid="{8B5AEE97-DCF6-4D17-9AED-53476A34FCB4}" name="Column12174"/>
    <tableColumn id="12180" xr3:uid="{CD7F5128-ABF0-403A-9244-5E7BAA6D0B1E}" name="Column12175"/>
    <tableColumn id="12181" xr3:uid="{9F35457B-1E26-4D3C-81A0-EE4616D0C691}" name="Column12176"/>
    <tableColumn id="12182" xr3:uid="{E1344A47-E9BE-4F2B-91CB-B4011F2A3C82}" name="Column12177"/>
    <tableColumn id="12183" xr3:uid="{628C77FC-9E14-4EDB-9B8C-078B244F9912}" name="Column12178"/>
    <tableColumn id="12184" xr3:uid="{EE79F908-2DEE-4426-B75A-DF8BFC9E035E}" name="Column12179"/>
    <tableColumn id="12185" xr3:uid="{F06EDC40-3756-4EA3-9718-DA153DEF6266}" name="Column12180"/>
    <tableColumn id="12186" xr3:uid="{8A410902-9F9E-40E7-A6E7-29DD32A78E3F}" name="Column12181"/>
    <tableColumn id="12187" xr3:uid="{31048090-7EB3-4459-9677-527D192B07C3}" name="Column12182"/>
    <tableColumn id="12188" xr3:uid="{84855E88-7235-4F5D-B60A-FC68F18C41BD}" name="Column12183"/>
    <tableColumn id="12189" xr3:uid="{0E517209-EED5-46A9-B460-65FA883F1BC2}" name="Column12184"/>
    <tableColumn id="12190" xr3:uid="{A3E7F082-83F9-4B27-9F74-C015D08D0F1A}" name="Column12185"/>
    <tableColumn id="12191" xr3:uid="{5D8E6339-62E5-476A-A74D-B51358F3DAD3}" name="Column12186"/>
    <tableColumn id="12192" xr3:uid="{53FF49F9-5B26-4747-8EC4-4EC45B899014}" name="Column12187"/>
    <tableColumn id="12193" xr3:uid="{20F7DC50-7B6F-4220-B5CC-D89BDDCBFF7F}" name="Column12188"/>
    <tableColumn id="12194" xr3:uid="{A5378D2A-C08C-491B-89E4-3C239F4ABAF9}" name="Column12189"/>
    <tableColumn id="12195" xr3:uid="{0317E9ED-425F-42A9-8A73-79496D090D88}" name="Column12190"/>
    <tableColumn id="12196" xr3:uid="{8AF1994F-72E6-4B7A-9879-20C53FCC2772}" name="Column12191"/>
    <tableColumn id="12197" xr3:uid="{C5C38D2F-27D2-4071-BFBF-31FED0096AA9}" name="Column12192"/>
    <tableColumn id="12198" xr3:uid="{11269DD8-247E-4003-A4CE-9742CD921DBA}" name="Column12193"/>
    <tableColumn id="12199" xr3:uid="{A00738B8-F28C-467E-8BDB-D2D4A7452A7E}" name="Column12194"/>
    <tableColumn id="12200" xr3:uid="{C07B75FD-5ACF-4CAB-B274-8A3ADE08B1DD}" name="Column12195"/>
    <tableColumn id="12201" xr3:uid="{8CF6764A-03A3-475A-92D4-ECDC1A0423FB}" name="Column12196"/>
    <tableColumn id="12202" xr3:uid="{7B800826-642D-4E6B-BBBC-06DBCC574734}" name="Column12197"/>
    <tableColumn id="12203" xr3:uid="{0CA5B55E-3302-4DAF-BA38-A99041C8D1B9}" name="Column12198"/>
    <tableColumn id="12204" xr3:uid="{57480914-97FD-4759-AD2F-20FDD3B49645}" name="Column12199"/>
    <tableColumn id="12205" xr3:uid="{93239E79-D8D1-4805-B44E-2A3520DB180A}" name="Column12200"/>
    <tableColumn id="12206" xr3:uid="{72C41738-883F-4D30-AC67-B0B1F3EB3298}" name="Column12201"/>
    <tableColumn id="12207" xr3:uid="{FF4142FA-1C86-4B77-A419-D3CE4794B649}" name="Column12202"/>
    <tableColumn id="12208" xr3:uid="{B97DB10D-B49A-4543-91C7-3FD9640D2BFA}" name="Column12203"/>
    <tableColumn id="12209" xr3:uid="{BC87011F-474A-40C4-AC96-D302B230BD72}" name="Column12204"/>
    <tableColumn id="12210" xr3:uid="{BC64DCE0-F7D1-4DF6-BACF-60892949D00E}" name="Column12205"/>
    <tableColumn id="12211" xr3:uid="{FBA33099-35CC-47D4-911F-AE1F7ABF5FEA}" name="Column12206"/>
    <tableColumn id="12212" xr3:uid="{14F4C12B-1604-4090-9D4D-785C6D94B3A7}" name="Column12207"/>
    <tableColumn id="12213" xr3:uid="{E96352C8-82CA-4E63-A3DF-0D7B5D042F1C}" name="Column12208"/>
    <tableColumn id="12214" xr3:uid="{5406FE9E-366F-466E-B155-B5BA9C92AC24}" name="Column12209"/>
    <tableColumn id="12215" xr3:uid="{2D868CDB-C4B2-4E7E-8BF1-16759391BC15}" name="Column12210"/>
    <tableColumn id="12216" xr3:uid="{9B2DB063-FB38-430B-B3C5-257629D60E04}" name="Column12211"/>
    <tableColumn id="12217" xr3:uid="{2BCCA56C-DE64-400D-83CF-2650F022706C}" name="Column12212"/>
    <tableColumn id="12218" xr3:uid="{EE19B213-AA3A-453F-B6F4-C54BF09AAD26}" name="Column12213"/>
    <tableColumn id="12219" xr3:uid="{E05ECFE1-5E8B-41E1-9D8F-8374FBF9FF10}" name="Column12214"/>
    <tableColumn id="12220" xr3:uid="{09D2DAAC-40E0-40D5-8BCE-258AAE6B1BBC}" name="Column12215"/>
    <tableColumn id="12221" xr3:uid="{FA605E02-798C-4EEC-AC55-F1EDA648DEBF}" name="Column12216"/>
    <tableColumn id="12222" xr3:uid="{EF78A41A-1BB4-4477-90E4-389BCC240ABF}" name="Column12217"/>
    <tableColumn id="12223" xr3:uid="{8388E512-1D86-44F6-90FB-DD67984662E6}" name="Column12218"/>
    <tableColumn id="12224" xr3:uid="{E74EEA55-EDB7-42C3-9C1A-1AC4C3898781}" name="Column12219"/>
    <tableColumn id="12225" xr3:uid="{4F73FB8A-245F-4D70-8533-50FC9759C62D}" name="Column12220"/>
    <tableColumn id="12226" xr3:uid="{D59249AE-AB9F-4480-B3F6-C70EFDDB4DF9}" name="Column12221"/>
    <tableColumn id="12227" xr3:uid="{CDAF7686-2B1E-45AC-9744-0EABCDEFC32A}" name="Column12222"/>
    <tableColumn id="12228" xr3:uid="{1B49734D-0934-4707-BF61-A3CF3FF7C88C}" name="Column12223"/>
    <tableColumn id="12229" xr3:uid="{1406B39E-56C5-4A61-A153-4B99B2791DC3}" name="Column12224"/>
    <tableColumn id="12230" xr3:uid="{DBC34A6A-C121-4ECE-8926-F70CE7E27D83}" name="Column12225"/>
    <tableColumn id="12231" xr3:uid="{5B9CA82E-59A3-4353-ADD4-625744154692}" name="Column12226"/>
    <tableColumn id="12232" xr3:uid="{07ECAAC4-0DFF-40F7-8D82-A1FEF6F6E1DE}" name="Column12227"/>
    <tableColumn id="12233" xr3:uid="{0DAFAFB2-492E-4366-8D3C-6C676EBB3D70}" name="Column12228"/>
    <tableColumn id="12234" xr3:uid="{9075D7C3-25A4-4DA7-B8F1-747727BDD54D}" name="Column12229"/>
    <tableColumn id="12235" xr3:uid="{241199C6-5B78-4B38-93FD-31C6147C1A5C}" name="Column12230"/>
    <tableColumn id="12236" xr3:uid="{110FF748-5953-4DFC-9456-1348347A9071}" name="Column12231"/>
    <tableColumn id="12237" xr3:uid="{9F584E67-487A-4B49-8EA4-653127E08902}" name="Column12232"/>
    <tableColumn id="12238" xr3:uid="{9C343977-903A-4AA6-B716-43D51E03D499}" name="Column12233"/>
    <tableColumn id="12239" xr3:uid="{8FC6F6CD-96D5-4AE1-9BDE-B5EF17B8B39B}" name="Column12234"/>
    <tableColumn id="12240" xr3:uid="{497D2C0F-B5E9-4546-A2BF-F230D70EE5AE}" name="Column12235"/>
    <tableColumn id="12241" xr3:uid="{1244CECB-C975-4187-B3B3-E35334F8593D}" name="Column12236"/>
    <tableColumn id="12242" xr3:uid="{2C71CF02-15AF-4072-8AF4-BEC83877ADEB}" name="Column12237"/>
    <tableColumn id="12243" xr3:uid="{3347A04F-20CE-4AB7-BC44-78FE60A6B0F9}" name="Column12238"/>
    <tableColumn id="12244" xr3:uid="{A22AD234-F725-41DD-A900-D5F035B27FD0}" name="Column12239"/>
    <tableColumn id="12245" xr3:uid="{F0009FDE-3B09-4015-BBD7-A77F8AA5EC4F}" name="Column12240"/>
    <tableColumn id="12246" xr3:uid="{190F5DC9-4E6B-40FD-8750-3B9366AC9E96}" name="Column12241"/>
    <tableColumn id="12247" xr3:uid="{96A64266-79E2-45EE-856B-82AFD1F94053}" name="Column12242"/>
    <tableColumn id="12248" xr3:uid="{95B4E5A1-9F8F-404D-9664-43E580106CA4}" name="Column12243"/>
    <tableColumn id="12249" xr3:uid="{0C30EBE7-9314-4563-9654-0E9407F683DE}" name="Column12244"/>
    <tableColumn id="12250" xr3:uid="{F19DFE83-C4DA-4999-B8E2-9D19A082E288}" name="Column12245"/>
    <tableColumn id="12251" xr3:uid="{1F7446F0-0B99-44F8-AF29-95959F15E053}" name="Column12246"/>
    <tableColumn id="12252" xr3:uid="{1CDB5B17-36E8-4553-A470-15FE44969009}" name="Column12247"/>
    <tableColumn id="12253" xr3:uid="{630C92D5-5241-4577-B745-82F7E4C5B6FB}" name="Column12248"/>
    <tableColumn id="12254" xr3:uid="{50A5CE4B-9165-4AA0-9A74-13EFC68F1226}" name="Column12249"/>
    <tableColumn id="12255" xr3:uid="{BCC62705-099B-4DEA-8CA9-635428D23226}" name="Column12250"/>
    <tableColumn id="12256" xr3:uid="{BCFF188D-7347-4F8C-8233-26EC5FC512AF}" name="Column12251"/>
    <tableColumn id="12257" xr3:uid="{D90CF0F2-D438-4041-8179-D8321D01D7EB}" name="Column12252"/>
    <tableColumn id="12258" xr3:uid="{E34DEA19-A4C2-43D8-91A6-014B1771DA51}" name="Column12253"/>
    <tableColumn id="12259" xr3:uid="{343D86A8-1D17-4F53-84EB-E06C8601AABE}" name="Column12254"/>
    <tableColumn id="12260" xr3:uid="{40987CB9-74A0-4845-8862-F6DF2960FE96}" name="Column12255"/>
    <tableColumn id="12261" xr3:uid="{B857FA72-6397-453B-A0EF-E01ABC06BA3B}" name="Column12256"/>
    <tableColumn id="12262" xr3:uid="{3DA3A74E-7C1D-46C0-8E1F-D55E410E5EDB}" name="Column12257"/>
    <tableColumn id="12263" xr3:uid="{BEC90351-782F-47F2-AF25-03DEF2D2E2E6}" name="Column12258"/>
    <tableColumn id="12264" xr3:uid="{B878FA98-380C-456F-B75A-545703678BA6}" name="Column12259"/>
    <tableColumn id="12265" xr3:uid="{5FE0DBFD-0039-442E-A3FA-D1B5C67EC472}" name="Column12260"/>
    <tableColumn id="12266" xr3:uid="{E67CD958-D296-4ADF-9410-D00820DD9EC1}" name="Column12261"/>
    <tableColumn id="12267" xr3:uid="{A8E437D6-4E23-4A3C-9035-57EF4C2A9E05}" name="Column12262"/>
    <tableColumn id="12268" xr3:uid="{96AA7134-6368-4043-A7BD-4B4F5214A706}" name="Column12263"/>
    <tableColumn id="12269" xr3:uid="{4D6F3664-F9C2-4E2E-9753-C0F8A5017B53}" name="Column12264"/>
    <tableColumn id="12270" xr3:uid="{82669EA8-4285-4268-955E-A820C741BBBA}" name="Column12265"/>
    <tableColumn id="12271" xr3:uid="{5D92001C-2E3F-4D88-B1D8-C784DACACAAD}" name="Column12266"/>
    <tableColumn id="12272" xr3:uid="{1EC7DFF3-952F-4ED8-9FBB-853162CEA4F1}" name="Column12267"/>
    <tableColumn id="12273" xr3:uid="{E421A782-2C29-4431-98B8-5472AD66F3EB}" name="Column12268"/>
    <tableColumn id="12274" xr3:uid="{DE72CA59-3BCB-48EB-AAEE-AD107E20232E}" name="Column12269"/>
    <tableColumn id="12275" xr3:uid="{5AA05A79-924F-4E72-9E0C-F6657ADEB2B6}" name="Column12270"/>
    <tableColumn id="12276" xr3:uid="{EDEF6F28-29C8-4E24-93BD-AA77763D3C5C}" name="Column12271"/>
    <tableColumn id="12277" xr3:uid="{BD70E75F-302D-4C5C-962C-D2E511C5628D}" name="Column12272"/>
    <tableColumn id="12278" xr3:uid="{811D6304-759B-4135-8D44-FAC9C47FCE8C}" name="Column12273"/>
    <tableColumn id="12279" xr3:uid="{F6E8273F-8979-41B9-9B00-D9102A27CC3C}" name="Column12274"/>
    <tableColumn id="12280" xr3:uid="{3E96475E-7854-4E5F-BA3D-C17DFAFF49EF}" name="Column12275"/>
    <tableColumn id="12281" xr3:uid="{7981F742-3E84-44BB-A082-F8CA765A784A}" name="Column12276"/>
    <tableColumn id="12282" xr3:uid="{A7B75CC2-4AF4-4D0F-B771-F2CC943DF916}" name="Column12277"/>
    <tableColumn id="12283" xr3:uid="{9CD788B2-A03B-4BD4-950A-C864550B4169}" name="Column12278"/>
    <tableColumn id="12284" xr3:uid="{6C551BB1-554B-4C6E-ADE0-DA271060C9A1}" name="Column12279"/>
    <tableColumn id="12285" xr3:uid="{FB42F389-2DF1-4A23-9BB6-75987F35C034}" name="Column12280"/>
    <tableColumn id="12286" xr3:uid="{D712F845-FC0D-4C22-9B4B-4551891A754D}" name="Column12281"/>
    <tableColumn id="12287" xr3:uid="{4E98AB09-B524-4241-B685-BD7C50887D92}" name="Column12282"/>
    <tableColumn id="12288" xr3:uid="{C2145E40-FD71-4012-BDB5-3754550F5717}" name="Column12283"/>
    <tableColumn id="12289" xr3:uid="{E4E2F2CA-E52D-4BCE-94C7-A49E1E213481}" name="Column12284"/>
    <tableColumn id="12290" xr3:uid="{A826120A-263E-4CAD-BCB7-285F43F3BBD5}" name="Column12285"/>
    <tableColumn id="12291" xr3:uid="{2E2FD08F-DF06-4258-B4EE-5DCF9387DEB5}" name="Column12286"/>
    <tableColumn id="12292" xr3:uid="{66049012-9E8D-481A-963F-0D8EF2234F39}" name="Column12287"/>
    <tableColumn id="12293" xr3:uid="{45C68566-7A9F-42A6-BC6B-49178CA23D8A}" name="Column12288"/>
    <tableColumn id="12294" xr3:uid="{3F1FA1EF-F5CB-4828-9435-248A38FA19D5}" name="Column12289"/>
    <tableColumn id="12295" xr3:uid="{7177BAE6-039C-4AD8-909D-367E8476D262}" name="Column12290"/>
    <tableColumn id="12296" xr3:uid="{158FDCA8-9DB3-472C-92A9-852220CA4320}" name="Column12291"/>
    <tableColumn id="12297" xr3:uid="{214EBF93-F9B5-48E8-8653-685D3EDB7701}" name="Column12292"/>
    <tableColumn id="12298" xr3:uid="{9B2C3A76-02AA-4968-81AB-DBCADD3BBDC6}" name="Column12293"/>
    <tableColumn id="12299" xr3:uid="{D8E3764B-BEE8-48F9-B99F-A1C81D11DB5C}" name="Column12294"/>
    <tableColumn id="12300" xr3:uid="{52EC2D51-72AB-43B7-B161-97F46C9C04E7}" name="Column12295"/>
    <tableColumn id="12301" xr3:uid="{33A7469B-6F43-4C97-8D49-DE58287D8CEB}" name="Column12296"/>
    <tableColumn id="12302" xr3:uid="{96C87006-8509-496A-A2A3-ADB922A7FBFC}" name="Column12297"/>
    <tableColumn id="12303" xr3:uid="{8B76FEAC-130E-4021-8DD6-4FF4F99EEBFE}" name="Column12298"/>
    <tableColumn id="12304" xr3:uid="{81974F58-FA1D-4125-A839-9A246D874BA3}" name="Column12299"/>
    <tableColumn id="12305" xr3:uid="{9B35EEFB-7A1A-433B-AC54-D0E675D64312}" name="Column12300"/>
    <tableColumn id="12306" xr3:uid="{8D2670C3-6F47-46B7-AE74-4FD0F68ADE1B}" name="Column12301"/>
    <tableColumn id="12307" xr3:uid="{5AE6A03F-E101-407F-A164-1BE9B866B060}" name="Column12302"/>
    <tableColumn id="12308" xr3:uid="{64232A04-0B12-4426-AA69-87A687520280}" name="Column12303"/>
    <tableColumn id="12309" xr3:uid="{F4E8BAE1-397D-4B18-A27D-F7A7ED16D410}" name="Column12304"/>
    <tableColumn id="12310" xr3:uid="{08B5AA7D-6648-4E94-A0CE-3936412C8641}" name="Column12305"/>
    <tableColumn id="12311" xr3:uid="{264914F1-A565-4DFB-9727-2725BC4420DB}" name="Column12306"/>
    <tableColumn id="12312" xr3:uid="{47CACFDA-C4FE-442B-BE64-1D2393D3A59F}" name="Column12307"/>
    <tableColumn id="12313" xr3:uid="{6D29E533-F5C6-44A4-9929-910C69DAEF48}" name="Column12308"/>
    <tableColumn id="12314" xr3:uid="{19431DA8-F617-4CEC-A925-EAF6D2759B1B}" name="Column12309"/>
    <tableColumn id="12315" xr3:uid="{891BDF92-5E80-4388-AAE9-A489AEA10489}" name="Column12310"/>
    <tableColumn id="12316" xr3:uid="{A9DFCFC4-2217-47B8-89AC-0B6F05FE1B34}" name="Column12311"/>
    <tableColumn id="12317" xr3:uid="{EAF5F75E-0ABC-4078-8A99-9DEFEB619822}" name="Column12312"/>
    <tableColumn id="12318" xr3:uid="{1690BBAA-EBA1-4A85-9E2C-26314443B65B}" name="Column12313"/>
    <tableColumn id="12319" xr3:uid="{C1F938B3-5E39-4B47-8FC2-6FDC64F4D4BF}" name="Column12314"/>
    <tableColumn id="12320" xr3:uid="{80C96AAD-4002-4BA2-9BDC-FE3165FEFF52}" name="Column12315"/>
    <tableColumn id="12321" xr3:uid="{6B2B600F-B0A7-49FC-BBCB-C40579D0FBB5}" name="Column12316"/>
    <tableColumn id="12322" xr3:uid="{A0F5E84C-01AE-4D23-AB34-EE806DC4B4E7}" name="Column12317"/>
    <tableColumn id="12323" xr3:uid="{611D95D0-7458-4471-8981-224ADE35A31F}" name="Column12318"/>
    <tableColumn id="12324" xr3:uid="{419DCB5C-D6E7-4B1C-8478-3F657999F2EA}" name="Column12319"/>
    <tableColumn id="12325" xr3:uid="{B6D58805-E33B-4894-A0CA-00562F4B6342}" name="Column12320"/>
    <tableColumn id="12326" xr3:uid="{F86A46CC-65F1-4A81-8799-B9417C92112D}" name="Column12321"/>
    <tableColumn id="12327" xr3:uid="{7D4B553F-60E8-449C-850D-D62914123C24}" name="Column12322"/>
    <tableColumn id="12328" xr3:uid="{B54A5889-7A07-48C4-9B1C-C3C12F922A16}" name="Column12323"/>
    <tableColumn id="12329" xr3:uid="{32FFA0E7-0D2C-4A7C-BF26-72960D9FA3BB}" name="Column12324"/>
    <tableColumn id="12330" xr3:uid="{313A6395-57A6-4AE5-9EED-B055D05B75AD}" name="Column12325"/>
    <tableColumn id="12331" xr3:uid="{DC239713-3C19-4FDF-A7CE-D6F2072EC10B}" name="Column12326"/>
    <tableColumn id="12332" xr3:uid="{4D0A06C0-4CCB-4FF7-B0EB-A655A8FA17C5}" name="Column12327"/>
    <tableColumn id="12333" xr3:uid="{DEA22C59-8C56-43B0-B091-8E92D4E35932}" name="Column12328"/>
    <tableColumn id="12334" xr3:uid="{815FE856-2B10-4611-A53A-F10A4785B78A}" name="Column12329"/>
    <tableColumn id="12335" xr3:uid="{AEA6D0D5-6874-4E9E-9709-0D15F4614439}" name="Column12330"/>
    <tableColumn id="12336" xr3:uid="{E36A173A-4B5B-4CFB-9ECD-F29BD9A4EC18}" name="Column12331"/>
    <tableColumn id="12337" xr3:uid="{69437260-B823-4361-A821-5747D69F0A34}" name="Column12332"/>
    <tableColumn id="12338" xr3:uid="{8C8CBB0A-AACD-4648-B293-8A1154D382E4}" name="Column12333"/>
    <tableColumn id="12339" xr3:uid="{5154DA5C-53A0-42B0-A655-4260D7E1A6F1}" name="Column12334"/>
    <tableColumn id="12340" xr3:uid="{9AAF519A-1B42-4808-A272-ABE097A26057}" name="Column12335"/>
    <tableColumn id="12341" xr3:uid="{34FC19E8-71EA-4502-9950-47947495EA9F}" name="Column12336"/>
    <tableColumn id="12342" xr3:uid="{4B681C73-420A-4291-B0FE-F3FB4291A4D1}" name="Column12337"/>
    <tableColumn id="12343" xr3:uid="{6AE0EDD5-5C77-488F-9AD2-D5AA97A05C7B}" name="Column12338"/>
    <tableColumn id="12344" xr3:uid="{D61DFAA6-0AAA-4DF6-B8C3-D0F4D86711C0}" name="Column12339"/>
    <tableColumn id="12345" xr3:uid="{903633E8-E974-4E22-BC0B-50E1493AC5F1}" name="Column12340"/>
    <tableColumn id="12346" xr3:uid="{4416EB6A-8F2C-4DE4-A60A-0FF5CF21DACC}" name="Column12341"/>
    <tableColumn id="12347" xr3:uid="{94EED8F1-C719-4619-A013-78A0F5A967F5}" name="Column12342"/>
    <tableColumn id="12348" xr3:uid="{C29139BA-1C53-42AE-AB6C-73552F187034}" name="Column12343"/>
    <tableColumn id="12349" xr3:uid="{3E76884D-92BF-488B-8CC6-9D7831FDFD8C}" name="Column12344"/>
    <tableColumn id="12350" xr3:uid="{8471896D-8239-4834-A366-07F71B7A51A8}" name="Column12345"/>
    <tableColumn id="12351" xr3:uid="{8C8B9DF7-3884-437D-995F-20EF744ED004}" name="Column12346"/>
    <tableColumn id="12352" xr3:uid="{5034CA67-2F04-4D44-8E8B-6D36616544E9}" name="Column12347"/>
    <tableColumn id="12353" xr3:uid="{3637AD95-B43E-4FC6-A95D-FB307882731A}" name="Column12348"/>
    <tableColumn id="12354" xr3:uid="{C2BEC2FC-90A0-4365-8188-81A7825495FE}" name="Column12349"/>
    <tableColumn id="12355" xr3:uid="{001545AB-EEFF-465A-836E-C6FD61D10154}" name="Column12350"/>
    <tableColumn id="12356" xr3:uid="{7A0240C0-4CB7-466B-9C7F-1D25C4286DFC}" name="Column12351"/>
    <tableColumn id="12357" xr3:uid="{83349DC4-0794-4605-967E-E393E197CD85}" name="Column12352"/>
    <tableColumn id="12358" xr3:uid="{A6FD3943-4F8C-48D0-AFBC-A8CEF0C7482B}" name="Column12353"/>
    <tableColumn id="12359" xr3:uid="{0BF34252-9EE0-4151-82C7-B32974691929}" name="Column12354"/>
    <tableColumn id="12360" xr3:uid="{86ECC9E6-4BC6-4EFF-8DF1-1E16F36CF451}" name="Column12355"/>
    <tableColumn id="12361" xr3:uid="{E0B668E1-6249-44D3-A866-04FDE62032AB}" name="Column12356"/>
    <tableColumn id="12362" xr3:uid="{E2DA4E3A-7FC2-4171-AA2D-59E0E05CD061}" name="Column12357"/>
    <tableColumn id="12363" xr3:uid="{EB6672C8-FEDD-4759-90EB-A0E34B3E9BEC}" name="Column12358"/>
    <tableColumn id="12364" xr3:uid="{4772F26B-2D1B-4335-B8CF-3DB6417C2F10}" name="Column12359"/>
    <tableColumn id="12365" xr3:uid="{0A69198A-B425-468E-9C1D-0490BA6C652B}" name="Column12360"/>
    <tableColumn id="12366" xr3:uid="{BD62712C-494C-4DBD-9884-ABB316B63B7F}" name="Column12361"/>
    <tableColumn id="12367" xr3:uid="{16BF8952-3A28-4BF9-BE38-588ABAA0B8FD}" name="Column12362"/>
    <tableColumn id="12368" xr3:uid="{9DD7DC1B-4058-48AE-B9D5-959DB6CD9836}" name="Column12363"/>
    <tableColumn id="12369" xr3:uid="{B7D6CDDB-8DAF-455A-9C7A-6D7D4670B463}" name="Column12364"/>
    <tableColumn id="12370" xr3:uid="{E4914EF2-F68D-40C7-BFA3-C8D74055F5FD}" name="Column12365"/>
    <tableColumn id="12371" xr3:uid="{27B931EC-4EB6-4CC0-BDC3-AD68BE9FCE7F}" name="Column12366"/>
    <tableColumn id="12372" xr3:uid="{7BA435A7-D380-408A-80B3-64669839A874}" name="Column12367"/>
    <tableColumn id="12373" xr3:uid="{91F93901-8D60-4A10-A328-1C3DA55572DC}" name="Column12368"/>
    <tableColumn id="12374" xr3:uid="{B5A9CF07-444E-4643-A451-9F6D46E575B2}" name="Column12369"/>
    <tableColumn id="12375" xr3:uid="{29367D6D-C1D5-4064-ADC9-A438103090AA}" name="Column12370"/>
    <tableColumn id="12376" xr3:uid="{B0BBC624-40DB-466A-9990-F4576D1FD2D5}" name="Column12371"/>
    <tableColumn id="12377" xr3:uid="{522E9322-8636-400F-AC27-3E20B25B3C7C}" name="Column12372"/>
    <tableColumn id="12378" xr3:uid="{7025F3F8-436A-4E35-84D0-0BFC90A23145}" name="Column12373"/>
    <tableColumn id="12379" xr3:uid="{DEFEE8F4-AAEC-4680-A4FA-01A917551BBD}" name="Column12374"/>
    <tableColumn id="12380" xr3:uid="{6412C0D4-849F-4087-95AB-D41C6F658834}" name="Column12375"/>
    <tableColumn id="12381" xr3:uid="{56EAFDF8-A8A4-48ED-B2DD-A1D9F51FD3E6}" name="Column12376"/>
    <tableColumn id="12382" xr3:uid="{31B1F2A6-43BA-43C9-9752-223330DE8E99}" name="Column12377"/>
    <tableColumn id="12383" xr3:uid="{B3B2758A-5466-4389-9971-DE6630B5617E}" name="Column12378"/>
    <tableColumn id="12384" xr3:uid="{91F1C762-ECCA-43EF-ACF8-599228DB2878}" name="Column12379"/>
    <tableColumn id="12385" xr3:uid="{01AA7AAA-F8AB-4C5E-87FE-B8928FFD007E}" name="Column12380"/>
    <tableColumn id="12386" xr3:uid="{E76DCB28-5385-40D8-9185-4D8E6ADFFC4B}" name="Column12381"/>
    <tableColumn id="12387" xr3:uid="{04066CD5-75E3-453A-86A1-2270DFEC72A5}" name="Column12382"/>
    <tableColumn id="12388" xr3:uid="{62E638C0-92C2-427D-8892-50366D3901E8}" name="Column12383"/>
    <tableColumn id="12389" xr3:uid="{76831B17-B07A-4488-B318-9FDDB34DC047}" name="Column12384"/>
    <tableColumn id="12390" xr3:uid="{77B4E32D-6C74-4584-AA09-180C9039D56B}" name="Column12385"/>
    <tableColumn id="12391" xr3:uid="{77071FE0-0C46-4F6B-A60F-F77EC29AD678}" name="Column12386"/>
    <tableColumn id="12392" xr3:uid="{06256F72-D871-4A01-8B91-24D9870C55AB}" name="Column12387"/>
    <tableColumn id="12393" xr3:uid="{60FDEC9A-4DEF-48D8-A17F-EB0E22D74038}" name="Column12388"/>
    <tableColumn id="12394" xr3:uid="{5EB20204-DCD6-4A6D-9F72-7D8119C6BC8B}" name="Column12389"/>
    <tableColumn id="12395" xr3:uid="{2D8669F5-7E62-42FC-9BDD-234F2D28401A}" name="Column12390"/>
    <tableColumn id="12396" xr3:uid="{69B5E7AD-F804-4E43-B027-17470A46959D}" name="Column12391"/>
    <tableColumn id="12397" xr3:uid="{EC96BA09-E7C9-484A-BC40-DCB3CA5F0850}" name="Column12392"/>
    <tableColumn id="12398" xr3:uid="{19FF6FC7-17C0-4399-952A-B95098260C04}" name="Column12393"/>
    <tableColumn id="12399" xr3:uid="{35A9F571-7973-4B44-9A0B-F6BDF97B6BE3}" name="Column12394"/>
    <tableColumn id="12400" xr3:uid="{4CEAD702-88F7-4A9D-B300-3174CFD096B9}" name="Column12395"/>
    <tableColumn id="12401" xr3:uid="{DB968487-6ADC-4F20-BD14-65BCA343093B}" name="Column12396"/>
    <tableColumn id="12402" xr3:uid="{5AB706D5-0F51-45A7-AD9B-6BB30FB2CD39}" name="Column12397"/>
    <tableColumn id="12403" xr3:uid="{1C17868E-9672-48E0-9CFC-1D27F7F35837}" name="Column12398"/>
    <tableColumn id="12404" xr3:uid="{E353F540-5891-4A8D-980C-2C78A611269E}" name="Column12399"/>
    <tableColumn id="12405" xr3:uid="{631C59BE-6D95-4F1F-8AA6-72E7FAD879AB}" name="Column12400"/>
    <tableColumn id="12406" xr3:uid="{AAC624F4-7DE6-46E6-8E73-8D81232A2A09}" name="Column12401"/>
    <tableColumn id="12407" xr3:uid="{1C4A369F-E098-43AD-9726-B564A78C8FFD}" name="Column12402"/>
    <tableColumn id="12408" xr3:uid="{266B2F42-7B4F-4E4A-ACAF-D9C3F3EE422D}" name="Column12403"/>
    <tableColumn id="12409" xr3:uid="{BD8A06DF-AF0A-4107-873B-103E14C9300E}" name="Column12404"/>
    <tableColumn id="12410" xr3:uid="{DD3F1499-161A-4BF0-9EFB-C6B99CE748A5}" name="Column12405"/>
    <tableColumn id="12411" xr3:uid="{77E3F690-C673-460D-8A8C-DC0A6D1BFD6A}" name="Column12406"/>
    <tableColumn id="12412" xr3:uid="{B358FD5F-71DF-4E20-868C-A8F9FDACA40B}" name="Column12407"/>
    <tableColumn id="12413" xr3:uid="{F87B8266-8069-4421-9585-5C3EA4A5DDCA}" name="Column12408"/>
    <tableColumn id="12414" xr3:uid="{33C7E324-4DFD-473C-B7BC-B0C8DB9559A7}" name="Column12409"/>
    <tableColumn id="12415" xr3:uid="{E95D4DA0-5954-4874-8F70-D6E47CB2E561}" name="Column12410"/>
    <tableColumn id="12416" xr3:uid="{AD4A603B-8422-4E5E-8CB2-B8F9D2518A9E}" name="Column12411"/>
    <tableColumn id="12417" xr3:uid="{7462349E-40D5-4B39-B817-10D658A91A9D}" name="Column12412"/>
    <tableColumn id="12418" xr3:uid="{A860B68D-6AFB-4414-9CDB-45A5264B69E3}" name="Column12413"/>
    <tableColumn id="12419" xr3:uid="{4853025E-F6C0-4023-92A6-7E28ECFC8F7C}" name="Column12414"/>
    <tableColumn id="12420" xr3:uid="{8B332FB3-4CCD-408F-9654-58A23D859DC5}" name="Column12415"/>
    <tableColumn id="12421" xr3:uid="{6FE1BAEC-0E8D-41FD-93C0-705487482AFF}" name="Column12416"/>
    <tableColumn id="12422" xr3:uid="{DBBF9521-7195-4E65-86F0-48688BCC33C1}" name="Column12417"/>
    <tableColumn id="12423" xr3:uid="{BED3D310-76EE-4BC2-8106-2F3173664905}" name="Column12418"/>
    <tableColumn id="12424" xr3:uid="{AE2E0802-4842-46EA-859F-D89BF8F90F22}" name="Column12419"/>
    <tableColumn id="12425" xr3:uid="{2316FEDD-2D2F-41FC-84CB-BEBD30FE3C19}" name="Column12420"/>
    <tableColumn id="12426" xr3:uid="{50C23972-77A2-4BEE-819D-6D1831B4CA17}" name="Column12421"/>
    <tableColumn id="12427" xr3:uid="{8A86013C-2161-483E-B615-D9022C7278D3}" name="Column12422"/>
    <tableColumn id="12428" xr3:uid="{BA1E3C5E-04C6-4783-B336-9406A00E02C2}" name="Column12423"/>
    <tableColumn id="12429" xr3:uid="{B7E92CE9-9B47-4028-A2B4-EE253B17A887}" name="Column12424"/>
    <tableColumn id="12430" xr3:uid="{1C237B59-7B92-416E-80D0-D70B2BBF5A8F}" name="Column12425"/>
    <tableColumn id="12431" xr3:uid="{9D55903A-B3BA-48F2-9072-CA18217ECEB9}" name="Column12426"/>
    <tableColumn id="12432" xr3:uid="{59237D54-7719-4BB1-B9EC-4E529EB83393}" name="Column12427"/>
    <tableColumn id="12433" xr3:uid="{0F88730B-6955-4590-BF33-0AB964614A8E}" name="Column12428"/>
    <tableColumn id="12434" xr3:uid="{238D49CB-A540-4AB0-B05F-393A291F7D31}" name="Column12429"/>
    <tableColumn id="12435" xr3:uid="{C3F031AB-D873-4EE5-85DC-4D9F8B3A677D}" name="Column12430"/>
    <tableColumn id="12436" xr3:uid="{8BAF3F95-24B4-4916-A9A0-F92622960AD7}" name="Column12431"/>
    <tableColumn id="12437" xr3:uid="{6913C93E-DB8C-4428-947D-A7568F7AF487}" name="Column12432"/>
    <tableColumn id="12438" xr3:uid="{051E6307-E7B1-494C-AA1E-F59FCB1DD9FF}" name="Column12433"/>
    <tableColumn id="12439" xr3:uid="{DFAF9178-E7A5-453F-85D8-CB9385510F1A}" name="Column12434"/>
    <tableColumn id="12440" xr3:uid="{8874CFDB-F73E-4375-9642-43521D26B0A6}" name="Column12435"/>
    <tableColumn id="12441" xr3:uid="{55F5C29D-B493-463A-B02B-AD4958C4EC44}" name="Column12436"/>
    <tableColumn id="12442" xr3:uid="{D78C25D4-9AD2-41D2-A1B3-2C127BFE5033}" name="Column12437"/>
    <tableColumn id="12443" xr3:uid="{DC99645D-F694-4008-9BBF-744BAD30B43C}" name="Column12438"/>
    <tableColumn id="12444" xr3:uid="{C117FE92-CF9D-48D5-9593-D6D5565829F0}" name="Column12439"/>
    <tableColumn id="12445" xr3:uid="{88F9DCCD-E104-4979-BA2F-BF7CCCE2A7D5}" name="Column12440"/>
    <tableColumn id="12446" xr3:uid="{F34CC222-75EE-4D01-9E46-C279A35C0A5D}" name="Column12441"/>
    <tableColumn id="12447" xr3:uid="{D9EF5F6F-8D3F-4333-823B-2F9C58D0ACFD}" name="Column12442"/>
    <tableColumn id="12448" xr3:uid="{679E5035-D33B-49B6-B566-91A9B0FE0CA1}" name="Column12443"/>
    <tableColumn id="12449" xr3:uid="{7DED0022-BFDB-4907-95A2-95AEEF828F4A}" name="Column12444"/>
    <tableColumn id="12450" xr3:uid="{A57A66DA-C40F-4F1F-A58D-855066417B88}" name="Column12445"/>
    <tableColumn id="12451" xr3:uid="{8A1190D7-2A2F-4C5F-9249-41FCCED14A0B}" name="Column12446"/>
    <tableColumn id="12452" xr3:uid="{B52F0042-659E-4FBB-A93C-121EC6B76B7E}" name="Column12447"/>
    <tableColumn id="12453" xr3:uid="{0FBE7E5A-A935-4A34-92FF-29FBB119EC5C}" name="Column12448"/>
    <tableColumn id="12454" xr3:uid="{535BCF10-BCE6-4073-BC31-58B9CBF8EE29}" name="Column12449"/>
    <tableColumn id="12455" xr3:uid="{5325DBFF-E60F-4DEF-89EB-88E5CA131F0F}" name="Column12450"/>
    <tableColumn id="12456" xr3:uid="{F7B6E0EF-0CF8-49FA-B161-53A1D34B4AAE}" name="Column12451"/>
    <tableColumn id="12457" xr3:uid="{E1BB2E92-146A-45EF-9224-D61CD46EED33}" name="Column12452"/>
    <tableColumn id="12458" xr3:uid="{C775A735-641E-4AED-B85F-F98F91095F7C}" name="Column12453"/>
    <tableColumn id="12459" xr3:uid="{AB537455-2BBF-426A-9637-12E0A222DF67}" name="Column12454"/>
    <tableColumn id="12460" xr3:uid="{4CEC5098-C5FE-4BA7-9BCD-1D80EC35E532}" name="Column12455"/>
    <tableColumn id="12461" xr3:uid="{8ADA3C07-0FC5-445E-89E2-7EDC036ECC68}" name="Column12456"/>
    <tableColumn id="12462" xr3:uid="{89C29881-5784-4418-A8C8-184C119D301B}" name="Column12457"/>
    <tableColumn id="12463" xr3:uid="{AA3FEFEE-F8F3-4700-AA69-FA998BE556EA}" name="Column12458"/>
    <tableColumn id="12464" xr3:uid="{4FB44CD0-6AE8-47D0-9A05-5BC54DFFC28D}" name="Column12459"/>
    <tableColumn id="12465" xr3:uid="{2945B1B6-9815-4978-BDE5-851A3962A9ED}" name="Column12460"/>
    <tableColumn id="12466" xr3:uid="{17AAACCE-42C6-4152-B005-7014E7A4FDEF}" name="Column12461"/>
    <tableColumn id="12467" xr3:uid="{15998E3D-6384-4C5F-BEF8-348031B3D442}" name="Column12462"/>
    <tableColumn id="12468" xr3:uid="{C12DA4E5-CC73-4E8D-B320-BFF090C34DD5}" name="Column12463"/>
    <tableColumn id="12469" xr3:uid="{AFDEC634-53F5-4CF0-8681-A9FF6D50396D}" name="Column12464"/>
    <tableColumn id="12470" xr3:uid="{1B022A2A-30A7-43D5-95CB-B934B6F53134}" name="Column12465"/>
    <tableColumn id="12471" xr3:uid="{B27292E8-D759-468E-A1C4-F499D324D4E9}" name="Column12466"/>
    <tableColumn id="12472" xr3:uid="{C32612E7-A485-4F30-897C-50B069F22CC0}" name="Column12467"/>
    <tableColumn id="12473" xr3:uid="{0E3D1EEA-A5F0-4B7D-BF79-FD1D5A2464EF}" name="Column12468"/>
    <tableColumn id="12474" xr3:uid="{30B98938-E8E7-486A-A34C-14FAB66A0364}" name="Column12469"/>
    <tableColumn id="12475" xr3:uid="{BC4B3741-4DC5-45C7-A70C-FAC79ED3FB9F}" name="Column12470"/>
    <tableColumn id="12476" xr3:uid="{597AFF6E-C121-424D-A48E-07BF834FE162}" name="Column12471"/>
    <tableColumn id="12477" xr3:uid="{F45DC620-BEDB-4CA2-B01F-832FCF2B4A09}" name="Column12472"/>
    <tableColumn id="12478" xr3:uid="{4851C094-B1B4-4BC1-B0AA-001F0D00BAF8}" name="Column12473"/>
    <tableColumn id="12479" xr3:uid="{86192AC0-B466-43F9-80D0-5F4F2FC99D82}" name="Column12474"/>
    <tableColumn id="12480" xr3:uid="{DF326F43-A222-4B8B-A094-5F27743A2062}" name="Column12475"/>
    <tableColumn id="12481" xr3:uid="{78E44329-0F4F-4DDF-9D4F-33003BE8F8E8}" name="Column12476"/>
    <tableColumn id="12482" xr3:uid="{F56C1F73-1491-4216-B49E-FF5BB86D37F0}" name="Column12477"/>
    <tableColumn id="12483" xr3:uid="{D1B2EA90-8F0C-4A0F-BB28-423B76B61401}" name="Column12478"/>
    <tableColumn id="12484" xr3:uid="{61301B68-6AEB-4DC9-8C35-FD24DD468E06}" name="Column12479"/>
    <tableColumn id="12485" xr3:uid="{07335999-B509-4C40-9B32-C1F6A14B32A9}" name="Column12480"/>
    <tableColumn id="12486" xr3:uid="{B92E49F9-24C0-42E5-8089-AAA8A462F859}" name="Column12481"/>
    <tableColumn id="12487" xr3:uid="{370658C1-0589-436A-8328-DF42D7A55D48}" name="Column12482"/>
    <tableColumn id="12488" xr3:uid="{E66CCFFA-89CB-4BA3-A4AF-5BAEB8973F59}" name="Column12483"/>
    <tableColumn id="12489" xr3:uid="{C104A54E-0611-41E4-988B-299FAF17914A}" name="Column12484"/>
    <tableColumn id="12490" xr3:uid="{406A1C04-3458-44B8-B816-4FA1F0FB0D45}" name="Column12485"/>
    <tableColumn id="12491" xr3:uid="{202AC3CC-FFB7-4695-813C-4DF2E4137626}" name="Column12486"/>
    <tableColumn id="12492" xr3:uid="{36AF7CF8-D13C-4856-B623-5C91AA624F05}" name="Column12487"/>
    <tableColumn id="12493" xr3:uid="{AC08C369-EC36-4830-9CAA-CA264FE5348B}" name="Column12488"/>
    <tableColumn id="12494" xr3:uid="{3D94FFFF-59F3-4871-9A6F-21B0227DD775}" name="Column12489"/>
    <tableColumn id="12495" xr3:uid="{9D4B871C-16BF-4F82-B60F-A6F36CE4DD90}" name="Column12490"/>
    <tableColumn id="12496" xr3:uid="{93A5C4AF-F03D-42F3-981C-22A3257D9F1A}" name="Column12491"/>
    <tableColumn id="12497" xr3:uid="{7AA2C27A-357A-4A4A-97FD-E65A4A79F6FC}" name="Column12492"/>
    <tableColumn id="12498" xr3:uid="{3F082FC2-9C67-4C98-BD84-3692B7E53045}" name="Column12493"/>
    <tableColumn id="12499" xr3:uid="{9C86A839-B2E7-4E71-B430-FC59467CC42F}" name="Column12494"/>
    <tableColumn id="12500" xr3:uid="{BFC8526A-DDED-46A8-9A39-B67155F60028}" name="Column12495"/>
    <tableColumn id="12501" xr3:uid="{2248E83F-D586-47A0-9957-0B895F3621C8}" name="Column12496"/>
    <tableColumn id="12502" xr3:uid="{4EEC53C4-3F8C-42E8-A532-19A0BFF86229}" name="Column12497"/>
    <tableColumn id="12503" xr3:uid="{31C00213-B600-48E2-A8D8-0442AC77B6AA}" name="Column12498"/>
    <tableColumn id="12504" xr3:uid="{D69FB704-8D97-4596-9306-0859F005B468}" name="Column12499"/>
    <tableColumn id="12505" xr3:uid="{6F7C8EB8-B7D7-40A7-9D99-5F0EA8BFF761}" name="Column12500"/>
    <tableColumn id="12506" xr3:uid="{4D46F470-7219-4A45-B502-924F82B6D059}" name="Column12501"/>
    <tableColumn id="12507" xr3:uid="{688AE914-4A59-4D6E-91CC-C26099691B9B}" name="Column12502"/>
    <tableColumn id="12508" xr3:uid="{BA562827-1B17-46FD-B37E-5FB125103BD0}" name="Column12503"/>
    <tableColumn id="12509" xr3:uid="{09196713-ABD3-48D5-99C6-96D586B9B88F}" name="Column12504"/>
    <tableColumn id="12510" xr3:uid="{47FA6F7D-5AE8-47F4-A17B-4E9B8A164F26}" name="Column12505"/>
    <tableColumn id="12511" xr3:uid="{0508E6A4-A2DB-4CFA-8838-EB25E2B4B033}" name="Column12506"/>
    <tableColumn id="12512" xr3:uid="{3777A5B1-63B2-4BA6-9F33-46E658D1DCB5}" name="Column12507"/>
    <tableColumn id="12513" xr3:uid="{DCEAD8ED-B315-4C01-AD1C-3A1F5C31145F}" name="Column12508"/>
    <tableColumn id="12514" xr3:uid="{D944A18F-499D-4374-B04F-A88DA9523F5A}" name="Column12509"/>
    <tableColumn id="12515" xr3:uid="{6D8D6A34-25DD-4BF6-B44C-F162FAE807C5}" name="Column12510"/>
    <tableColumn id="12516" xr3:uid="{0AEE730D-4AB0-4AB0-A62B-FF64AA76120E}" name="Column12511"/>
    <tableColumn id="12517" xr3:uid="{66F9793D-EEBD-402C-A4BA-28815D73EF04}" name="Column12512"/>
    <tableColumn id="12518" xr3:uid="{4ED9E8FD-2AB0-43A6-8E6F-95733FC967DE}" name="Column12513"/>
    <tableColumn id="12519" xr3:uid="{4AA3C453-F037-4668-8755-ED7F10969E3F}" name="Column12514"/>
    <tableColumn id="12520" xr3:uid="{395FAEE3-88FD-4BB4-B9A4-2483BD824DE4}" name="Column12515"/>
    <tableColumn id="12521" xr3:uid="{D8F79448-2871-4144-BEFB-232FFA706A39}" name="Column12516"/>
    <tableColumn id="12522" xr3:uid="{54503AF8-6E63-4032-A5C1-7BB602C99E40}" name="Column12517"/>
    <tableColumn id="12523" xr3:uid="{694614A3-8722-4E6F-A1CD-360C143E1B16}" name="Column12518"/>
    <tableColumn id="12524" xr3:uid="{F6966641-3EF1-4FEA-A7D8-C902E7EC5F0C}" name="Column12519"/>
    <tableColumn id="12525" xr3:uid="{5A83DFE4-4ECE-494C-B19A-3D42E5FE2400}" name="Column12520"/>
    <tableColumn id="12526" xr3:uid="{E4BE9267-A387-42BC-81C3-9C5D3CD88F9B}" name="Column12521"/>
    <tableColumn id="12527" xr3:uid="{EECA6DAD-3A55-4CCF-83A6-F0D652277B81}" name="Column12522"/>
    <tableColumn id="12528" xr3:uid="{CB6D7307-D6D7-4B69-ACE7-0207A1FECB6E}" name="Column12523"/>
    <tableColumn id="12529" xr3:uid="{79D63D89-63BB-4D83-A087-4EBD2A678969}" name="Column12524"/>
    <tableColumn id="12530" xr3:uid="{E57D5E46-EB92-41E1-8BD5-3648EB3E14D6}" name="Column12525"/>
    <tableColumn id="12531" xr3:uid="{825A341F-CE90-4ACC-8FE4-F7803C4E6C33}" name="Column12526"/>
    <tableColumn id="12532" xr3:uid="{5F9E75D0-BFEE-4AAC-A7A7-2D1DA7A870AB}" name="Column12527"/>
    <tableColumn id="12533" xr3:uid="{1D0ED59A-A9D8-484A-95DF-FF8890180534}" name="Column12528"/>
    <tableColumn id="12534" xr3:uid="{5178FF98-8AEE-45EE-A773-C1F52E7DF042}" name="Column12529"/>
    <tableColumn id="12535" xr3:uid="{D61429E4-2293-4531-8792-DE3F54A019CD}" name="Column12530"/>
    <tableColumn id="12536" xr3:uid="{369F56AC-2EF8-43A7-8F59-BBC8C67358A1}" name="Column12531"/>
    <tableColumn id="12537" xr3:uid="{B71CE912-E727-4764-A525-054AF8C87C06}" name="Column12532"/>
    <tableColumn id="12538" xr3:uid="{EFCE3EA9-C677-49EB-A0EE-174BEF146A76}" name="Column12533"/>
    <tableColumn id="12539" xr3:uid="{71BF698A-2950-4FEA-A9E3-141C0A530D00}" name="Column12534"/>
    <tableColumn id="12540" xr3:uid="{1CE936C3-678D-4C45-99C6-561BA53A94BB}" name="Column12535"/>
    <tableColumn id="12541" xr3:uid="{10A019F9-0754-43FE-B751-4927600AAA8F}" name="Column12536"/>
    <tableColumn id="12542" xr3:uid="{D05FDBD6-9F4E-4F26-BF3D-C3986E0FC2F5}" name="Column12537"/>
    <tableColumn id="12543" xr3:uid="{28A0C17F-0866-4846-9800-B19EE06A082E}" name="Column12538"/>
    <tableColumn id="12544" xr3:uid="{AF8C8DE2-14ED-481A-A308-E77F52883414}" name="Column12539"/>
    <tableColumn id="12545" xr3:uid="{B8F11021-32BB-4367-AA4A-4B2DF29507B9}" name="Column12540"/>
    <tableColumn id="12546" xr3:uid="{EF6F7EB1-0018-4A49-8D96-C0578BBFA38B}" name="Column12541"/>
    <tableColumn id="12547" xr3:uid="{EC7A25C7-CE85-4184-9376-D10EE147E44D}" name="Column12542"/>
    <tableColumn id="12548" xr3:uid="{AF7E99C9-A040-4576-91AC-19DCCA7129FB}" name="Column12543"/>
    <tableColumn id="12549" xr3:uid="{76160F17-6F4D-4567-8139-8FF46C673C89}" name="Column12544"/>
    <tableColumn id="12550" xr3:uid="{B8349FDB-ADCD-4416-808D-CD8FCFA53474}" name="Column12545"/>
    <tableColumn id="12551" xr3:uid="{34DB19B5-134F-4347-9742-89904B8CBE60}" name="Column12546"/>
    <tableColumn id="12552" xr3:uid="{652EFA8B-1EDE-418A-82B2-2A10C2A5F5CB}" name="Column12547"/>
    <tableColumn id="12553" xr3:uid="{89DADE7F-B7B1-4C57-848C-8DFCFADAA6AC}" name="Column12548"/>
    <tableColumn id="12554" xr3:uid="{25318AAC-C115-49E0-9823-F49FDE36BF07}" name="Column12549"/>
    <tableColumn id="12555" xr3:uid="{152BB472-C1E0-40F4-9C89-581A54622448}" name="Column12550"/>
    <tableColumn id="12556" xr3:uid="{343684E0-B28E-4A79-A9AA-75435A5B53F6}" name="Column12551"/>
    <tableColumn id="12557" xr3:uid="{47AFF36A-648E-48EA-AEB5-7D5CCC9B1353}" name="Column12552"/>
    <tableColumn id="12558" xr3:uid="{8A5EC335-14FC-4B93-AD22-7A82E3C6E0A2}" name="Column12553"/>
    <tableColumn id="12559" xr3:uid="{293BE965-2452-47EC-BEB0-1A47C9C237F4}" name="Column12554"/>
    <tableColumn id="12560" xr3:uid="{C65973A9-9989-4FA0-8C82-6C2815A3A168}" name="Column12555"/>
    <tableColumn id="12561" xr3:uid="{0D3AE0FF-5E29-4B1D-A061-90485C26AA26}" name="Column12556"/>
    <tableColumn id="12562" xr3:uid="{53620F88-203D-4315-A5C1-6FA087FB7559}" name="Column12557"/>
    <tableColumn id="12563" xr3:uid="{0AAA02C8-DC90-4ECF-898F-57757C22585C}" name="Column12558"/>
    <tableColumn id="12564" xr3:uid="{10B992AC-A37C-4966-A1E5-B6765B75FDA0}" name="Column12559"/>
    <tableColumn id="12565" xr3:uid="{077A332B-22DE-46F1-A2A4-F0FBB707AC0C}" name="Column12560"/>
    <tableColumn id="12566" xr3:uid="{2ABA7B87-F765-44DC-9E7A-B2A2EE35F0E5}" name="Column12561"/>
    <tableColumn id="12567" xr3:uid="{C18445C3-BBC8-44AF-BD74-05BE88754F23}" name="Column12562"/>
    <tableColumn id="12568" xr3:uid="{6052B7EE-397C-4D50-B30D-7567D36FF01C}" name="Column12563"/>
    <tableColumn id="12569" xr3:uid="{A57F098F-41D8-4B9A-85F5-123B6188CC59}" name="Column12564"/>
    <tableColumn id="12570" xr3:uid="{74099CDF-FC2D-48E1-A2E3-557E34D5239F}" name="Column12565"/>
    <tableColumn id="12571" xr3:uid="{134A6B5D-33D2-4369-8E1E-8A2EA57C926C}" name="Column12566"/>
    <tableColumn id="12572" xr3:uid="{C354D790-EC54-4C05-8CA0-9A91B07C0D3E}" name="Column12567"/>
    <tableColumn id="12573" xr3:uid="{38FE7536-9AB0-4503-8F82-CF3F48D3945A}" name="Column12568"/>
    <tableColumn id="12574" xr3:uid="{74FC04BB-0CF7-409C-9CFE-2D97CE1A5923}" name="Column12569"/>
    <tableColumn id="12575" xr3:uid="{F0EAB7DB-3637-4518-960D-C4BE10A1B33C}" name="Column12570"/>
    <tableColumn id="12576" xr3:uid="{66B7DD5B-C1C1-4E49-BBD0-CBE492F8BA62}" name="Column12571"/>
    <tableColumn id="12577" xr3:uid="{09814116-ED73-4434-8CF1-8A06C7D62532}" name="Column12572"/>
    <tableColumn id="12578" xr3:uid="{A5F60D24-56FD-40D0-BEB3-294B36894628}" name="Column12573"/>
    <tableColumn id="12579" xr3:uid="{779F0FE3-4E98-480A-BA90-77992E18021A}" name="Column12574"/>
    <tableColumn id="12580" xr3:uid="{10002C15-5947-464D-9811-B53557996859}" name="Column12575"/>
    <tableColumn id="12581" xr3:uid="{FD4D0986-D1D4-40DE-B6B3-2D8EACD43FA4}" name="Column12576"/>
    <tableColumn id="12582" xr3:uid="{0B8C5225-F7B0-44AF-BB6E-30BC4CC0549E}" name="Column12577"/>
    <tableColumn id="12583" xr3:uid="{61ABF253-1135-46C1-9199-758E9BA00B1A}" name="Column12578"/>
    <tableColumn id="12584" xr3:uid="{4681115D-1239-41DF-9239-98652A0942D8}" name="Column12579"/>
    <tableColumn id="12585" xr3:uid="{ECB48C07-94C9-41BC-853B-F2FA4EABBB88}" name="Column12580"/>
    <tableColumn id="12586" xr3:uid="{999D8A49-4355-4DFA-A341-07252B4FAB78}" name="Column12581"/>
    <tableColumn id="12587" xr3:uid="{FACB8958-0087-4687-81CC-17D75BC343EF}" name="Column12582"/>
    <tableColumn id="12588" xr3:uid="{BBFA513D-C1F4-411B-BD3B-F48FFDB3C6FC}" name="Column12583"/>
    <tableColumn id="12589" xr3:uid="{97FFD1F2-B983-4EAD-B96A-83FD016D2668}" name="Column12584"/>
    <tableColumn id="12590" xr3:uid="{D007B8A7-EB30-433A-A557-23CEEAB34283}" name="Column12585"/>
    <tableColumn id="12591" xr3:uid="{8C44D8A5-CE90-48E2-986A-B5AE999EA598}" name="Column12586"/>
    <tableColumn id="12592" xr3:uid="{65FC6688-68FB-4606-BE8F-589B881406F3}" name="Column12587"/>
    <tableColumn id="12593" xr3:uid="{1F9EFBE7-28B9-40A2-A1E5-50AE58EAA63C}" name="Column12588"/>
    <tableColumn id="12594" xr3:uid="{65274415-FF66-4CEC-900F-4441632C39DD}" name="Column12589"/>
    <tableColumn id="12595" xr3:uid="{A0E4A058-8635-43FC-858F-F368CB0B104C}" name="Column12590"/>
    <tableColumn id="12596" xr3:uid="{3CF948D6-FB9D-4F6E-9123-D666198928AA}" name="Column12591"/>
    <tableColumn id="12597" xr3:uid="{DB70BD95-C82B-456F-B24D-6D473C408AFA}" name="Column12592"/>
    <tableColumn id="12598" xr3:uid="{C633CAF0-07EC-449C-975C-C1E0070C81BA}" name="Column12593"/>
    <tableColumn id="12599" xr3:uid="{31D2C36D-4A0D-4ECB-9475-13E85CDE52B6}" name="Column12594"/>
    <tableColumn id="12600" xr3:uid="{F464C7BA-FBAF-4B04-8D65-539A7C32E1D5}" name="Column12595"/>
    <tableColumn id="12601" xr3:uid="{21F95F3B-8457-40AE-BE50-2816383EEF9E}" name="Column12596"/>
    <tableColumn id="12602" xr3:uid="{29511E41-14BB-441A-8FC8-C7808907A4C8}" name="Column12597"/>
    <tableColumn id="12603" xr3:uid="{D7BD3F13-6A74-49F7-B9C9-E6AB846928CE}" name="Column12598"/>
    <tableColumn id="12604" xr3:uid="{0D93457F-621A-417E-A682-016407995319}" name="Column12599"/>
    <tableColumn id="12605" xr3:uid="{122D46C2-5323-4A88-8560-270CD9790BDB}" name="Column12600"/>
    <tableColumn id="12606" xr3:uid="{718F5F9D-B6D1-485A-998D-7001158619DE}" name="Column12601"/>
    <tableColumn id="12607" xr3:uid="{C4365AFA-49AC-40A8-A7DD-1A4DE72F73B4}" name="Column12602"/>
    <tableColumn id="12608" xr3:uid="{4AE1A91F-EA18-4215-9A62-7648912F9490}" name="Column12603"/>
    <tableColumn id="12609" xr3:uid="{2A4DAB82-FD3C-43A0-8694-8F4720E7D4A8}" name="Column12604"/>
    <tableColumn id="12610" xr3:uid="{683A3D26-E4D7-4753-86C9-E21803290F88}" name="Column12605"/>
    <tableColumn id="12611" xr3:uid="{02D23CE2-215F-48FB-B2BA-97160930A663}" name="Column12606"/>
    <tableColumn id="12612" xr3:uid="{42C31DBD-0436-43AF-B057-7D6BAD974AC6}" name="Column12607"/>
    <tableColumn id="12613" xr3:uid="{EFFC228C-48BB-46FB-8272-F10B74E25374}" name="Column12608"/>
    <tableColumn id="12614" xr3:uid="{6D516C0B-C68B-4326-AC35-8767515ACD6A}" name="Column12609"/>
    <tableColumn id="12615" xr3:uid="{C3B6FD7B-7678-4CEE-8137-46590A756297}" name="Column12610"/>
    <tableColumn id="12616" xr3:uid="{B3975BED-1B7A-4F9A-8435-B3DD5DC2D6A3}" name="Column12611"/>
    <tableColumn id="12617" xr3:uid="{7103C1B9-154D-4705-A213-A2A1F6BB768E}" name="Column12612"/>
    <tableColumn id="12618" xr3:uid="{17978A69-F217-428E-B301-708C8A16A7E6}" name="Column12613"/>
    <tableColumn id="12619" xr3:uid="{E2DFE9B1-F913-449F-9C54-87FD5A45974F}" name="Column12614"/>
    <tableColumn id="12620" xr3:uid="{C52B029C-EBAC-4BB6-9AED-333D3EF7E8AC}" name="Column12615"/>
    <tableColumn id="12621" xr3:uid="{058C8B3A-C4D1-4EAD-9919-4F2DADD0A2C4}" name="Column12616"/>
    <tableColumn id="12622" xr3:uid="{6B13F009-95BA-433F-84BD-D09CD8033D68}" name="Column12617"/>
    <tableColumn id="12623" xr3:uid="{D54F0C6B-671F-4461-A006-EF488D29E060}" name="Column12618"/>
    <tableColumn id="12624" xr3:uid="{A7A50A46-7844-40E7-9F1C-1F637BE83623}" name="Column12619"/>
    <tableColumn id="12625" xr3:uid="{CEB3C353-80EA-46D2-A337-17BAC5AC8FC3}" name="Column12620"/>
    <tableColumn id="12626" xr3:uid="{889922CC-45FF-4CEB-BF4C-888979CFDF10}" name="Column12621"/>
    <tableColumn id="12627" xr3:uid="{BACB5A6E-CBE1-4AFA-BFA6-1D4746E77C18}" name="Column12622"/>
    <tableColumn id="12628" xr3:uid="{4E0E2036-C2C2-4CA8-BC82-C00E05F799F5}" name="Column12623"/>
    <tableColumn id="12629" xr3:uid="{718E2FFB-B9C2-4BC7-9CC9-74857ED8D58C}" name="Column12624"/>
    <tableColumn id="12630" xr3:uid="{5F8EB694-0974-46DF-8889-A4419214D424}" name="Column12625"/>
    <tableColumn id="12631" xr3:uid="{B9661A07-8C43-47D1-BECD-7AD8A45C7361}" name="Column12626"/>
    <tableColumn id="12632" xr3:uid="{59458D90-2E2B-45F1-86C4-0A633131618A}" name="Column12627"/>
    <tableColumn id="12633" xr3:uid="{974F0BA8-DDF2-411A-9DD0-2DDD2EB2FAF2}" name="Column12628"/>
    <tableColumn id="12634" xr3:uid="{DE81C6E6-64C4-4FD9-83B6-C85198353490}" name="Column12629"/>
    <tableColumn id="12635" xr3:uid="{6E7CAADD-2474-443B-B009-89FE6A5E3FEF}" name="Column12630"/>
    <tableColumn id="12636" xr3:uid="{EF72E7C1-A9EA-462A-995C-3D5B3DD2AE8A}" name="Column12631"/>
    <tableColumn id="12637" xr3:uid="{76307A21-7D26-4FFE-B852-5AF4989FD3A5}" name="Column12632"/>
    <tableColumn id="12638" xr3:uid="{EC15A3E7-69C6-40F6-BAE2-30455D91DE7F}" name="Column12633"/>
    <tableColumn id="12639" xr3:uid="{2B03A4BE-76F7-48D2-A1F7-E7FD96105972}" name="Column12634"/>
    <tableColumn id="12640" xr3:uid="{D12F8145-2C87-4380-9ED4-CFEA26AD7225}" name="Column12635"/>
    <tableColumn id="12641" xr3:uid="{D03B1533-CD55-4D40-BB3A-2446856B3B8D}" name="Column12636"/>
    <tableColumn id="12642" xr3:uid="{3F05AAC4-E4EE-4ECC-B41E-88E949114200}" name="Column12637"/>
    <tableColumn id="12643" xr3:uid="{44FF2F39-A11A-44FA-B6F5-D435FB5B45B1}" name="Column12638"/>
    <tableColumn id="12644" xr3:uid="{C875F159-1606-44D7-8F4B-1B17BE22F64B}" name="Column12639"/>
    <tableColumn id="12645" xr3:uid="{AE54AD9A-B7A2-42A2-B6E6-3754B9181E24}" name="Column12640"/>
    <tableColumn id="12646" xr3:uid="{3AA89C8E-DA74-4C32-BF6E-BB3D59565ACC}" name="Column12641"/>
    <tableColumn id="12647" xr3:uid="{2E9DA48E-4E04-4E91-9446-F2F2A193D8B5}" name="Column12642"/>
    <tableColumn id="12648" xr3:uid="{E59AE222-1B5B-49C9-A187-04DFB2DC92BD}" name="Column12643"/>
    <tableColumn id="12649" xr3:uid="{FD36B644-334B-4DC2-A24B-DA59E0A92B72}" name="Column12644"/>
    <tableColumn id="12650" xr3:uid="{AC18996E-99ED-4612-9A24-7CE288C26262}" name="Column12645"/>
    <tableColumn id="12651" xr3:uid="{B306CE88-D01E-4C16-86D7-51F1EC0C6DD3}" name="Column12646"/>
    <tableColumn id="12652" xr3:uid="{A4DBBA88-7C56-4F5B-AECA-7D4E2378E0BA}" name="Column12647"/>
    <tableColumn id="12653" xr3:uid="{2F6DF21C-807F-4A4B-A7F1-3C581D0D6A8E}" name="Column12648"/>
    <tableColumn id="12654" xr3:uid="{249F8AAC-7CD2-4E25-8729-C781EACE6ABC}" name="Column12649"/>
    <tableColumn id="12655" xr3:uid="{438BA217-9543-4F8A-9309-74F3BDA42705}" name="Column12650"/>
    <tableColumn id="12656" xr3:uid="{F7AE5F6B-7235-4EE6-A11A-E2F45974C33D}" name="Column12651"/>
    <tableColumn id="12657" xr3:uid="{D5B66E2B-1C12-4503-92B8-1A20C57EE3D8}" name="Column12652"/>
    <tableColumn id="12658" xr3:uid="{5B59A5E5-9EF0-403C-8A02-9CC60FF01693}" name="Column12653"/>
    <tableColumn id="12659" xr3:uid="{1368B120-CD20-4779-8107-EC5FD932B5AC}" name="Column12654"/>
    <tableColumn id="12660" xr3:uid="{851EE87D-21D7-4C2E-918F-8C33028C7AB4}" name="Column12655"/>
    <tableColumn id="12661" xr3:uid="{DED89F3B-37F2-4251-A366-DA5E8BF56D3C}" name="Column12656"/>
    <tableColumn id="12662" xr3:uid="{BC80FBB5-42A3-466D-9A4B-254AE14DC058}" name="Column12657"/>
    <tableColumn id="12663" xr3:uid="{9DA36BB0-BF6C-4B00-AD59-23ACB46CF15B}" name="Column12658"/>
    <tableColumn id="12664" xr3:uid="{A7ADF46B-149C-468E-95A0-D728FDED9313}" name="Column12659"/>
    <tableColumn id="12665" xr3:uid="{C0DD5C76-0F4C-49D0-BF33-CDDAE83BC196}" name="Column12660"/>
    <tableColumn id="12666" xr3:uid="{99139102-E8AC-4F61-8079-F39752553184}" name="Column12661"/>
    <tableColumn id="12667" xr3:uid="{33704E02-33F5-4E6F-812F-2E6F0D4F966C}" name="Column12662"/>
    <tableColumn id="12668" xr3:uid="{1D70CEA9-BC62-498D-9CA4-22EE26176218}" name="Column12663"/>
    <tableColumn id="12669" xr3:uid="{6ADA955E-3159-42F0-91C6-80A3BFE2E1FE}" name="Column12664"/>
    <tableColumn id="12670" xr3:uid="{C4905ED2-3C63-4BC4-9F69-CF4E80552CEC}" name="Column12665"/>
    <tableColumn id="12671" xr3:uid="{399FE5C5-EA1F-4485-9A34-C1162F1025EA}" name="Column12666"/>
    <tableColumn id="12672" xr3:uid="{CC507373-B48A-4B88-8007-1FC921CEA820}" name="Column12667"/>
    <tableColumn id="12673" xr3:uid="{4C1FB085-31C0-4E0A-A540-857304E3F2DE}" name="Column12668"/>
    <tableColumn id="12674" xr3:uid="{20578DAE-9D9D-4D14-AA42-02605CA08D3F}" name="Column12669"/>
    <tableColumn id="12675" xr3:uid="{1CC7CABE-1D9F-4DD6-884F-1C2203941542}" name="Column12670"/>
    <tableColumn id="12676" xr3:uid="{78DB37BD-48B8-4664-90F7-69F5FEFB8E5D}" name="Column12671"/>
    <tableColumn id="12677" xr3:uid="{E2717709-023E-45ED-876C-0B14B3BA46BD}" name="Column12672"/>
    <tableColumn id="12678" xr3:uid="{76B9220E-E24A-496B-8CBC-FFF425EE2E40}" name="Column12673"/>
    <tableColumn id="12679" xr3:uid="{13D18F87-3DB8-4050-ACDB-C73B4E384B5D}" name="Column12674"/>
    <tableColumn id="12680" xr3:uid="{65E97BB1-7FAD-4B5E-A8DF-0A3C613428F6}" name="Column12675"/>
    <tableColumn id="12681" xr3:uid="{9E142EC7-5C0A-4050-A96C-8762915D4C6A}" name="Column12676"/>
    <tableColumn id="12682" xr3:uid="{3F215C32-D904-4D9C-B03B-EA960A953A7E}" name="Column12677"/>
    <tableColumn id="12683" xr3:uid="{0588F570-2135-4E1F-8602-FF4A7DEA178B}" name="Column12678"/>
    <tableColumn id="12684" xr3:uid="{FCC31A12-59B2-44CC-9D88-FE3C128A123D}" name="Column12679"/>
    <tableColumn id="12685" xr3:uid="{82DB480E-90AB-4291-833A-F75400C31C97}" name="Column12680"/>
    <tableColumn id="12686" xr3:uid="{1956270E-9FA8-43A0-9F8A-D715BDFB7E17}" name="Column12681"/>
    <tableColumn id="12687" xr3:uid="{17DCC148-1FDB-40EB-9E0E-601C48578A8E}" name="Column12682"/>
    <tableColumn id="12688" xr3:uid="{0462F84E-14D1-4748-A5F2-7736F0EBBE7A}" name="Column12683"/>
    <tableColumn id="12689" xr3:uid="{11487F6F-513D-4AEA-9F24-A3C26E382C9E}" name="Column12684"/>
    <tableColumn id="12690" xr3:uid="{6D99CB63-92C7-41F4-B45A-7984C2B083A9}" name="Column12685"/>
    <tableColumn id="12691" xr3:uid="{7095B849-6BBF-472C-8DEF-D48E56F20DEA}" name="Column12686"/>
    <tableColumn id="12692" xr3:uid="{EC8AC6B0-6141-4E72-AE92-090EE0743BAE}" name="Column12687"/>
    <tableColumn id="12693" xr3:uid="{A4631152-1FE1-43CE-9591-1AE191700CC5}" name="Column12688"/>
    <tableColumn id="12694" xr3:uid="{AFB457F1-5157-4111-916C-A39C1BA17381}" name="Column12689"/>
    <tableColumn id="12695" xr3:uid="{1875CFA8-1F6B-4D96-9768-295D435A43BE}" name="Column12690"/>
    <tableColumn id="12696" xr3:uid="{8310DAC6-1525-42E0-83BB-16BC3A0FA533}" name="Column12691"/>
    <tableColumn id="12697" xr3:uid="{45B8E5DB-BDE5-4DED-8142-BE84CDCAE4E0}" name="Column12692"/>
    <tableColumn id="12698" xr3:uid="{4675F83D-E280-4DEF-B2BC-BCD2811109C0}" name="Column12693"/>
    <tableColumn id="12699" xr3:uid="{FBDEB4E4-EBA0-400D-88EA-2F3679D165A2}" name="Column12694"/>
    <tableColumn id="12700" xr3:uid="{5D396F1B-1F7E-4E93-8150-43850154194F}" name="Column12695"/>
    <tableColumn id="12701" xr3:uid="{A3057D82-5EA7-46CF-8A4B-97D854AC50ED}" name="Column12696"/>
    <tableColumn id="12702" xr3:uid="{43849980-86A0-4EF1-9092-00B4DFC80907}" name="Column12697"/>
    <tableColumn id="12703" xr3:uid="{0DCF3D20-D1EE-4608-87A5-FCB60C1806EF}" name="Column12698"/>
    <tableColumn id="12704" xr3:uid="{850B8FC0-FB93-485F-8401-467DB417F0CB}" name="Column12699"/>
    <tableColumn id="12705" xr3:uid="{D0CE26B1-ED73-4BEC-83D6-C0C18D0E9A15}" name="Column12700"/>
    <tableColumn id="12706" xr3:uid="{C8B4680F-DAA8-4EA8-956A-2D8F3B5944FA}" name="Column12701"/>
    <tableColumn id="12707" xr3:uid="{3E345AB5-51D7-4288-8C96-AF3D697878B2}" name="Column12702"/>
    <tableColumn id="12708" xr3:uid="{E0156B98-D77F-4BAD-83F8-AB3FC293406C}" name="Column12703"/>
    <tableColumn id="12709" xr3:uid="{4090F9A8-FF12-4AAB-AC36-A767FA14E426}" name="Column12704"/>
    <tableColumn id="12710" xr3:uid="{49B38D80-DEC3-4CA8-B6B2-87858E1B8F7D}" name="Column12705"/>
    <tableColumn id="12711" xr3:uid="{E80A03FD-443E-4237-B998-0493BC8B5194}" name="Column12706"/>
    <tableColumn id="12712" xr3:uid="{5854C2D5-B797-4FCD-90FD-4F45D16182F2}" name="Column12707"/>
    <tableColumn id="12713" xr3:uid="{BEFB6B87-620B-4FDB-8885-98E7C9B24EA7}" name="Column12708"/>
    <tableColumn id="12714" xr3:uid="{AE934416-4DBA-4D4B-ACDD-9345696A7B29}" name="Column12709"/>
    <tableColumn id="12715" xr3:uid="{AF19D122-79D0-439E-B86A-39EA52384E87}" name="Column12710"/>
    <tableColumn id="12716" xr3:uid="{E789D2C3-2F1C-41DD-B653-AD38CF6C2B9F}" name="Column12711"/>
    <tableColumn id="12717" xr3:uid="{EAFACBC3-9717-4058-AD7C-F3669794D07A}" name="Column12712"/>
    <tableColumn id="12718" xr3:uid="{4A983321-3B63-409E-A856-0B21AFF3D863}" name="Column12713"/>
    <tableColumn id="12719" xr3:uid="{B0EF2A79-5A38-43E4-8E4B-0CD6D42F9C68}" name="Column12714"/>
    <tableColumn id="12720" xr3:uid="{198E4A31-F36C-4779-844A-B21980A68485}" name="Column12715"/>
    <tableColumn id="12721" xr3:uid="{8551E770-625A-47A4-A895-B902B853C236}" name="Column12716"/>
    <tableColumn id="12722" xr3:uid="{2A5A7CC3-0888-4ABF-9C46-45D94912B2C8}" name="Column12717"/>
    <tableColumn id="12723" xr3:uid="{D19C81A2-7A7C-4A4E-984F-FE43ACEC5277}" name="Column12718"/>
    <tableColumn id="12724" xr3:uid="{B45ED663-FF19-4AFB-866F-91657B654F2A}" name="Column12719"/>
    <tableColumn id="12725" xr3:uid="{8DB3688F-51B2-4AA3-A8EC-ECE20DCB01E6}" name="Column12720"/>
    <tableColumn id="12726" xr3:uid="{02FF4A25-F80A-4D78-BF25-358DBF580B60}" name="Column12721"/>
    <tableColumn id="12727" xr3:uid="{8C366D74-2599-4886-93C7-B18742DA6EE1}" name="Column12722"/>
    <tableColumn id="12728" xr3:uid="{7CEF9CA8-F248-4738-A1B2-DE745B187ECA}" name="Column12723"/>
    <tableColumn id="12729" xr3:uid="{82720B0A-3505-4F34-9DCA-A5E0F5856CD7}" name="Column12724"/>
    <tableColumn id="12730" xr3:uid="{51C120FC-0969-466C-834E-3EA946B2459A}" name="Column12725"/>
    <tableColumn id="12731" xr3:uid="{6CE183A1-04AC-4018-885A-4461F9C4C30B}" name="Column12726"/>
    <tableColumn id="12732" xr3:uid="{A41AC573-CB9C-4622-8779-9D2EC1A543E2}" name="Column12727"/>
    <tableColumn id="12733" xr3:uid="{49468DF6-8E9F-4B8C-B9C9-A8C192A3AA7C}" name="Column12728"/>
    <tableColumn id="12734" xr3:uid="{56EE4358-15D2-4980-8864-777898C20838}" name="Column12729"/>
    <tableColumn id="12735" xr3:uid="{127F4F86-47CC-41F2-B147-D2C7833B6C27}" name="Column12730"/>
    <tableColumn id="12736" xr3:uid="{9B732B08-F1A2-4BD2-832A-459AB1951D67}" name="Column12731"/>
    <tableColumn id="12737" xr3:uid="{73840BA4-CADF-4A4B-8C0C-C996858C7BCC}" name="Column12732"/>
    <tableColumn id="12738" xr3:uid="{97638875-A1C4-4435-923E-90F3CD59D62B}" name="Column12733"/>
    <tableColumn id="12739" xr3:uid="{42217E0D-A138-415E-ABFA-0303C6701326}" name="Column12734"/>
    <tableColumn id="12740" xr3:uid="{2E71E360-25C5-432C-8541-D7EB3A11714D}" name="Column12735"/>
    <tableColumn id="12741" xr3:uid="{BDF367C7-CF40-42EB-8CC3-9E8BC14B3D82}" name="Column12736"/>
    <tableColumn id="12742" xr3:uid="{C44029B8-2A5D-4E38-AA87-8D9991C59502}" name="Column12737"/>
    <tableColumn id="12743" xr3:uid="{3FE51504-4A69-4C7A-B12C-6C099277E699}" name="Column12738"/>
    <tableColumn id="12744" xr3:uid="{7D7DE481-9C97-49A6-B549-81F434B9B2FF}" name="Column12739"/>
    <tableColumn id="12745" xr3:uid="{13F684AC-3B2B-4553-8044-BE25AE9A0DDB}" name="Column12740"/>
    <tableColumn id="12746" xr3:uid="{7F95268F-CA6A-4C2B-9D40-9C16438E7276}" name="Column12741"/>
    <tableColumn id="12747" xr3:uid="{15721B98-AC12-4F8E-B764-2B4DF11CE87A}" name="Column12742"/>
    <tableColumn id="12748" xr3:uid="{B820EB43-6F79-4D49-BFBA-242E7B8F4423}" name="Column12743"/>
    <tableColumn id="12749" xr3:uid="{B3036616-A0AA-4E39-B3B0-BD068BFBBD74}" name="Column12744"/>
    <tableColumn id="12750" xr3:uid="{CD30F8A0-AEAA-4FE0-BC90-CC4FEFDB6430}" name="Column12745"/>
    <tableColumn id="12751" xr3:uid="{3710FE83-4ECE-4CD5-8E10-C6F740346016}" name="Column12746"/>
    <tableColumn id="12752" xr3:uid="{D8C1C290-56EB-47BC-916C-9791551EF2A8}" name="Column12747"/>
    <tableColumn id="12753" xr3:uid="{75AB40FE-CF0F-4B09-BFB3-E4DD5915C757}" name="Column12748"/>
    <tableColumn id="12754" xr3:uid="{AC46284F-8BF5-4E2A-A360-B55BCD23458B}" name="Column12749"/>
    <tableColumn id="12755" xr3:uid="{88298A2D-07F9-454C-81D8-8C68E5E9F7A0}" name="Column12750"/>
    <tableColumn id="12756" xr3:uid="{D4C10944-9CEA-43D8-9585-B12B41D2FC96}" name="Column12751"/>
    <tableColumn id="12757" xr3:uid="{3FA6D593-6956-48AE-8C9C-2855A29D65E7}" name="Column12752"/>
    <tableColumn id="12758" xr3:uid="{DA257845-E021-4CA9-B7FC-C74F81233047}" name="Column12753"/>
    <tableColumn id="12759" xr3:uid="{C33C425C-0C0C-4436-A465-D4CA508FD9D6}" name="Column12754"/>
    <tableColumn id="12760" xr3:uid="{0A852734-FABE-4AC0-95D5-FF4A6D11299E}" name="Column12755"/>
    <tableColumn id="12761" xr3:uid="{B8ED4704-0313-4190-9FDD-9B8553211924}" name="Column12756"/>
    <tableColumn id="12762" xr3:uid="{271B878E-B2CF-40A0-8288-3271446A0CC6}" name="Column12757"/>
    <tableColumn id="12763" xr3:uid="{3D3060CB-BEC8-4EDB-84E4-FE8FDDD86626}" name="Column12758"/>
    <tableColumn id="12764" xr3:uid="{C002B6F9-0F4E-4556-85F8-B3898A1B40AE}" name="Column12759"/>
    <tableColumn id="12765" xr3:uid="{DFC77255-1569-458E-9BE4-711C926585BB}" name="Column12760"/>
    <tableColumn id="12766" xr3:uid="{C16E594D-4457-4007-B243-F3AAAC0EBCEA}" name="Column12761"/>
    <tableColumn id="12767" xr3:uid="{1831DF3C-7E72-46EC-9736-D2E85727BE1D}" name="Column12762"/>
    <tableColumn id="12768" xr3:uid="{6888C8DC-5138-4C4C-A718-F2D5CDD8F98A}" name="Column12763"/>
    <tableColumn id="12769" xr3:uid="{686A9C17-42C0-4186-AD3B-695E36AF30FD}" name="Column12764"/>
    <tableColumn id="12770" xr3:uid="{A9F07137-DC36-4C8C-B520-CA74D4312716}" name="Column12765"/>
    <tableColumn id="12771" xr3:uid="{442DD086-DF96-49E7-9230-FFA7858670EA}" name="Column12766"/>
    <tableColumn id="12772" xr3:uid="{D435B7F9-E3AE-414D-B958-02DE589F08D5}" name="Column12767"/>
    <tableColumn id="12773" xr3:uid="{BE0C357D-69D3-45C1-9E64-C1D1BB3D1AC4}" name="Column12768"/>
    <tableColumn id="12774" xr3:uid="{F9302390-58C1-4A32-8CD7-F6437C329514}" name="Column12769"/>
    <tableColumn id="12775" xr3:uid="{AF6FEAAB-8D7D-4C39-A997-3769C2CB793F}" name="Column12770"/>
    <tableColumn id="12776" xr3:uid="{D4A2F89D-2DF1-46B3-8FB2-C4BB1A49B21D}" name="Column12771"/>
    <tableColumn id="12777" xr3:uid="{AB67AD7B-CF2A-4051-9A56-DCCF997E939D}" name="Column12772"/>
    <tableColumn id="12778" xr3:uid="{B1A9BF81-F96D-4AD8-B833-A2F2651892D3}" name="Column12773"/>
    <tableColumn id="12779" xr3:uid="{2385E29F-B183-440C-A413-F2C082CF7A84}" name="Column12774"/>
    <tableColumn id="12780" xr3:uid="{2286B092-7979-488E-B058-2C1AA91570AF}" name="Column12775"/>
    <tableColumn id="12781" xr3:uid="{6B45ECB7-82A2-4706-832A-A451A886441D}" name="Column12776"/>
    <tableColumn id="12782" xr3:uid="{C353DDB7-E648-4A5E-BF03-4B85CF75B6FF}" name="Column12777"/>
    <tableColumn id="12783" xr3:uid="{1D050ADD-FE92-4C6F-B516-F4537642DCEE}" name="Column12778"/>
    <tableColumn id="12784" xr3:uid="{5855B90B-2BE5-4C2C-9850-993512E3DCFD}" name="Column12779"/>
    <tableColumn id="12785" xr3:uid="{0EC9DA24-2FCB-49C4-92CB-14E2F169C0C4}" name="Column12780"/>
    <tableColumn id="12786" xr3:uid="{B76BFF78-7368-4878-8600-AB35AFA893A0}" name="Column12781"/>
    <tableColumn id="12787" xr3:uid="{5C84CED8-D8E9-4157-B8BB-2DF63C6264ED}" name="Column12782"/>
    <tableColumn id="12788" xr3:uid="{8AA4966F-B778-41DF-A679-315770EE82C7}" name="Column12783"/>
    <tableColumn id="12789" xr3:uid="{BE600893-CF24-49FB-BA69-4B76B94B4CA2}" name="Column12784"/>
    <tableColumn id="12790" xr3:uid="{F35F8399-A946-4D98-9280-F4CC3B1A7210}" name="Column12785"/>
    <tableColumn id="12791" xr3:uid="{890C8135-D90F-4965-981E-22EFA541EBCF}" name="Column12786"/>
    <tableColumn id="12792" xr3:uid="{9FE982DB-C476-4B5E-8C2F-C9BA28F814E0}" name="Column12787"/>
    <tableColumn id="12793" xr3:uid="{C7C54539-87D1-4B0F-868E-0648DCC1FD90}" name="Column12788"/>
    <tableColumn id="12794" xr3:uid="{76DE985D-1B94-4B8E-8533-E1661412F690}" name="Column12789"/>
    <tableColumn id="12795" xr3:uid="{FF31342E-A63D-408E-9073-63D5537C56CA}" name="Column12790"/>
    <tableColumn id="12796" xr3:uid="{B1EDD05E-8CF7-4520-B541-042D252FA9F1}" name="Column12791"/>
    <tableColumn id="12797" xr3:uid="{664D419C-C80F-4393-B589-2B0214F4AE31}" name="Column12792"/>
    <tableColumn id="12798" xr3:uid="{EAF593DF-1364-4AD6-8D30-9C756BF08793}" name="Column12793"/>
    <tableColumn id="12799" xr3:uid="{D2B1BE0C-04EC-4716-8ADD-67DB73CDDEFB}" name="Column12794"/>
    <tableColumn id="12800" xr3:uid="{4132F419-444D-4A46-AC2B-9F2C5FEF26B3}" name="Column12795"/>
    <tableColumn id="12801" xr3:uid="{FEE86B59-CBB2-4926-A278-6A950CBEC33A}" name="Column12796"/>
    <tableColumn id="12802" xr3:uid="{655F3E56-FCF2-4D59-B16E-EA311DB62C3B}" name="Column12797"/>
    <tableColumn id="12803" xr3:uid="{E7F28C6D-BFE3-4290-A908-4A57E4356752}" name="Column12798"/>
    <tableColumn id="12804" xr3:uid="{108D0940-30D8-4884-9E7A-851409EE8E4B}" name="Column12799"/>
    <tableColumn id="12805" xr3:uid="{C1180C40-0D19-4744-B295-D2CFCA6BEA6A}" name="Column12800"/>
    <tableColumn id="12806" xr3:uid="{AA47118A-AB31-4927-A5DB-D783242A24CD}" name="Column12801"/>
    <tableColumn id="12807" xr3:uid="{791ED4D1-69BB-4998-A8EA-75A19C8CB10D}" name="Column12802"/>
    <tableColumn id="12808" xr3:uid="{87F573A2-0310-40FE-BD7A-579A85279B98}" name="Column12803"/>
    <tableColumn id="12809" xr3:uid="{F485071A-F778-4AA1-9AA6-7859EBEFE01C}" name="Column12804"/>
    <tableColumn id="12810" xr3:uid="{F7AA0DC4-A1FD-4330-984C-FC56FEA32DC0}" name="Column12805"/>
    <tableColumn id="12811" xr3:uid="{7DD0B091-824F-445C-9A39-FE58E117DA01}" name="Column12806"/>
    <tableColumn id="12812" xr3:uid="{152FE62C-7F2D-408C-B9DE-C60F4CEF8D88}" name="Column12807"/>
    <tableColumn id="12813" xr3:uid="{427514A9-29BD-46A0-8C3F-8291C256CE49}" name="Column12808"/>
    <tableColumn id="12814" xr3:uid="{D1CD00FA-A6DF-458E-BC16-F6753A72C219}" name="Column12809"/>
    <tableColumn id="12815" xr3:uid="{D31A476B-9D52-43C5-9361-B0A525C95563}" name="Column12810"/>
    <tableColumn id="12816" xr3:uid="{76DE0EE6-9D3D-404D-B2E2-4B5B9E5961FB}" name="Column12811"/>
    <tableColumn id="12817" xr3:uid="{8522F1FE-635E-4DB5-9B26-8D1681E1BC47}" name="Column12812"/>
    <tableColumn id="12818" xr3:uid="{955A120A-E2A0-4FD4-92D3-37EC23678FE9}" name="Column12813"/>
    <tableColumn id="12819" xr3:uid="{A530E577-C1D2-42B1-9D6D-EFBCC0CE3FA9}" name="Column12814"/>
    <tableColumn id="12820" xr3:uid="{47511965-66BB-4DFF-8C88-09E189ABD8C9}" name="Column12815"/>
    <tableColumn id="12821" xr3:uid="{A171E8B1-C378-4AF6-8E21-AAA5AFED6041}" name="Column12816"/>
    <tableColumn id="12822" xr3:uid="{D0AB7AAD-179A-4FD0-82A3-725334B20AF1}" name="Column12817"/>
    <tableColumn id="12823" xr3:uid="{100735AC-72BC-435B-B635-25376304E3C2}" name="Column12818"/>
    <tableColumn id="12824" xr3:uid="{2D375C04-AC82-4B7B-AF05-A21734E69E8C}" name="Column12819"/>
    <tableColumn id="12825" xr3:uid="{C0E47E4B-C9CF-4632-B040-1268FCF77050}" name="Column12820"/>
    <tableColumn id="12826" xr3:uid="{E6B50C30-6C77-4C7B-9F76-1300CF2068B1}" name="Column12821"/>
    <tableColumn id="12827" xr3:uid="{8EE01D2D-7EFA-4BA2-97F1-07D7A81292EA}" name="Column12822"/>
    <tableColumn id="12828" xr3:uid="{A47CADA6-5062-4787-B5F6-41543B9AB68C}" name="Column12823"/>
    <tableColumn id="12829" xr3:uid="{F4DC2540-670D-4408-928C-BE3A3864FE20}" name="Column12824"/>
    <tableColumn id="12830" xr3:uid="{F5DBA56F-C769-4759-92CD-B54C322597A7}" name="Column12825"/>
    <tableColumn id="12831" xr3:uid="{5F529F1F-94ED-468F-A614-0AF694D22CFE}" name="Column12826"/>
    <tableColumn id="12832" xr3:uid="{B1C23793-9F7C-4E75-9B6D-029F527251FE}" name="Column12827"/>
    <tableColumn id="12833" xr3:uid="{632CCE2F-9796-4829-B529-59FE31A85707}" name="Column12828"/>
    <tableColumn id="12834" xr3:uid="{27C307DE-3C2F-427F-B77A-E35AE092A940}" name="Column12829"/>
    <tableColumn id="12835" xr3:uid="{B08E0E37-2208-454A-93F0-8B03390CD884}" name="Column12830"/>
    <tableColumn id="12836" xr3:uid="{881A44DC-27F0-4D17-9A5E-D5546D76198F}" name="Column12831"/>
    <tableColumn id="12837" xr3:uid="{53C526F9-AFE4-47B4-A58C-BD6887774168}" name="Column12832"/>
    <tableColumn id="12838" xr3:uid="{10038A3C-5B84-49E8-9067-DBC99DF4270E}" name="Column12833"/>
    <tableColumn id="12839" xr3:uid="{A8EC91FC-69EF-453B-AEB5-8E0834799622}" name="Column12834"/>
    <tableColumn id="12840" xr3:uid="{807067E0-5F0A-4552-8111-567F86D1F40F}" name="Column12835"/>
    <tableColumn id="12841" xr3:uid="{DD19C00D-F352-4F8E-9C3C-12399931A9F3}" name="Column12836"/>
    <tableColumn id="12842" xr3:uid="{AD828FAF-8F3B-4A53-831D-FF3251A2AB5E}" name="Column12837"/>
    <tableColumn id="12843" xr3:uid="{A412F4A7-90B6-48D4-B118-9853C0F635C9}" name="Column12838"/>
    <tableColumn id="12844" xr3:uid="{653E2863-0AE3-4DC5-B816-7780F50ED79A}" name="Column12839"/>
    <tableColumn id="12845" xr3:uid="{727FE003-FFAA-4F44-83E0-F45B5CFCF622}" name="Column12840"/>
    <tableColumn id="12846" xr3:uid="{9B9F8E5D-9EDD-4F6C-A217-D985EFE56D38}" name="Column12841"/>
    <tableColumn id="12847" xr3:uid="{7ADD2B3C-0E9B-4558-9FBC-A9C0BE589A1D}" name="Column12842"/>
    <tableColumn id="12848" xr3:uid="{B24517AD-2215-498C-A151-738B348DE9F6}" name="Column12843"/>
    <tableColumn id="12849" xr3:uid="{1CE6DD04-6C40-43ED-80FB-7240F0255F61}" name="Column12844"/>
    <tableColumn id="12850" xr3:uid="{8C8D195C-B8B4-4185-98F6-F86B1172D2C3}" name="Column12845"/>
    <tableColumn id="12851" xr3:uid="{A2348B6C-4A7C-4142-9A61-7C3203546AF5}" name="Column12846"/>
    <tableColumn id="12852" xr3:uid="{509DC096-7042-4647-A9C2-07AB8662E6EC}" name="Column12847"/>
    <tableColumn id="12853" xr3:uid="{658EF9EB-97C6-4EAD-9DFB-00C2A2B1F966}" name="Column12848"/>
    <tableColumn id="12854" xr3:uid="{054F61DB-107E-4C17-86F4-44141533A8A0}" name="Column12849"/>
    <tableColumn id="12855" xr3:uid="{6DC26038-5488-4980-AB8B-1300A24C6741}" name="Column12850"/>
    <tableColumn id="12856" xr3:uid="{F3FC911F-30A2-40B9-A005-F9115BEA5FE0}" name="Column12851"/>
    <tableColumn id="12857" xr3:uid="{2986172E-C178-4241-9C27-13CCC7542176}" name="Column12852"/>
    <tableColumn id="12858" xr3:uid="{3678B4D7-69A0-40AE-B5BC-A750575A6F09}" name="Column12853"/>
    <tableColumn id="12859" xr3:uid="{2F6C8B6B-282B-4DD9-AD58-277D68FBB2C8}" name="Column12854"/>
    <tableColumn id="12860" xr3:uid="{AD18BBB2-4ADF-4C03-B030-79DE2623A40F}" name="Column12855"/>
    <tableColumn id="12861" xr3:uid="{BF3A2FBE-93BA-42EB-B098-F2D313ADC0D8}" name="Column12856"/>
    <tableColumn id="12862" xr3:uid="{3060D1F1-534F-4C59-93E4-2E3BCF15AE54}" name="Column12857"/>
    <tableColumn id="12863" xr3:uid="{9E10B052-20BE-4E17-9D8B-9202BFC210EA}" name="Column12858"/>
    <tableColumn id="12864" xr3:uid="{BE7916FB-C270-43D0-AFF3-2B540C763F9F}" name="Column12859"/>
    <tableColumn id="12865" xr3:uid="{77DC1437-5217-4C72-BBD9-936756EBFDF9}" name="Column12860"/>
    <tableColumn id="12866" xr3:uid="{C1A145F9-8ACD-4AC1-87AA-6870B696F056}" name="Column12861"/>
    <tableColumn id="12867" xr3:uid="{EB63D1EE-0F3F-406B-A619-4B339BFD605E}" name="Column12862"/>
    <tableColumn id="12868" xr3:uid="{75264948-670D-454A-AAC5-31DFFAB98FC9}" name="Column12863"/>
    <tableColumn id="12869" xr3:uid="{9E17B56D-D1FE-4116-A4AC-193BCD48D16E}" name="Column12864"/>
    <tableColumn id="12870" xr3:uid="{FEF7F5B0-FC60-4D18-BB07-86E62036EAF4}" name="Column12865"/>
    <tableColumn id="12871" xr3:uid="{3ABD4190-3971-4DC7-B135-2DEC71A2CE20}" name="Column12866"/>
    <tableColumn id="12872" xr3:uid="{B270FF50-D561-4B1F-94EB-C6518A361107}" name="Column12867"/>
    <tableColumn id="12873" xr3:uid="{95B53AE1-8D39-4E9D-B63C-720C847CF753}" name="Column12868"/>
    <tableColumn id="12874" xr3:uid="{727F7BD4-1E23-499B-A411-BD7D4CB7F2DD}" name="Column12869"/>
    <tableColumn id="12875" xr3:uid="{27E24187-1371-4782-9882-52F1B4832462}" name="Column12870"/>
    <tableColumn id="12876" xr3:uid="{472C4830-BC94-42D1-BDD7-7C1A7A423683}" name="Column12871"/>
    <tableColumn id="12877" xr3:uid="{CDF3CC96-1D75-4412-B577-32F89ACF238A}" name="Column12872"/>
    <tableColumn id="12878" xr3:uid="{0ED11B10-9A38-43FA-A55F-A9891B64D8E8}" name="Column12873"/>
    <tableColumn id="12879" xr3:uid="{23D4C703-CD72-435E-8A72-A04EDD71626D}" name="Column12874"/>
    <tableColumn id="12880" xr3:uid="{C95A872A-9CBD-4FBE-989B-AA6670B4F55F}" name="Column12875"/>
    <tableColumn id="12881" xr3:uid="{FAF214AE-CB89-4122-B6D1-1EF5F1904863}" name="Column12876"/>
    <tableColumn id="12882" xr3:uid="{26070D2D-9CFA-4888-9596-7A3C06E608A6}" name="Column12877"/>
    <tableColumn id="12883" xr3:uid="{310DE1DE-C5F4-48A0-B7DD-934709E559FD}" name="Column12878"/>
    <tableColumn id="12884" xr3:uid="{B17B8646-074C-4BEA-A75B-F44E8951B0EA}" name="Column12879"/>
    <tableColumn id="12885" xr3:uid="{494ED298-B17A-42CB-B4BD-F53A5C24F091}" name="Column12880"/>
    <tableColumn id="12886" xr3:uid="{CE2790A3-F01A-4CE0-B4FA-F1BB16BC3868}" name="Column12881"/>
    <tableColumn id="12887" xr3:uid="{AAA5C464-04B4-4C4E-820E-E27FDDB4A6F1}" name="Column12882"/>
    <tableColumn id="12888" xr3:uid="{7D3C45BF-6CE2-44CE-94B3-C00FA3648FFF}" name="Column12883"/>
    <tableColumn id="12889" xr3:uid="{16C3BDB2-4C64-4C68-A7CC-28C94999C68C}" name="Column12884"/>
    <tableColumn id="12890" xr3:uid="{E1F86F5C-9C95-4665-96DD-F69375F3B3AA}" name="Column12885"/>
    <tableColumn id="12891" xr3:uid="{8492D076-0734-422C-BCC4-15E1E8219FBB}" name="Column12886"/>
    <tableColumn id="12892" xr3:uid="{D75B766D-DF9F-4AFF-B8B5-FEE56E1D1888}" name="Column12887"/>
    <tableColumn id="12893" xr3:uid="{DF224820-6F71-473D-A715-9285EB7DAFA9}" name="Column12888"/>
    <tableColumn id="12894" xr3:uid="{BF24CEF8-5B3A-4EB6-A002-32B7B63E0A35}" name="Column12889"/>
    <tableColumn id="12895" xr3:uid="{C33EFC80-4BF6-4392-BD14-CA927143E10D}" name="Column12890"/>
    <tableColumn id="12896" xr3:uid="{7ACCC34A-FA63-4A34-AAF4-7A92B14CB789}" name="Column12891"/>
    <tableColumn id="12897" xr3:uid="{325715CB-CE49-47C5-AC51-9449DDC41396}" name="Column12892"/>
    <tableColumn id="12898" xr3:uid="{70918176-B8AF-4A70-8122-D4554EA4153A}" name="Column12893"/>
    <tableColumn id="12899" xr3:uid="{FE5E9947-B70F-4B57-BA84-D16503518E31}" name="Column12894"/>
    <tableColumn id="12900" xr3:uid="{AC4A7B1B-3F58-41AE-BB02-0760296EECF0}" name="Column12895"/>
    <tableColumn id="12901" xr3:uid="{5BB536F4-D731-49DE-ADCA-B4EDD7C34506}" name="Column12896"/>
    <tableColumn id="12902" xr3:uid="{BE56D90F-71EE-4F3A-B003-4760A58A0FA0}" name="Column12897"/>
    <tableColumn id="12903" xr3:uid="{A3321520-7DC7-4CEE-9B77-0FDA7F56F719}" name="Column12898"/>
    <tableColumn id="12904" xr3:uid="{43FB307F-6CFB-46AF-B08C-166AAC46B510}" name="Column12899"/>
    <tableColumn id="12905" xr3:uid="{8E42D540-71E7-41B5-823D-6FCC2F618D42}" name="Column12900"/>
    <tableColumn id="12906" xr3:uid="{0A9C8494-4483-486D-BDAC-B64440D20762}" name="Column12901"/>
    <tableColumn id="12907" xr3:uid="{816CB67D-0BAF-44EA-A2D2-A6C24707E5F5}" name="Column12902"/>
    <tableColumn id="12908" xr3:uid="{1193E418-ECA0-41F3-B86D-35B812E0C907}" name="Column12903"/>
    <tableColumn id="12909" xr3:uid="{97C7EB00-D0EE-41DE-9A53-7725F435CB17}" name="Column12904"/>
    <tableColumn id="12910" xr3:uid="{65DE4C7C-17B8-4D53-8B11-F09365789B47}" name="Column12905"/>
    <tableColumn id="12911" xr3:uid="{49F72294-D3D6-4D9B-9B29-41D12296FF80}" name="Column12906"/>
    <tableColumn id="12912" xr3:uid="{215E51E6-5058-48BA-B604-5434B0879BDC}" name="Column12907"/>
    <tableColumn id="12913" xr3:uid="{97EB3956-CDC5-422E-B33D-1CB5BFE68C3F}" name="Column12908"/>
    <tableColumn id="12914" xr3:uid="{A5954CFB-4B50-4CFF-9D4B-81E3B95839EB}" name="Column12909"/>
    <tableColumn id="12915" xr3:uid="{1B32DE9D-77D8-4A3D-B8EA-270783A674AB}" name="Column12910"/>
    <tableColumn id="12916" xr3:uid="{6FEA0501-7C9B-4208-9664-7DEA4A07CD90}" name="Column12911"/>
    <tableColumn id="12917" xr3:uid="{8B6B042A-260F-47FE-8733-949673528D6F}" name="Column12912"/>
    <tableColumn id="12918" xr3:uid="{1DC48A4C-1A10-4066-99BE-C7AED631D757}" name="Column12913"/>
    <tableColumn id="12919" xr3:uid="{18347D17-0D36-4572-A9CA-B20B589C70FC}" name="Column12914"/>
    <tableColumn id="12920" xr3:uid="{E7B1A467-D672-433D-8EAB-DAE8EE43846A}" name="Column12915"/>
    <tableColumn id="12921" xr3:uid="{46E4800A-AD58-471A-BBC2-2300509F22B4}" name="Column12916"/>
    <tableColumn id="12922" xr3:uid="{49398D64-8D71-4621-AE98-8E2AC44C7565}" name="Column12917"/>
    <tableColumn id="12923" xr3:uid="{7B470E6B-2137-486A-9C4B-2968A209756F}" name="Column12918"/>
    <tableColumn id="12924" xr3:uid="{9709436D-0DC0-4F13-9948-4A1F6DE497FE}" name="Column12919"/>
    <tableColumn id="12925" xr3:uid="{9BA73519-1883-4E92-A528-DBEF0D182A9C}" name="Column12920"/>
    <tableColumn id="12926" xr3:uid="{60CC3312-3664-4F11-969C-05CC47FDAED9}" name="Column12921"/>
    <tableColumn id="12927" xr3:uid="{D4A8C821-E4B0-44A0-B802-452C1C853825}" name="Column12922"/>
    <tableColumn id="12928" xr3:uid="{0C757417-6FDF-4B1D-BF45-9816C7ABF348}" name="Column12923"/>
    <tableColumn id="12929" xr3:uid="{3B33724D-3307-4ABB-8541-73D9894B93AE}" name="Column12924"/>
    <tableColumn id="12930" xr3:uid="{F9220E6C-CDCF-4F3F-964E-DEB2FBD3CA71}" name="Column12925"/>
    <tableColumn id="12931" xr3:uid="{66B1320C-9655-40E8-A8DB-2F3BBEFC4166}" name="Column12926"/>
    <tableColumn id="12932" xr3:uid="{9AC85165-E6E3-444F-B218-8DB06F2630DF}" name="Column12927"/>
    <tableColumn id="12933" xr3:uid="{0A2A13F4-A8E5-4205-B117-BA8B8D3EA637}" name="Column12928"/>
    <tableColumn id="12934" xr3:uid="{5730C2F8-B919-4FD2-B6BF-3961B1045729}" name="Column12929"/>
    <tableColumn id="12935" xr3:uid="{9849AA46-76B5-43EF-83D3-5D68F8F12CD4}" name="Column12930"/>
    <tableColumn id="12936" xr3:uid="{393294AF-F63E-4C08-B1F9-F4C3564FE458}" name="Column12931"/>
    <tableColumn id="12937" xr3:uid="{493740C4-7101-4879-BA20-641FBB128990}" name="Column12932"/>
    <tableColumn id="12938" xr3:uid="{BBA65E30-5490-45F7-BA62-48D064AB0A51}" name="Column12933"/>
    <tableColumn id="12939" xr3:uid="{0199EE93-5D88-44E3-A39E-0BFFB52DC982}" name="Column12934"/>
    <tableColumn id="12940" xr3:uid="{C5750A9A-8D7D-4DE1-9938-E5357CE98AB6}" name="Column12935"/>
    <tableColumn id="12941" xr3:uid="{C29B2025-77FF-4BB7-9FB3-0357F06B73E7}" name="Column12936"/>
    <tableColumn id="12942" xr3:uid="{C2710784-5319-4B98-BFC7-FDE3B4DC4665}" name="Column12937"/>
    <tableColumn id="12943" xr3:uid="{63EE19F7-9DAB-4FC0-BA66-3DD363A5E9D3}" name="Column12938"/>
    <tableColumn id="12944" xr3:uid="{896F6592-C821-42AD-961B-71BDC7120D2B}" name="Column12939"/>
    <tableColumn id="12945" xr3:uid="{3839D227-B6DE-4B44-8379-0EEA4B091F9C}" name="Column12940"/>
    <tableColumn id="12946" xr3:uid="{8285293B-087F-47E6-9FCB-F56442673CB6}" name="Column12941"/>
    <tableColumn id="12947" xr3:uid="{1798C162-C1D7-48F4-9801-EB0FFA824042}" name="Column12942"/>
    <tableColumn id="12948" xr3:uid="{DB9CCEFA-EB3C-4B76-93B5-81EA6AFE811A}" name="Column12943"/>
    <tableColumn id="12949" xr3:uid="{D28F356F-6D52-443B-A52B-6F8479544E95}" name="Column12944"/>
    <tableColumn id="12950" xr3:uid="{2BA96003-C357-47B7-BAA2-A04A269AA27C}" name="Column12945"/>
    <tableColumn id="12951" xr3:uid="{0A0B791B-B376-4297-8E78-41DA94408C0D}" name="Column12946"/>
    <tableColumn id="12952" xr3:uid="{B727139B-BA09-4D92-8335-37B49350F226}" name="Column12947"/>
    <tableColumn id="12953" xr3:uid="{39957FAA-C012-46B8-B403-1BCD57BEC6E9}" name="Column12948"/>
    <tableColumn id="12954" xr3:uid="{5FE94957-43DB-450F-A7A8-608C9EAA9C86}" name="Column12949"/>
    <tableColumn id="12955" xr3:uid="{346A6E7C-1E83-40E1-8936-BE1A91A4B5D9}" name="Column12950"/>
    <tableColumn id="12956" xr3:uid="{447AD3C7-2770-495A-A97E-1F6E2F27E2EA}" name="Column12951"/>
    <tableColumn id="12957" xr3:uid="{7BA2A21C-98DE-4365-91DD-EE793F39EBD3}" name="Column12952"/>
    <tableColumn id="12958" xr3:uid="{71CAD022-D04B-425B-AB31-830889111040}" name="Column12953"/>
    <tableColumn id="12959" xr3:uid="{D3FCD1A9-2893-4370-96F5-2EC18B42EDCE}" name="Column12954"/>
    <tableColumn id="12960" xr3:uid="{90FEBD2E-1E96-4C62-87F9-FEC4A3179EDB}" name="Column12955"/>
    <tableColumn id="12961" xr3:uid="{02A4AC96-D74B-460D-9265-9642F5A0109C}" name="Column12956"/>
    <tableColumn id="12962" xr3:uid="{D8CB75AF-BA65-4835-A5F8-48D1F4FA069A}" name="Column12957"/>
    <tableColumn id="12963" xr3:uid="{F4DBBCCF-E142-432F-9DC1-61DBFBE1BC51}" name="Column12958"/>
    <tableColumn id="12964" xr3:uid="{AE730C44-1C54-4E40-A33D-F191BBB4A2F6}" name="Column12959"/>
    <tableColumn id="12965" xr3:uid="{292C4FB3-D044-4AE5-95EB-D378E994950B}" name="Column12960"/>
    <tableColumn id="12966" xr3:uid="{2841F2B0-0926-4958-84CF-18220A8A6879}" name="Column12961"/>
    <tableColumn id="12967" xr3:uid="{93A890CF-7456-4097-9487-F1A9755EC437}" name="Column12962"/>
    <tableColumn id="12968" xr3:uid="{22EF002D-0A7D-46B7-A668-7FA4071DDE0B}" name="Column12963"/>
    <tableColumn id="12969" xr3:uid="{38BF8CE7-5CDC-4BBE-A76B-3FE392DAFCC5}" name="Column12964"/>
    <tableColumn id="12970" xr3:uid="{FA40B0A7-282F-416D-9859-D92D7777BF19}" name="Column12965"/>
    <tableColumn id="12971" xr3:uid="{3C7AB604-CC1B-4A49-BF47-51A26E9739D7}" name="Column12966"/>
    <tableColumn id="12972" xr3:uid="{DEFB59F7-3F56-4F97-BC55-90969DEACC16}" name="Column12967"/>
    <tableColumn id="12973" xr3:uid="{8853D884-63AA-461B-9A99-B1EC08B879C6}" name="Column12968"/>
    <tableColumn id="12974" xr3:uid="{1CD42242-424F-4FEA-B4B1-CB76D13E9CEB}" name="Column12969"/>
    <tableColumn id="12975" xr3:uid="{637CB308-FCEA-4BBB-98BE-D8B531AF0181}" name="Column12970"/>
    <tableColumn id="12976" xr3:uid="{46AA3C7B-F8D7-4DC9-B764-1BE43BF5FF33}" name="Column12971"/>
    <tableColumn id="12977" xr3:uid="{0157A3F9-1CF0-4643-963B-02C88EC2CAF5}" name="Column12972"/>
    <tableColumn id="12978" xr3:uid="{453C310A-8175-46B2-B24F-1BF3E4181F61}" name="Column12973"/>
    <tableColumn id="12979" xr3:uid="{EEF57A07-138A-47FB-A1F9-BCA8A91CB459}" name="Column12974"/>
    <tableColumn id="12980" xr3:uid="{F6581CFF-8389-4B26-910E-C7C390422ADA}" name="Column12975"/>
    <tableColumn id="12981" xr3:uid="{0143CC4E-9458-448D-A4DC-976E2C8DE202}" name="Column12976"/>
    <tableColumn id="12982" xr3:uid="{AF58DA54-7DE5-4B80-9CF0-DDCB3D9676D4}" name="Column12977"/>
    <tableColumn id="12983" xr3:uid="{DB7D5EB0-0C0C-42ED-A3CB-FAFFB2519758}" name="Column12978"/>
    <tableColumn id="12984" xr3:uid="{7BCB3ACC-6453-406F-82E6-E107C40D863F}" name="Column12979"/>
    <tableColumn id="12985" xr3:uid="{DD4C9E92-2D27-43C0-B05E-AC55046F44C2}" name="Column12980"/>
    <tableColumn id="12986" xr3:uid="{885DD221-C8AD-4D54-91A8-0123088AF554}" name="Column12981"/>
    <tableColumn id="12987" xr3:uid="{B5B78D76-96ED-4416-9268-5261D30C6EE1}" name="Column12982"/>
    <tableColumn id="12988" xr3:uid="{EC7A6328-B308-4DB5-98F0-297060BDBEFD}" name="Column12983"/>
    <tableColumn id="12989" xr3:uid="{10217233-CD35-425F-AD6F-93D5B29B1834}" name="Column12984"/>
    <tableColumn id="12990" xr3:uid="{AF7239EB-A6C8-4475-BEA5-252FE4997029}" name="Column12985"/>
    <tableColumn id="12991" xr3:uid="{90BA02D7-AA78-4880-B6EB-98129D39931A}" name="Column12986"/>
    <tableColumn id="12992" xr3:uid="{F079B5E8-BBA2-45BF-B274-FD532EF73B43}" name="Column12987"/>
    <tableColumn id="12993" xr3:uid="{1BA1B414-30D5-4A3C-8B35-36CB7EDDF96B}" name="Column12988"/>
    <tableColumn id="12994" xr3:uid="{67B4796C-BC1E-442C-ADCB-CE28B83FDB86}" name="Column12989"/>
    <tableColumn id="12995" xr3:uid="{5F0A1225-1066-4574-9805-E5B0FAA94ADB}" name="Column12990"/>
    <tableColumn id="12996" xr3:uid="{0B020EA0-30EB-480E-A099-3C83745A6664}" name="Column12991"/>
    <tableColumn id="12997" xr3:uid="{7875CB75-F5AF-457C-8EC3-B696FA4272A0}" name="Column12992"/>
    <tableColumn id="12998" xr3:uid="{91C89188-2C85-440F-A122-3450A2F90899}" name="Column12993"/>
    <tableColumn id="12999" xr3:uid="{ADE4C8C3-3D10-42A1-BB92-B81C29DEC520}" name="Column12994"/>
    <tableColumn id="13000" xr3:uid="{E103602F-7519-4D45-88AB-A691B3FDF651}" name="Column12995"/>
    <tableColumn id="13001" xr3:uid="{904F7859-34C1-40A6-8C5D-8E942437269F}" name="Column12996"/>
    <tableColumn id="13002" xr3:uid="{591DE921-AB25-4BCB-91C6-E600B9123128}" name="Column12997"/>
    <tableColumn id="13003" xr3:uid="{6E29D061-5F70-439B-AC0C-800FD6956CE7}" name="Column12998"/>
    <tableColumn id="13004" xr3:uid="{72DE60F1-4EC0-46FD-B3E1-804A09D45FC5}" name="Column12999"/>
    <tableColumn id="13005" xr3:uid="{44CC4167-4D01-4DE7-A902-42D29A59FB2A}" name="Column13000"/>
    <tableColumn id="13006" xr3:uid="{7E9AEFDF-B79D-45E2-B861-95323FDD3439}" name="Column13001"/>
    <tableColumn id="13007" xr3:uid="{EB15DB56-DEB1-427B-8451-D39BF19A1C75}" name="Column13002"/>
    <tableColumn id="13008" xr3:uid="{F61F0A8A-F982-4B62-A5C1-83F35DF89B45}" name="Column13003"/>
    <tableColumn id="13009" xr3:uid="{EE5C86B1-DE06-47A3-B6CD-FF88EAAA4977}" name="Column13004"/>
    <tableColumn id="13010" xr3:uid="{E4F92CFC-483B-48D2-BFFE-F0481542DC99}" name="Column13005"/>
    <tableColumn id="13011" xr3:uid="{8CE99C6B-920A-4170-8926-AE136E39ED0E}" name="Column13006"/>
    <tableColumn id="13012" xr3:uid="{0D2A0A94-1811-4FFB-BD40-BD198A09AEE0}" name="Column13007"/>
    <tableColumn id="13013" xr3:uid="{181563C7-CC2C-44BD-8106-52F661CC0141}" name="Column13008"/>
    <tableColumn id="13014" xr3:uid="{CE3BA7A6-EA82-4FDD-A406-F91F32B62669}" name="Column13009"/>
    <tableColumn id="13015" xr3:uid="{B049CF1D-9F6C-4397-9609-88F83E67739D}" name="Column13010"/>
    <tableColumn id="13016" xr3:uid="{C4B07D91-C9CC-4B61-81DF-C0FC82283B87}" name="Column13011"/>
    <tableColumn id="13017" xr3:uid="{0AE6B59F-7084-4453-959D-652E8120E3C8}" name="Column13012"/>
    <tableColumn id="13018" xr3:uid="{A94CC977-318F-4492-A419-7C18476FDF28}" name="Column13013"/>
    <tableColumn id="13019" xr3:uid="{68AAC0F4-BC8F-4796-922D-C11D52D57555}" name="Column13014"/>
    <tableColumn id="13020" xr3:uid="{F29359F4-913D-4FCF-8E6A-981CBBF45F9A}" name="Column13015"/>
    <tableColumn id="13021" xr3:uid="{DAA63E71-B0C1-4D26-B49E-91D65A9EA0E5}" name="Column13016"/>
    <tableColumn id="13022" xr3:uid="{52BB062E-9DFA-4C9D-96DC-17E764ADC5EF}" name="Column13017"/>
    <tableColumn id="13023" xr3:uid="{0A949215-A16C-47C6-AB67-DCCAA2690205}" name="Column13018"/>
    <tableColumn id="13024" xr3:uid="{ABB05ABE-B2B5-431D-A981-98A6C9EA158E}" name="Column13019"/>
    <tableColumn id="13025" xr3:uid="{0FED10E9-A8C6-429D-877D-38536FF6B97D}" name="Column13020"/>
    <tableColumn id="13026" xr3:uid="{69F1EC09-2FEF-4DC2-B456-320D3004F397}" name="Column13021"/>
    <tableColumn id="13027" xr3:uid="{F5C00734-A43B-4560-BB2A-9A38A1C9EE51}" name="Column13022"/>
    <tableColumn id="13028" xr3:uid="{D94D7662-BCF2-4E20-A223-C2D8DCD65CDA}" name="Column13023"/>
    <tableColumn id="13029" xr3:uid="{20FFF568-B27B-437F-9492-7D5E52833142}" name="Column13024"/>
    <tableColumn id="13030" xr3:uid="{46F8C382-6CA0-4644-8E17-BA10B1A41F60}" name="Column13025"/>
    <tableColumn id="13031" xr3:uid="{185BBB93-5B3A-4676-AA70-C2350CAFFB25}" name="Column13026"/>
    <tableColumn id="13032" xr3:uid="{79D1BCF3-EE19-43F3-A999-57C3EEEA2DCF}" name="Column13027"/>
    <tableColumn id="13033" xr3:uid="{5C61B502-FF46-41C5-9CE8-0C2FA6F90AEC}" name="Column13028"/>
    <tableColumn id="13034" xr3:uid="{22088FB5-9002-4E59-9E55-A311E78487DF}" name="Column13029"/>
    <tableColumn id="13035" xr3:uid="{AA365BA3-1F3E-4678-B8A7-B95068E9853A}" name="Column13030"/>
    <tableColumn id="13036" xr3:uid="{AA980853-3913-4538-819B-4548EE98DB04}" name="Column13031"/>
    <tableColumn id="13037" xr3:uid="{1FAC32C1-B764-4B5F-83A0-4A6491128229}" name="Column13032"/>
    <tableColumn id="13038" xr3:uid="{2E55E229-6709-4F9D-9F01-211643BB3BA0}" name="Column13033"/>
    <tableColumn id="13039" xr3:uid="{8AE6EC29-7284-48A4-8521-75BDF1256EE1}" name="Column13034"/>
    <tableColumn id="13040" xr3:uid="{DCEE0F95-6010-498A-96D7-C6C1A370B6D7}" name="Column13035"/>
    <tableColumn id="13041" xr3:uid="{5AE18192-DE9B-4070-8EEF-F2FC0470C54C}" name="Column13036"/>
    <tableColumn id="13042" xr3:uid="{8B0F2C38-AA84-437B-B93F-48D428A708F4}" name="Column13037"/>
    <tableColumn id="13043" xr3:uid="{351C8DE1-F23E-46B5-AF36-CA29D29F5989}" name="Column13038"/>
    <tableColumn id="13044" xr3:uid="{4BAA5B51-5680-44AB-AFD9-EA1D42E059EB}" name="Column13039"/>
    <tableColumn id="13045" xr3:uid="{1FD76FCA-E181-431F-820C-021302A414AA}" name="Column13040"/>
    <tableColumn id="13046" xr3:uid="{095F67EB-BDC1-4EAD-B42E-997E233F1099}" name="Column13041"/>
    <tableColumn id="13047" xr3:uid="{94831DD5-F8DF-4A67-B057-9D65E015FE0C}" name="Column13042"/>
    <tableColumn id="13048" xr3:uid="{D6E086CE-DE55-41D2-8C93-911785B8E903}" name="Column13043"/>
    <tableColumn id="13049" xr3:uid="{0F4D604B-3685-4E26-A062-148B33859D44}" name="Column13044"/>
    <tableColumn id="13050" xr3:uid="{00D120E0-5043-48DE-A90D-A737D502F768}" name="Column13045"/>
    <tableColumn id="13051" xr3:uid="{3B28CD4D-0420-4F0D-A0ED-7BD73868CF38}" name="Column13046"/>
    <tableColumn id="13052" xr3:uid="{EFE0D3DB-DBAE-4910-B374-362CD331CA5F}" name="Column13047"/>
    <tableColumn id="13053" xr3:uid="{EECD7396-0642-458C-A19A-F84E2681D6D7}" name="Column13048"/>
    <tableColumn id="13054" xr3:uid="{6519C589-E520-4341-83F6-A2F341E731DF}" name="Column13049"/>
    <tableColumn id="13055" xr3:uid="{9BE9E3F6-C98A-4414-AC09-0BF23606EEBF}" name="Column13050"/>
    <tableColumn id="13056" xr3:uid="{BB46CD49-187A-49D0-87EB-13A9AB79E726}" name="Column13051"/>
    <tableColumn id="13057" xr3:uid="{75F2888E-2EE6-43E7-9A16-88B77125A8CE}" name="Column13052"/>
    <tableColumn id="13058" xr3:uid="{A73604FB-CECE-4D09-86FE-32EF7AEAF229}" name="Column13053"/>
    <tableColumn id="13059" xr3:uid="{A0D0DE17-97F3-4844-B7A5-2BA427DB3817}" name="Column13054"/>
    <tableColumn id="13060" xr3:uid="{4C0B0EBD-5C1C-4887-A549-0667B59D3F23}" name="Column13055"/>
    <tableColumn id="13061" xr3:uid="{C065B0A5-BC3E-487C-94B6-52E173664076}" name="Column13056"/>
    <tableColumn id="13062" xr3:uid="{E529010B-7AC7-4826-BCCB-72D8DE6BAE2B}" name="Column13057"/>
    <tableColumn id="13063" xr3:uid="{3FF8E2CC-F88A-44B3-87D5-79228108F23A}" name="Column13058"/>
    <tableColumn id="13064" xr3:uid="{4C8BEA93-AB76-4A2B-A81B-3CC70DC1C263}" name="Column13059"/>
    <tableColumn id="13065" xr3:uid="{BB262736-5F73-4ED7-AEE3-81D19F5B2D5E}" name="Column13060"/>
    <tableColumn id="13066" xr3:uid="{34D5BCD4-DA77-4A2D-8CF5-F581E386968B}" name="Column13061"/>
    <tableColumn id="13067" xr3:uid="{7F24F8EE-58BD-424D-8227-BC255FDC2C12}" name="Column13062"/>
    <tableColumn id="13068" xr3:uid="{CA2C4AF1-7210-4E32-B8A3-381DDA96B78A}" name="Column13063"/>
    <tableColumn id="13069" xr3:uid="{A30D9049-EC85-4362-A251-F76E6582CE4F}" name="Column13064"/>
    <tableColumn id="13070" xr3:uid="{FFE8F874-D691-4677-BF2A-7AE37D650304}" name="Column13065"/>
    <tableColumn id="13071" xr3:uid="{AEDCECFB-A348-4E7F-BA2F-C68B9534F1CF}" name="Column13066"/>
    <tableColumn id="13072" xr3:uid="{A8EA509E-FF15-4EE4-8B83-3A65243FE777}" name="Column13067"/>
    <tableColumn id="13073" xr3:uid="{2760BE87-73B8-4B55-9ED9-D5F028A0B84D}" name="Column13068"/>
    <tableColumn id="13074" xr3:uid="{A2CE37FB-29E6-42BB-ACBD-370831455920}" name="Column13069"/>
    <tableColumn id="13075" xr3:uid="{17F902CD-1C24-4138-8148-504390863698}" name="Column13070"/>
    <tableColumn id="13076" xr3:uid="{91377184-CE15-405A-A808-3573DCB51289}" name="Column13071"/>
    <tableColumn id="13077" xr3:uid="{16074427-D455-48FD-BF28-828A38EFBA6C}" name="Column13072"/>
    <tableColumn id="13078" xr3:uid="{7DE471A7-E728-4C5C-9572-487C1A940865}" name="Column13073"/>
    <tableColumn id="13079" xr3:uid="{B91525DB-C01B-4037-A750-47176F2B230D}" name="Column13074"/>
    <tableColumn id="13080" xr3:uid="{C6757EA9-E7A5-4454-A3FA-049550D33EE7}" name="Column13075"/>
    <tableColumn id="13081" xr3:uid="{18DF1DA7-CBB6-47F0-98F1-74CB20B79F13}" name="Column13076"/>
    <tableColumn id="13082" xr3:uid="{4C7605CA-7D01-4EAF-AC71-386C9FB8F807}" name="Column13077"/>
    <tableColumn id="13083" xr3:uid="{93E35D2C-6878-4016-840D-E271626A5F74}" name="Column13078"/>
    <tableColumn id="13084" xr3:uid="{1DB7F12D-2094-4477-B5AF-A6DB8F373C8E}" name="Column13079"/>
    <tableColumn id="13085" xr3:uid="{826AAE58-044E-4350-A6EC-3D2024645B49}" name="Column13080"/>
    <tableColumn id="13086" xr3:uid="{7BF31C3A-D224-488C-9A2A-1A4C56DE9802}" name="Column13081"/>
    <tableColumn id="13087" xr3:uid="{02B9CDE2-60CA-4FCF-83BC-BA2B01E90C24}" name="Column13082"/>
    <tableColumn id="13088" xr3:uid="{0D7900AC-B80B-44B6-B4DC-74711933FDE6}" name="Column13083"/>
    <tableColumn id="13089" xr3:uid="{B683F708-6FA5-418C-BF3A-9EB094B4E7E0}" name="Column13084"/>
    <tableColumn id="13090" xr3:uid="{DA071D26-391E-4DDD-8668-8D3F2FF2A2A3}" name="Column13085"/>
    <tableColumn id="13091" xr3:uid="{496B6AB9-C7DC-47E7-B2A7-63AC4C33979E}" name="Column13086"/>
    <tableColumn id="13092" xr3:uid="{F6CF5F29-241D-480C-9450-A2EA0E8759C0}" name="Column13087"/>
    <tableColumn id="13093" xr3:uid="{0CA324B7-3083-48D6-B2B8-2EF53DABE47C}" name="Column13088"/>
    <tableColumn id="13094" xr3:uid="{F1618D47-6525-4B82-9FBF-BE3908EBFF68}" name="Column13089"/>
    <tableColumn id="13095" xr3:uid="{653A0191-21E3-4CE8-8DA7-510DE27BCEEB}" name="Column13090"/>
    <tableColumn id="13096" xr3:uid="{85760D89-4909-436E-BF70-2F2D51E595DC}" name="Column13091"/>
    <tableColumn id="13097" xr3:uid="{E41CE37B-158E-4BB9-B457-C8106C3C80CB}" name="Column13092"/>
    <tableColumn id="13098" xr3:uid="{37ACBF66-DFFC-4A32-9904-1BEA5B78815D}" name="Column13093"/>
    <tableColumn id="13099" xr3:uid="{A4DE7B56-AF1E-4A01-84CB-5A4BC402252A}" name="Column13094"/>
    <tableColumn id="13100" xr3:uid="{B1E21E77-A1FF-4D2C-99D7-F7F5105C45B2}" name="Column13095"/>
    <tableColumn id="13101" xr3:uid="{F76A2A8C-F4FE-453F-8C3F-EC5579296F86}" name="Column13096"/>
    <tableColumn id="13102" xr3:uid="{53A199C1-B380-42FE-BB0F-09EFAC109CD3}" name="Column13097"/>
    <tableColumn id="13103" xr3:uid="{4DA2B301-6E3A-434E-B333-FA5BF3EB08F8}" name="Column13098"/>
    <tableColumn id="13104" xr3:uid="{B38E9251-A820-414C-89B5-BD336537D3A5}" name="Column13099"/>
    <tableColumn id="13105" xr3:uid="{AABB88DF-145D-4430-A7F5-2430429B9314}" name="Column13100"/>
    <tableColumn id="13106" xr3:uid="{4DC2C75D-C3D9-42D0-B8E8-47315C45497B}" name="Column13101"/>
    <tableColumn id="13107" xr3:uid="{BB17656E-9E50-4A59-889D-6A42926CB124}" name="Column13102"/>
    <tableColumn id="13108" xr3:uid="{015A78EB-C71D-4644-B5B6-F591EBAFE3BB}" name="Column13103"/>
    <tableColumn id="13109" xr3:uid="{A5868D78-3EE5-49AA-8CA1-6A551B0EB7A9}" name="Column13104"/>
    <tableColumn id="13110" xr3:uid="{FAC423B9-9BF7-4B3C-A55C-F26F591E1A2F}" name="Column13105"/>
    <tableColumn id="13111" xr3:uid="{F09B6F9D-671D-421E-8731-302AF095AFDC}" name="Column13106"/>
    <tableColumn id="13112" xr3:uid="{89EBB778-465F-431D-AEC0-DEFCBBDFA252}" name="Column13107"/>
    <tableColumn id="13113" xr3:uid="{9C3087CB-C76E-4534-8888-E686D1CED497}" name="Column13108"/>
    <tableColumn id="13114" xr3:uid="{E4693680-A889-44A1-8215-4D8A51CBF701}" name="Column13109"/>
    <tableColumn id="13115" xr3:uid="{D2A7CF2E-A6A1-474F-B839-361D161B6A4F}" name="Column13110"/>
    <tableColumn id="13116" xr3:uid="{DAC5FD68-E417-4805-B90C-941AF024ADE8}" name="Column13111"/>
    <tableColumn id="13117" xr3:uid="{CD195096-9995-4B71-9000-402FBFFB4797}" name="Column13112"/>
    <tableColumn id="13118" xr3:uid="{FC0B22DE-3302-45E3-85DE-FE0CAE2DC558}" name="Column13113"/>
    <tableColumn id="13119" xr3:uid="{4846FB5C-F0FA-49DC-9896-A996ABF1C28B}" name="Column13114"/>
    <tableColumn id="13120" xr3:uid="{4CA2FE14-29F4-4993-8024-9D7D36D8EFAA}" name="Column13115"/>
    <tableColumn id="13121" xr3:uid="{896962BC-A627-40DB-B0CB-6262CED6556F}" name="Column13116"/>
    <tableColumn id="13122" xr3:uid="{4340CEC8-113A-458A-B56D-6E3DC753F118}" name="Column13117"/>
    <tableColumn id="13123" xr3:uid="{1A0E601B-308D-48B0-987C-4799A756B3C7}" name="Column13118"/>
    <tableColumn id="13124" xr3:uid="{9DB7C51B-08ED-449A-BE05-D8A53E08D4FB}" name="Column13119"/>
    <tableColumn id="13125" xr3:uid="{1E0D0828-4341-4555-87FF-36CBEC1AF8C2}" name="Column13120"/>
    <tableColumn id="13126" xr3:uid="{763C7290-CB01-48DD-A0DA-27EC328ABBD3}" name="Column13121"/>
    <tableColumn id="13127" xr3:uid="{3BB2648E-B62D-4606-AC66-9762FDE29D4C}" name="Column13122"/>
    <tableColumn id="13128" xr3:uid="{EFF7ECE4-4808-4C5B-8569-B3CD888D9F7C}" name="Column13123"/>
    <tableColumn id="13129" xr3:uid="{890EE11C-1568-42DE-994C-CC057576F6C6}" name="Column13124"/>
    <tableColumn id="13130" xr3:uid="{857E7477-E8DC-499A-8134-69BD0C780524}" name="Column13125"/>
    <tableColumn id="13131" xr3:uid="{DC7A8030-8BFD-43E9-93C6-50C5036259FB}" name="Column13126"/>
    <tableColumn id="13132" xr3:uid="{89E71F35-00D9-4BAD-9EA3-AF726B223CA1}" name="Column13127"/>
    <tableColumn id="13133" xr3:uid="{4E6D8482-9314-4F35-ABEA-8099AC7E07D6}" name="Column13128"/>
    <tableColumn id="13134" xr3:uid="{40BD87D6-D4DC-49D4-AC80-030295632734}" name="Column13129"/>
    <tableColumn id="13135" xr3:uid="{9A431D89-9BDE-4FED-9A06-F9895F084C8F}" name="Column13130"/>
    <tableColumn id="13136" xr3:uid="{33A3F80C-EDF9-47A6-B55B-10407ED1C5C4}" name="Column13131"/>
    <tableColumn id="13137" xr3:uid="{604FA2B7-8866-4A79-AE5E-B506EFA2B085}" name="Column13132"/>
    <tableColumn id="13138" xr3:uid="{4D9B2E1D-919D-42E7-AA4D-4848D9F36B20}" name="Column13133"/>
    <tableColumn id="13139" xr3:uid="{C15ACE91-0A2A-412B-87ED-5F40EE3A21A5}" name="Column13134"/>
    <tableColumn id="13140" xr3:uid="{13A256A9-E2ED-484A-99FA-0EBF6C64F14F}" name="Column13135"/>
    <tableColumn id="13141" xr3:uid="{DA3442CE-DD66-4BF5-B50A-E072C6B56DD3}" name="Column13136"/>
    <tableColumn id="13142" xr3:uid="{2E02C5D1-DCB4-4D05-8040-5A35BD842428}" name="Column13137"/>
    <tableColumn id="13143" xr3:uid="{E61EFC80-A060-4E33-AEB8-0B4D7580E76A}" name="Column13138"/>
    <tableColumn id="13144" xr3:uid="{FD701FC2-8608-4872-9C24-9B3B7F3ADDA9}" name="Column13139"/>
    <tableColumn id="13145" xr3:uid="{7B0A51E4-EC94-4CC6-BAA1-FFC359D09867}" name="Column13140"/>
    <tableColumn id="13146" xr3:uid="{FBC5E51D-8DA8-48CD-A14B-C020666FAED1}" name="Column13141"/>
    <tableColumn id="13147" xr3:uid="{AB611183-AC4E-4A6F-AB44-DC2CA9D8CEF5}" name="Column13142"/>
    <tableColumn id="13148" xr3:uid="{0D384B0B-2FAE-4710-B637-96FA3DF126DD}" name="Column13143"/>
    <tableColumn id="13149" xr3:uid="{B40661D0-E30F-4A3C-9DB6-DF7D9B07AB12}" name="Column13144"/>
    <tableColumn id="13150" xr3:uid="{2F1AFE6D-2F7F-486D-BC11-144EEABC7E94}" name="Column13145"/>
    <tableColumn id="13151" xr3:uid="{B69261FA-B9D1-48FC-B6E6-98E3A77217B7}" name="Column13146"/>
    <tableColumn id="13152" xr3:uid="{487E1F55-620C-45CB-B3B4-FC582C50422F}" name="Column13147"/>
    <tableColumn id="13153" xr3:uid="{B9E014FA-47AE-44D3-9A8C-9F5BA7B37C99}" name="Column13148"/>
    <tableColumn id="13154" xr3:uid="{F88CA065-0EED-497D-BC31-4A598B234FEA}" name="Column13149"/>
    <tableColumn id="13155" xr3:uid="{5B860719-8833-4A03-ABAA-87E957B3DD01}" name="Column13150"/>
    <tableColumn id="13156" xr3:uid="{80FA94DE-E1B8-4403-89C0-F601E0DC05D6}" name="Column13151"/>
    <tableColumn id="13157" xr3:uid="{438F0C3C-F1A4-46B2-B37F-B88221D923B2}" name="Column13152"/>
    <tableColumn id="13158" xr3:uid="{1640B573-7437-4503-B26B-98E383764187}" name="Column13153"/>
    <tableColumn id="13159" xr3:uid="{585CE4B2-12F6-4B74-AD9C-A9B432A1728C}" name="Column13154"/>
    <tableColumn id="13160" xr3:uid="{49F5725E-6BC0-453B-B735-8ED3389BA0EC}" name="Column13155"/>
    <tableColumn id="13161" xr3:uid="{2A9F91CF-4E91-49F5-B976-4F8DB2A4D284}" name="Column13156"/>
    <tableColumn id="13162" xr3:uid="{601B6E67-B74E-40FE-85AF-C886BCEF9EBA}" name="Column13157"/>
    <tableColumn id="13163" xr3:uid="{291AB2B3-CB7E-45E9-89C5-DAF2D68AD726}" name="Column13158"/>
    <tableColumn id="13164" xr3:uid="{39A3DC7C-A658-4978-A483-B6D27A7E9D03}" name="Column13159"/>
    <tableColumn id="13165" xr3:uid="{E8E97D4B-0E80-4B8B-8C66-13057A759BAA}" name="Column13160"/>
    <tableColumn id="13166" xr3:uid="{84CC7F06-D182-450B-A58C-94743BDE4A00}" name="Column13161"/>
    <tableColumn id="13167" xr3:uid="{FC6FA71D-A125-4B56-A26F-B51342186B4B}" name="Column13162"/>
    <tableColumn id="13168" xr3:uid="{B5021C75-0447-42E5-B2B2-A2254943C1AB}" name="Column13163"/>
    <tableColumn id="13169" xr3:uid="{C2692F28-45F4-4428-AE71-F6B0F3D80B43}" name="Column13164"/>
    <tableColumn id="13170" xr3:uid="{F7A58C95-2450-4B6A-A997-A3E9ADA99CA4}" name="Column13165"/>
    <tableColumn id="13171" xr3:uid="{48B16D1F-0BEC-4B9C-9C95-8CAF97BA711F}" name="Column13166"/>
    <tableColumn id="13172" xr3:uid="{12855799-04A5-467B-99E3-C801B5746D49}" name="Column13167"/>
    <tableColumn id="13173" xr3:uid="{CC712637-86BE-4EC1-9CCE-A9512E36484B}" name="Column13168"/>
    <tableColumn id="13174" xr3:uid="{5E993753-C743-4BE0-827E-687ADBD717C6}" name="Column13169"/>
    <tableColumn id="13175" xr3:uid="{7008E9A9-5377-4F77-B3D2-295B3B312565}" name="Column13170"/>
    <tableColumn id="13176" xr3:uid="{13585CB6-763A-48BC-A5B7-6ED1551582CE}" name="Column13171"/>
    <tableColumn id="13177" xr3:uid="{A9109CE5-DEF0-4C83-A7D4-20EA5159484F}" name="Column13172"/>
    <tableColumn id="13178" xr3:uid="{6809117B-59D1-4AE4-85A0-C397E2B70528}" name="Column13173"/>
    <tableColumn id="13179" xr3:uid="{24B180CD-CE52-4B7D-A395-19EA49E3A3A6}" name="Column13174"/>
    <tableColumn id="13180" xr3:uid="{A7E65794-6EB8-4838-9B7F-A34BC0120D7B}" name="Column13175"/>
    <tableColumn id="13181" xr3:uid="{E7B97108-A897-47A4-8D5F-76A6E44A3AB5}" name="Column13176"/>
    <tableColumn id="13182" xr3:uid="{FFE62D5E-1975-4F31-9646-38D46AC88EFF}" name="Column13177"/>
    <tableColumn id="13183" xr3:uid="{00D60A2D-E4DD-4ED7-8FF2-7C0DF154BF35}" name="Column13178"/>
    <tableColumn id="13184" xr3:uid="{BECD2BA7-07EF-4F92-AAE9-5B0E3B16059A}" name="Column13179"/>
    <tableColumn id="13185" xr3:uid="{57B952C8-4219-4447-8AA2-7D7958ADFE4A}" name="Column13180"/>
    <tableColumn id="13186" xr3:uid="{FD2EBF61-E0E3-4191-8285-201F63025398}" name="Column13181"/>
    <tableColumn id="13187" xr3:uid="{F8EBF86F-3D07-4BC0-B391-D34EB4551138}" name="Column13182"/>
    <tableColumn id="13188" xr3:uid="{C5F1C6C0-5263-4FCE-9074-3935BE67EE3E}" name="Column13183"/>
    <tableColumn id="13189" xr3:uid="{A9AF0958-4EB1-41E3-AFE6-757A4C8E1977}" name="Column13184"/>
    <tableColumn id="13190" xr3:uid="{6399D77E-65C5-4AEE-94D9-8E525D3B0B8F}" name="Column13185"/>
    <tableColumn id="13191" xr3:uid="{1E7AEDE8-B0DF-44E2-B2A8-4D4629218FE6}" name="Column13186"/>
    <tableColumn id="13192" xr3:uid="{897ED0A4-065E-49EF-8EA2-53DF81177EA2}" name="Column13187"/>
    <tableColumn id="13193" xr3:uid="{EB8F2C7F-8023-44A0-B22A-724BBA8018FE}" name="Column13188"/>
    <tableColumn id="13194" xr3:uid="{A50185F9-9EF7-4B96-A676-1DC83299551F}" name="Column13189"/>
    <tableColumn id="13195" xr3:uid="{96962E10-6B0C-4546-85AC-9A7A97540570}" name="Column13190"/>
    <tableColumn id="13196" xr3:uid="{D7ABDD4C-2079-48AC-9E16-23C940E6FCE3}" name="Column13191"/>
    <tableColumn id="13197" xr3:uid="{D6FA964C-4E67-4976-905D-5DECD88FF91A}" name="Column13192"/>
    <tableColumn id="13198" xr3:uid="{C66B2C85-CC03-480B-A48A-CB75ADFA6EE2}" name="Column13193"/>
    <tableColumn id="13199" xr3:uid="{68009373-7045-4584-944A-001C8E3A4015}" name="Column13194"/>
    <tableColumn id="13200" xr3:uid="{84BE38B6-99A4-4B27-B99C-3C40A6D636A9}" name="Column13195"/>
    <tableColumn id="13201" xr3:uid="{2DB30F11-DBC6-4B2B-9120-509C4066F71E}" name="Column13196"/>
    <tableColumn id="13202" xr3:uid="{1DA47D18-72AE-4E65-9013-2089B90EED17}" name="Column13197"/>
    <tableColumn id="13203" xr3:uid="{94D27911-3C84-4BE8-A79A-C03B4A437079}" name="Column13198"/>
    <tableColumn id="13204" xr3:uid="{51DB7D89-BC39-48F6-B475-CE27B415EFF7}" name="Column13199"/>
    <tableColumn id="13205" xr3:uid="{519B6D4B-C3AA-4D00-8E6E-7E17AAE54758}" name="Column13200"/>
    <tableColumn id="13206" xr3:uid="{53B423EA-3A84-44A8-98A3-F5D21C004C80}" name="Column13201"/>
    <tableColumn id="13207" xr3:uid="{D55D99EC-5AC1-48C0-AD20-D5FA9C3D174C}" name="Column13202"/>
    <tableColumn id="13208" xr3:uid="{000B8CD3-3CAA-473D-A610-A55EFD6CDA56}" name="Column13203"/>
    <tableColumn id="13209" xr3:uid="{D9439744-3431-4D4F-A87D-078E116B1B40}" name="Column13204"/>
    <tableColumn id="13210" xr3:uid="{F917187E-C968-476A-95B5-CD108F882D41}" name="Column13205"/>
    <tableColumn id="13211" xr3:uid="{C38C5A48-DD4B-4584-B252-2D350E25F0ED}" name="Column13206"/>
    <tableColumn id="13212" xr3:uid="{E0E96B5D-0617-4C2F-A80C-F154AC52D50B}" name="Column13207"/>
    <tableColumn id="13213" xr3:uid="{1C78C92D-2668-40CA-86A5-4B47863E090E}" name="Column13208"/>
    <tableColumn id="13214" xr3:uid="{5BAD1D97-A331-4F65-BCB2-599913FCDA0D}" name="Column13209"/>
    <tableColumn id="13215" xr3:uid="{07F0257D-F3DE-4560-B16A-DE5C83754DA4}" name="Column13210"/>
    <tableColumn id="13216" xr3:uid="{51405620-84A3-4C07-A79F-955986029CCF}" name="Column13211"/>
    <tableColumn id="13217" xr3:uid="{E916F32E-E875-474B-876F-5A14BD1D9407}" name="Column13212"/>
    <tableColumn id="13218" xr3:uid="{E9DCD59B-A548-4797-A034-F9929A12541F}" name="Column13213"/>
    <tableColumn id="13219" xr3:uid="{523CB2E5-645C-4E5A-8857-80F8A8CDB891}" name="Column13214"/>
    <tableColumn id="13220" xr3:uid="{3FD6E909-18E6-47FE-BB51-ABA09DA627E5}" name="Column13215"/>
    <tableColumn id="13221" xr3:uid="{87B70A3A-4AAA-4BF8-A1F0-62F506E316AB}" name="Column13216"/>
    <tableColumn id="13222" xr3:uid="{57AA572B-DD2F-4B06-B4B8-910458D7692D}" name="Column13217"/>
    <tableColumn id="13223" xr3:uid="{48BC9462-3FE5-4B14-B846-A2A5C92823B6}" name="Column13218"/>
    <tableColumn id="13224" xr3:uid="{A852B58A-775C-40E2-B0A0-7908D1214C82}" name="Column13219"/>
    <tableColumn id="13225" xr3:uid="{18952F46-3DF3-49CD-B950-C554CFC0D1FF}" name="Column13220"/>
    <tableColumn id="13226" xr3:uid="{A108F0C8-3ABE-489F-BA38-A463AF4A58DF}" name="Column13221"/>
    <tableColumn id="13227" xr3:uid="{BF87E981-C1E6-4EBE-9FD8-74240561587C}" name="Column13222"/>
    <tableColumn id="13228" xr3:uid="{3B30FB01-543C-43D2-8CC3-42B453D44C76}" name="Column13223"/>
    <tableColumn id="13229" xr3:uid="{F9AD1CC1-9A21-4E5F-90DC-F7EA90B99BE4}" name="Column13224"/>
    <tableColumn id="13230" xr3:uid="{D63FBD82-D14F-4124-AD93-1A895C979C4F}" name="Column13225"/>
    <tableColumn id="13231" xr3:uid="{29E94F8A-F811-47E1-B20C-64A46CA89CE4}" name="Column13226"/>
    <tableColumn id="13232" xr3:uid="{AB92325E-D775-40D8-A2C3-A5A54F3A687C}" name="Column13227"/>
    <tableColumn id="13233" xr3:uid="{08BA8EB4-32D5-4BF4-A813-D9DDA5F6E34A}" name="Column13228"/>
    <tableColumn id="13234" xr3:uid="{E63810EC-5BFE-4C59-BA38-53D97E6D5C02}" name="Column13229"/>
    <tableColumn id="13235" xr3:uid="{39BC5B56-B932-47A8-8D2D-A8451F71BF02}" name="Column13230"/>
    <tableColumn id="13236" xr3:uid="{A103F092-A5D3-4A63-A8D1-7103FD981FC3}" name="Column13231"/>
    <tableColumn id="13237" xr3:uid="{BEA0716A-91D4-4F82-B755-6A40B586B208}" name="Column13232"/>
    <tableColumn id="13238" xr3:uid="{802AE77F-578D-4401-834A-72EDA5271579}" name="Column13233"/>
    <tableColumn id="13239" xr3:uid="{531C07BC-2417-4CC1-92AA-B41AD562A4B4}" name="Column13234"/>
    <tableColumn id="13240" xr3:uid="{2034F3D1-05A3-4CCF-8D5A-8471C28B0FA6}" name="Column13235"/>
    <tableColumn id="13241" xr3:uid="{C1E45BCE-4410-492D-AB7A-A9C1B19A44BF}" name="Column13236"/>
    <tableColumn id="13242" xr3:uid="{2BB53C95-3226-4AD8-BA30-99DD49A78478}" name="Column13237"/>
    <tableColumn id="13243" xr3:uid="{A678BF6D-5972-4699-86EA-FC1C2F4C712F}" name="Column13238"/>
    <tableColumn id="13244" xr3:uid="{A029BF25-5434-4D11-86FD-3EEC858D42CF}" name="Column13239"/>
    <tableColumn id="13245" xr3:uid="{5E570BB8-A2F6-4B50-B5A5-CA6CD8FBA789}" name="Column13240"/>
    <tableColumn id="13246" xr3:uid="{E7A1DD05-23B9-47B5-89E1-ACB565F1EB63}" name="Column13241"/>
    <tableColumn id="13247" xr3:uid="{8931B292-A5D2-4410-AF7A-948395F328C5}" name="Column13242"/>
    <tableColumn id="13248" xr3:uid="{8DE0FD7C-5017-4875-B6DC-64C0F37A8F95}" name="Column13243"/>
    <tableColumn id="13249" xr3:uid="{855CAB5E-4FC0-44F6-BA06-B6944945D8E1}" name="Column13244"/>
    <tableColumn id="13250" xr3:uid="{95AD1426-1B3C-464F-BCA6-D5703EFF31C7}" name="Column13245"/>
    <tableColumn id="13251" xr3:uid="{47CAF1B3-B4DE-486B-96E2-23C557DADE92}" name="Column13246"/>
    <tableColumn id="13252" xr3:uid="{F7F15508-A0BB-49E5-9898-8FB9D50A2171}" name="Column13247"/>
    <tableColumn id="13253" xr3:uid="{12EA36D4-B685-46E9-B0D9-4E2B5CF90A54}" name="Column13248"/>
    <tableColumn id="13254" xr3:uid="{54A81954-523A-4D2B-8A97-003638754958}" name="Column13249"/>
    <tableColumn id="13255" xr3:uid="{89DB736B-28D0-4921-A488-ED53ADBD3030}" name="Column13250"/>
    <tableColumn id="13256" xr3:uid="{F453C278-C572-4C0C-9845-DED79B5CD289}" name="Column13251"/>
    <tableColumn id="13257" xr3:uid="{8AFF7503-C7B1-49FF-B232-791B0CC62379}" name="Column13252"/>
    <tableColumn id="13258" xr3:uid="{DEFD7C13-C9EA-449C-89D3-366275F56CAA}" name="Column13253"/>
    <tableColumn id="13259" xr3:uid="{FA3754EB-3C83-4B2D-93E6-65A7520CED7A}" name="Column13254"/>
    <tableColumn id="13260" xr3:uid="{9C6C5866-2255-4AD4-9109-607C2F87AB36}" name="Column13255"/>
    <tableColumn id="13261" xr3:uid="{58EAF1ED-E359-46B6-AC75-1BFE7289AADE}" name="Column13256"/>
    <tableColumn id="13262" xr3:uid="{57127118-0A21-435D-BF10-4A72EDAB6BB6}" name="Column13257"/>
    <tableColumn id="13263" xr3:uid="{2E36D663-5EBB-45D8-98BC-B2D5DF3E8051}" name="Column13258"/>
    <tableColumn id="13264" xr3:uid="{94AD0D1D-EE95-4858-97A8-256ECE037115}" name="Column13259"/>
    <tableColumn id="13265" xr3:uid="{2832F778-02DA-46A8-9DB7-87EB6A7049AB}" name="Column13260"/>
    <tableColumn id="13266" xr3:uid="{055B476B-E43C-4559-AC35-DF5971B03EB6}" name="Column13261"/>
    <tableColumn id="13267" xr3:uid="{6966206F-9F76-4773-ACBB-302C98EE9509}" name="Column13262"/>
    <tableColumn id="13268" xr3:uid="{18DB88E6-3E40-457F-83C0-AEF5DA7FC576}" name="Column13263"/>
    <tableColumn id="13269" xr3:uid="{419855F2-5DD9-478F-A923-46B0CDEEFB0B}" name="Column13264"/>
    <tableColumn id="13270" xr3:uid="{DA1A0A5F-2C6C-4F5C-8E7F-561F6F43247F}" name="Column13265"/>
    <tableColumn id="13271" xr3:uid="{41E1E0D2-2B62-46A9-A6CD-B08975984335}" name="Column13266"/>
    <tableColumn id="13272" xr3:uid="{931697F2-A035-40BA-A9A6-EC9AF899709C}" name="Column13267"/>
    <tableColumn id="13273" xr3:uid="{A6EBB093-8F02-49D5-96F0-B5B9D8B177C3}" name="Column13268"/>
    <tableColumn id="13274" xr3:uid="{C9F7B310-2587-4F3A-9F1C-950B6FE4FE24}" name="Column13269"/>
    <tableColumn id="13275" xr3:uid="{84D503D7-D87B-4DA9-B035-6D00FE6D013C}" name="Column13270"/>
    <tableColumn id="13276" xr3:uid="{84B0CEDA-A680-47AB-9ED4-4AA755188A1D}" name="Column13271"/>
    <tableColumn id="13277" xr3:uid="{2E9455F6-B929-4D17-9410-42706DCD04E7}" name="Column13272"/>
    <tableColumn id="13278" xr3:uid="{B077DAD1-74D0-423B-B111-928046A308B0}" name="Column13273"/>
    <tableColumn id="13279" xr3:uid="{910FE897-E401-406E-BED6-C531C5E52597}" name="Column13274"/>
    <tableColumn id="13280" xr3:uid="{EE282872-4CC7-48A2-B33E-97B8DF3E8287}" name="Column13275"/>
    <tableColumn id="13281" xr3:uid="{1A7354B1-BFC4-49D6-AA8A-72AD486C5B8F}" name="Column13276"/>
    <tableColumn id="13282" xr3:uid="{A7112853-820F-45DE-B7CB-5F9E811793A5}" name="Column13277"/>
    <tableColumn id="13283" xr3:uid="{2EFBB3FE-6A1C-42A8-9012-D0AA44C05D0C}" name="Column13278"/>
    <tableColumn id="13284" xr3:uid="{CFBC4A4C-7478-4C88-89EF-49671E1157AC}" name="Column13279"/>
    <tableColumn id="13285" xr3:uid="{228881EF-B834-4A21-A5A7-791980F0E361}" name="Column13280"/>
    <tableColumn id="13286" xr3:uid="{3252A7E5-255B-48D3-9A45-A47572FE5A60}" name="Column13281"/>
    <tableColumn id="13287" xr3:uid="{432DA53B-0960-456C-ADEC-91863A63C4BC}" name="Column13282"/>
    <tableColumn id="13288" xr3:uid="{84ED871D-99A2-4D70-BFC5-DF54F260E050}" name="Column13283"/>
    <tableColumn id="13289" xr3:uid="{9D45FABC-D425-4DDB-9171-4FCB2A15FE35}" name="Column13284"/>
    <tableColumn id="13290" xr3:uid="{D58C2EC7-665C-45D2-B213-2B0293EEDD48}" name="Column13285"/>
    <tableColumn id="13291" xr3:uid="{16A1945C-2700-43AC-964D-DCF4054C238A}" name="Column13286"/>
    <tableColumn id="13292" xr3:uid="{2E81156A-1A29-43D4-860F-0789E1756162}" name="Column13287"/>
    <tableColumn id="13293" xr3:uid="{A0EA5ADC-6EFE-4555-847A-244F57EEC927}" name="Column13288"/>
    <tableColumn id="13294" xr3:uid="{208C20B6-0B55-49ED-BCBD-522319A4E2A7}" name="Column13289"/>
    <tableColumn id="13295" xr3:uid="{209F190D-6FFB-49BB-BF55-A1B485324AAB}" name="Column13290"/>
    <tableColumn id="13296" xr3:uid="{04A0CE32-1F17-4066-8D8F-08D594558D56}" name="Column13291"/>
    <tableColumn id="13297" xr3:uid="{EB09B68A-D60F-4A42-805B-535AE21B6B2B}" name="Column13292"/>
    <tableColumn id="13298" xr3:uid="{6AE5CBE3-9968-46DF-9699-209F1379D647}" name="Column13293"/>
    <tableColumn id="13299" xr3:uid="{3B18B7EE-6014-4FFC-A91C-BBDEB8ED9F1F}" name="Column13294"/>
    <tableColumn id="13300" xr3:uid="{7D69B780-743D-43FB-B5EC-9853DD781BD6}" name="Column13295"/>
    <tableColumn id="13301" xr3:uid="{8EAEB7D3-8EDD-4BBE-8B4B-0FEFAEE4AD15}" name="Column13296"/>
    <tableColumn id="13302" xr3:uid="{8EF51391-7F39-4B49-8D54-A3471E735966}" name="Column13297"/>
    <tableColumn id="13303" xr3:uid="{6A4AAB72-A469-4363-BE67-E7EFF0A1B5B1}" name="Column13298"/>
    <tableColumn id="13304" xr3:uid="{64C0CA59-60D4-408D-B6F9-1B67191EFBDA}" name="Column13299"/>
    <tableColumn id="13305" xr3:uid="{7BAE6444-2A18-48B2-BF75-970E365BE45F}" name="Column13300"/>
    <tableColumn id="13306" xr3:uid="{C1595F51-2603-49CD-AED6-04E23BB52E20}" name="Column13301"/>
    <tableColumn id="13307" xr3:uid="{0EF079C9-AF0B-43A5-9AFC-D5F6E2AF8520}" name="Column13302"/>
    <tableColumn id="13308" xr3:uid="{265335FA-8DE4-4752-A953-EE58FFC9161F}" name="Column13303"/>
    <tableColumn id="13309" xr3:uid="{AD9479D6-61A3-4DD9-B933-6BA4172E318A}" name="Column13304"/>
    <tableColumn id="13310" xr3:uid="{C41EE130-2D14-4536-A441-680E274F040F}" name="Column13305"/>
    <tableColumn id="13311" xr3:uid="{DD10DA08-9D24-493D-B6D4-70421020C3CB}" name="Column13306"/>
    <tableColumn id="13312" xr3:uid="{4546311F-A345-4814-8494-05C2A720E9FD}" name="Column13307"/>
    <tableColumn id="13313" xr3:uid="{F11945B0-1BBF-4516-9E17-AC94F6A4FF23}" name="Column13308"/>
    <tableColumn id="13314" xr3:uid="{9CD6FFDF-7893-470B-A4A3-4BA36BE913DF}" name="Column13309"/>
    <tableColumn id="13315" xr3:uid="{5932D53B-A2C3-4328-8F86-9C6CBB5D3249}" name="Column13310"/>
    <tableColumn id="13316" xr3:uid="{31A13FA2-93E9-433A-8565-7CBF07FF2559}" name="Column13311"/>
    <tableColumn id="13317" xr3:uid="{3934E03B-6BBA-4BFB-BC34-F09BAD4F5240}" name="Column13312"/>
    <tableColumn id="13318" xr3:uid="{6A1CBAA3-F126-4BE1-B9D0-F7B928354474}" name="Column13313"/>
    <tableColumn id="13319" xr3:uid="{004B5126-891B-42CA-861B-211FDCCBD11A}" name="Column13314"/>
    <tableColumn id="13320" xr3:uid="{535B10A2-69FC-4EBE-A0B9-6F5DE9A5448D}" name="Column13315"/>
    <tableColumn id="13321" xr3:uid="{62DC94D6-52A6-400F-B8BD-E8FACC57E4DB}" name="Column13316"/>
    <tableColumn id="13322" xr3:uid="{92B87525-6ABE-4ED3-8EC9-599509C3B3BE}" name="Column13317"/>
    <tableColumn id="13323" xr3:uid="{C91A2654-EC93-48D1-85BF-D1A4D1B6DA19}" name="Column13318"/>
    <tableColumn id="13324" xr3:uid="{06B17C94-5991-44C3-AFA3-A145F376A944}" name="Column13319"/>
    <tableColumn id="13325" xr3:uid="{B8476CB3-9AF6-4183-98B9-D7BEDDBE2E90}" name="Column13320"/>
    <tableColumn id="13326" xr3:uid="{E8A63F68-F332-485B-B16A-B319F7FF6423}" name="Column13321"/>
    <tableColumn id="13327" xr3:uid="{09912D9B-3382-41E5-A7C2-EEC9D4D83F7E}" name="Column13322"/>
    <tableColumn id="13328" xr3:uid="{D6C0E997-0842-40FA-9AAC-402716CC8561}" name="Column13323"/>
    <tableColumn id="13329" xr3:uid="{EBCDCF01-13FB-4025-B398-0E60AB245D3A}" name="Column13324"/>
    <tableColumn id="13330" xr3:uid="{3EC73FBE-6035-47E1-8752-05E4CA0D7735}" name="Column13325"/>
    <tableColumn id="13331" xr3:uid="{DB16ABAF-A942-4479-858D-5A1F032BC73D}" name="Column13326"/>
    <tableColumn id="13332" xr3:uid="{7431FF45-BD1B-478D-871D-64EDEA0EFB31}" name="Column13327"/>
    <tableColumn id="13333" xr3:uid="{3A5EE2EE-23BA-4845-95E1-C42EF410C6FB}" name="Column13328"/>
    <tableColumn id="13334" xr3:uid="{2B85EAF2-DD65-4CD9-9E2D-BE5727718EA4}" name="Column13329"/>
    <tableColumn id="13335" xr3:uid="{FA2BAB7C-4B2E-4A83-BF6A-EC8771A55DAB}" name="Column13330"/>
    <tableColumn id="13336" xr3:uid="{C433FA22-A7E4-4EFF-8AAA-0357A67D0B9D}" name="Column13331"/>
    <tableColumn id="13337" xr3:uid="{8FD773E5-8C03-45DF-9A15-57A38066C9F3}" name="Column13332"/>
    <tableColumn id="13338" xr3:uid="{EA609F6D-AB06-47B8-B514-81285AA18C1D}" name="Column13333"/>
    <tableColumn id="13339" xr3:uid="{1AF348FF-02DE-455C-A2B7-8797768F755B}" name="Column13334"/>
    <tableColumn id="13340" xr3:uid="{CA609A6A-85A6-4C34-ABA8-099942B08FFE}" name="Column13335"/>
    <tableColumn id="13341" xr3:uid="{B3745359-E40F-4B6F-B8E8-E6BDA72F303F}" name="Column13336"/>
    <tableColumn id="13342" xr3:uid="{A5CF4EA3-6F9F-4DC3-AF0A-EC9F7A30478B}" name="Column13337"/>
    <tableColumn id="13343" xr3:uid="{01062C16-C055-4D1E-90DC-9E9EC13A9D5A}" name="Column13338"/>
    <tableColumn id="13344" xr3:uid="{44FDBA44-4028-4ED5-8E37-014E5A215944}" name="Column13339"/>
    <tableColumn id="13345" xr3:uid="{AFF7D5C4-CF17-4E4A-ABD1-0A3D7EBF9633}" name="Column13340"/>
    <tableColumn id="13346" xr3:uid="{710E73B3-A1CE-4A32-92DE-0938D6CE3D83}" name="Column13341"/>
    <tableColumn id="13347" xr3:uid="{98F74E89-EA2E-4570-8122-A8B32573FF32}" name="Column13342"/>
    <tableColumn id="13348" xr3:uid="{AEEB541D-15BA-40DC-9868-8AA0E93F6D94}" name="Column13343"/>
    <tableColumn id="13349" xr3:uid="{B9252B7E-E9A0-4932-B4B3-C99D3BD21FDD}" name="Column13344"/>
    <tableColumn id="13350" xr3:uid="{55F5083D-ED52-470B-BE3F-1027D25ED837}" name="Column13345"/>
    <tableColumn id="13351" xr3:uid="{D06EF2D1-6C99-4A11-84EB-F9CFAC0FE49E}" name="Column13346"/>
    <tableColumn id="13352" xr3:uid="{16AEB5C6-635E-4F13-B3FC-FAB8545E2E47}" name="Column13347"/>
    <tableColumn id="13353" xr3:uid="{BF2C3580-5485-480B-8138-8F49C0C0481B}" name="Column13348"/>
    <tableColumn id="13354" xr3:uid="{8739D08D-E42A-4026-87DF-A8D78FD1911D}" name="Column13349"/>
    <tableColumn id="13355" xr3:uid="{9A91AD6B-8E81-486B-A0BC-CD279BEDFEAA}" name="Column13350"/>
    <tableColumn id="13356" xr3:uid="{BED98A27-6A53-4998-A6E0-A55E655FB5A0}" name="Column13351"/>
    <tableColumn id="13357" xr3:uid="{74C9E5D4-3A18-4935-B699-5A99801CC432}" name="Column13352"/>
    <tableColumn id="13358" xr3:uid="{B7B72DE4-13C1-429B-8A58-AEF18FB83AE0}" name="Column13353"/>
    <tableColumn id="13359" xr3:uid="{B8F66726-CE72-4EC3-8106-0D9AD845E932}" name="Column13354"/>
    <tableColumn id="13360" xr3:uid="{215199F1-31EB-45DD-A958-66FE12CFF85F}" name="Column13355"/>
    <tableColumn id="13361" xr3:uid="{C72BD93E-C632-4E03-85ED-BC0190BBE85D}" name="Column13356"/>
    <tableColumn id="13362" xr3:uid="{804D5C52-5D19-44C7-B7B9-93A0981663EC}" name="Column13357"/>
    <tableColumn id="13363" xr3:uid="{25488313-3CE5-40DD-9C53-D856DBA6B997}" name="Column13358"/>
    <tableColumn id="13364" xr3:uid="{DA2330F2-F1A3-4F37-8F10-27CC85D6AB28}" name="Column13359"/>
    <tableColumn id="13365" xr3:uid="{1E5FCB30-E7CF-4FDC-94DD-C786109246C5}" name="Column13360"/>
    <tableColumn id="13366" xr3:uid="{B2EEC44C-C41B-49A9-94DD-4BAFA706CB02}" name="Column13361"/>
    <tableColumn id="13367" xr3:uid="{11B3C77B-44E3-416F-A13D-9575A324443B}" name="Column13362"/>
    <tableColumn id="13368" xr3:uid="{D7FC355E-609A-48CD-9CDD-B184495CA7F0}" name="Column13363"/>
    <tableColumn id="13369" xr3:uid="{027EDB99-BA77-4D47-B99D-855B1F5FA5CC}" name="Column13364"/>
    <tableColumn id="13370" xr3:uid="{40492350-B2EF-42EA-AD37-BCD9FA2A09E4}" name="Column13365"/>
    <tableColumn id="13371" xr3:uid="{168B2567-C498-440D-B8B3-037456D15C8B}" name="Column13366"/>
    <tableColumn id="13372" xr3:uid="{625A5C67-4DDF-4775-9C7F-B569053C3188}" name="Column13367"/>
    <tableColumn id="13373" xr3:uid="{3046C396-D45E-4DD6-9E0D-480736F39987}" name="Column13368"/>
    <tableColumn id="13374" xr3:uid="{4322ECDE-62A4-4CED-9CE1-13DF6E6CBCDB}" name="Column13369"/>
    <tableColumn id="13375" xr3:uid="{452A4ADA-AD8B-40EC-B25D-A3365A991CC0}" name="Column13370"/>
    <tableColumn id="13376" xr3:uid="{DBCCD571-F585-4EFF-8543-2D69200D0D6F}" name="Column13371"/>
    <tableColumn id="13377" xr3:uid="{1D98221C-33C8-403F-9E73-3F79DA04B3C6}" name="Column13372"/>
    <tableColumn id="13378" xr3:uid="{55B1B462-178B-4C6B-BCC2-176BA3B797B4}" name="Column13373"/>
    <tableColumn id="13379" xr3:uid="{2462F53B-06D3-4F7A-A603-9629C7D7069E}" name="Column13374"/>
    <tableColumn id="13380" xr3:uid="{4E6400D5-0BBF-4691-928B-C01A8379C94A}" name="Column13375"/>
    <tableColumn id="13381" xr3:uid="{172C792C-578F-4240-91F4-23AF64D05B06}" name="Column13376"/>
    <tableColumn id="13382" xr3:uid="{214411C7-2BE4-4BB4-9B97-77940EE99158}" name="Column13377"/>
    <tableColumn id="13383" xr3:uid="{491E7BB6-7062-45D3-B18D-CDED65DE15C1}" name="Column13378"/>
    <tableColumn id="13384" xr3:uid="{AD4D679D-2013-460D-A2AD-00AE2C29A432}" name="Column13379"/>
    <tableColumn id="13385" xr3:uid="{B85B2EBD-1D4E-40F2-B0D6-DFBAB489EACD}" name="Column13380"/>
    <tableColumn id="13386" xr3:uid="{C7FCA52D-18E4-468E-9DEF-2F63D1645C02}" name="Column13381"/>
    <tableColumn id="13387" xr3:uid="{8AF742E8-2838-43B2-A674-C2BB7872DF70}" name="Column13382"/>
    <tableColumn id="13388" xr3:uid="{3F652651-895A-4187-8B2E-27B3EF43EFDB}" name="Column13383"/>
    <tableColumn id="13389" xr3:uid="{78EA9622-17CC-4138-BCD9-052EB6852DB3}" name="Column13384"/>
    <tableColumn id="13390" xr3:uid="{C1468433-3FB5-455A-88A8-ADF4631D6E8C}" name="Column13385"/>
    <tableColumn id="13391" xr3:uid="{539122C1-1786-493D-8910-9BE93006E1FC}" name="Column13386"/>
    <tableColumn id="13392" xr3:uid="{97F3E7F6-8E69-4F87-AE02-CD0CBADCF5E2}" name="Column13387"/>
    <tableColumn id="13393" xr3:uid="{447EA715-D39A-4F04-8BD0-D40129554269}" name="Column13388"/>
    <tableColumn id="13394" xr3:uid="{EC1F9E88-BAA6-4956-A779-3E3CEA545D7A}" name="Column13389"/>
    <tableColumn id="13395" xr3:uid="{B944EA3E-3CD9-4FAF-B074-F15C0E8888C5}" name="Column13390"/>
    <tableColumn id="13396" xr3:uid="{F6D1FD61-5E05-41C3-A86C-B1302DCDF589}" name="Column13391"/>
    <tableColumn id="13397" xr3:uid="{6C818D18-BD7F-47CE-BD2F-EFCB219AC486}" name="Column13392"/>
    <tableColumn id="13398" xr3:uid="{64CD7D11-4CCF-4128-B21B-AC04A2736A51}" name="Column13393"/>
    <tableColumn id="13399" xr3:uid="{D9048DFB-2AFC-475F-9FF1-9997FBA2A926}" name="Column13394"/>
    <tableColumn id="13400" xr3:uid="{7FF689D8-FCEF-4A7A-9EE8-96020134E101}" name="Column13395"/>
    <tableColumn id="13401" xr3:uid="{5CEC6DD3-4385-4524-9CAC-21E8462C8A8C}" name="Column13396"/>
    <tableColumn id="13402" xr3:uid="{6D063305-CADE-4038-BE32-79EC460FE7C2}" name="Column13397"/>
    <tableColumn id="13403" xr3:uid="{82A7FE67-3765-44A8-A3E8-725736947BBB}" name="Column13398"/>
    <tableColumn id="13404" xr3:uid="{6DE3E011-4AF8-4D38-8E48-5C0C415F9496}" name="Column13399"/>
    <tableColumn id="13405" xr3:uid="{76D7397F-2747-42B6-8FC7-AEB2AF016764}" name="Column13400"/>
    <tableColumn id="13406" xr3:uid="{78F44231-DCBF-4D14-A0DA-E3496FA2AED3}" name="Column13401"/>
    <tableColumn id="13407" xr3:uid="{BAD57CB0-36FB-4F32-8E15-216E9E9AE4D2}" name="Column13402"/>
    <tableColumn id="13408" xr3:uid="{5FD910BE-30D0-4A2D-88B0-C0C36ED19BD9}" name="Column13403"/>
    <tableColumn id="13409" xr3:uid="{9B2328AE-FBC6-4C09-915A-36C6E722AA7E}" name="Column13404"/>
    <tableColumn id="13410" xr3:uid="{2328B794-4851-472C-982E-44A017DCA4D3}" name="Column13405"/>
    <tableColumn id="13411" xr3:uid="{583EB9EB-250E-4215-911D-C9A429D9BF55}" name="Column13406"/>
    <tableColumn id="13412" xr3:uid="{67B194D8-6C6F-44F3-A8A9-4CF46380C40C}" name="Column13407"/>
    <tableColumn id="13413" xr3:uid="{65D0A5F0-E1CA-47B9-BBAD-5DB626591B10}" name="Column13408"/>
    <tableColumn id="13414" xr3:uid="{7FDB0335-C4DA-4CA9-AA99-7A4E2FE7C5E5}" name="Column13409"/>
    <tableColumn id="13415" xr3:uid="{E6575C74-6396-4FEA-BF56-F7C0B445F699}" name="Column13410"/>
    <tableColumn id="13416" xr3:uid="{EDA63DFB-4DD5-4364-8CD4-1345E27F9DE6}" name="Column13411"/>
    <tableColumn id="13417" xr3:uid="{073BFD75-28F3-42A9-BFBE-DF89F66AEBFA}" name="Column13412"/>
    <tableColumn id="13418" xr3:uid="{4972EF26-D0FA-4546-B2E4-C4EC5FBD7D23}" name="Column13413"/>
    <tableColumn id="13419" xr3:uid="{DEA6924A-5FAA-46EC-ADD4-DCCC7DD78C7A}" name="Column13414"/>
    <tableColumn id="13420" xr3:uid="{A57649DD-F4B0-45CB-9931-6DF348EB35D9}" name="Column13415"/>
    <tableColumn id="13421" xr3:uid="{9518D51E-5D5F-4B01-A026-3B7A27C2E01C}" name="Column13416"/>
    <tableColumn id="13422" xr3:uid="{A30F56B0-90AB-49E4-8EBF-A0C40382476B}" name="Column13417"/>
    <tableColumn id="13423" xr3:uid="{E1B75518-0E1B-499D-B6CB-444B77CFDA6D}" name="Column13418"/>
    <tableColumn id="13424" xr3:uid="{488CE995-A28E-43AB-8F30-C5726083A75A}" name="Column13419"/>
    <tableColumn id="13425" xr3:uid="{813DF66C-6FA2-4083-8571-A25EC04856FB}" name="Column13420"/>
    <tableColumn id="13426" xr3:uid="{5DB7321E-9FFA-456A-81D9-81ED054025A7}" name="Column13421"/>
    <tableColumn id="13427" xr3:uid="{1AACAF30-D24D-4154-A8FD-CF7DBA4575C2}" name="Column13422"/>
    <tableColumn id="13428" xr3:uid="{7CDAC7A4-224A-4FA2-950B-4C2DCEDC7F5B}" name="Column13423"/>
    <tableColumn id="13429" xr3:uid="{36B721DB-15F6-437C-9AB3-CDD0406E37E2}" name="Column13424"/>
    <tableColumn id="13430" xr3:uid="{8255E87D-B015-4BA6-87F2-362590469E48}" name="Column13425"/>
    <tableColumn id="13431" xr3:uid="{795639BA-DFFE-4E5D-B335-42A9094D84F8}" name="Column13426"/>
    <tableColumn id="13432" xr3:uid="{0AEDB365-F195-4BA8-B0D1-4D4F12D95814}" name="Column13427"/>
    <tableColumn id="13433" xr3:uid="{CE258697-8BB6-4C68-BB2E-4D173FC28B86}" name="Column13428"/>
    <tableColumn id="13434" xr3:uid="{2DC7FCAA-FEAD-4D20-B914-897890B75989}" name="Column13429"/>
    <tableColumn id="13435" xr3:uid="{E276B5CC-9B19-4357-9233-FF0410F3EDB7}" name="Column13430"/>
    <tableColumn id="13436" xr3:uid="{2A471584-4F21-4CEF-8712-409509923CE5}" name="Column13431"/>
    <tableColumn id="13437" xr3:uid="{4FDF5E31-1F8D-4D4A-8CFB-7078B8C31A87}" name="Column13432"/>
    <tableColumn id="13438" xr3:uid="{925D8BF6-21A0-40C1-83F8-3D140F9AFD04}" name="Column13433"/>
    <tableColumn id="13439" xr3:uid="{6DE2C79A-745D-4762-92FF-4F3CABC2D804}" name="Column13434"/>
    <tableColumn id="13440" xr3:uid="{93C54416-4DBC-4758-BBD7-CAB907DC585C}" name="Column13435"/>
    <tableColumn id="13441" xr3:uid="{F2600850-B6E3-4C22-B7EF-36A47CCDE18C}" name="Column13436"/>
    <tableColumn id="13442" xr3:uid="{C07E00EB-F408-45A3-93EC-9C24A41229FA}" name="Column13437"/>
    <tableColumn id="13443" xr3:uid="{AD7C560F-2581-4E22-ABC7-D1FD83A54884}" name="Column13438"/>
    <tableColumn id="13444" xr3:uid="{3E0EF8E2-8E18-4043-9010-7E5260703294}" name="Column13439"/>
    <tableColumn id="13445" xr3:uid="{07B4A0EE-4E59-4ECE-897F-BFC9DE4D10E7}" name="Column13440"/>
    <tableColumn id="13446" xr3:uid="{18C2A9D0-4C54-4069-9A41-00845286D7C4}" name="Column13441"/>
    <tableColumn id="13447" xr3:uid="{D3F2A6CA-7878-4ECE-BBE2-B94C823514EB}" name="Column13442"/>
    <tableColumn id="13448" xr3:uid="{20E9807A-A194-47D3-93E1-6580F19A11E1}" name="Column13443"/>
    <tableColumn id="13449" xr3:uid="{FB607940-5001-44B0-8318-C3BDF540BA4A}" name="Column13444"/>
    <tableColumn id="13450" xr3:uid="{2B6A1606-CBD6-4826-9094-03A3FC479988}" name="Column13445"/>
    <tableColumn id="13451" xr3:uid="{08AA7160-6363-45EB-B038-F7645B76D214}" name="Column13446"/>
    <tableColumn id="13452" xr3:uid="{9FB49216-7FCB-4FCE-8C65-145FBD401009}" name="Column13447"/>
    <tableColumn id="13453" xr3:uid="{0F9CF1DD-7A36-4BDC-8E7E-E6E64E23FA61}" name="Column13448"/>
    <tableColumn id="13454" xr3:uid="{EEC2DE23-A18D-4FB5-857A-7742D28E3999}" name="Column13449"/>
    <tableColumn id="13455" xr3:uid="{708E045B-DF71-425D-B4D7-EA6BB35BD817}" name="Column13450"/>
    <tableColumn id="13456" xr3:uid="{6BCBA0D7-1D97-477B-86C2-03ED364C2158}" name="Column13451"/>
    <tableColumn id="13457" xr3:uid="{41452C35-87C9-48CD-9B6E-5DE2562ACC8F}" name="Column13452"/>
    <tableColumn id="13458" xr3:uid="{0855222E-F71C-4885-90CB-B579FBBF258F}" name="Column13453"/>
    <tableColumn id="13459" xr3:uid="{D08EC865-E26D-4A7D-9CA6-F9065F4FCA5B}" name="Column13454"/>
    <tableColumn id="13460" xr3:uid="{B0D40E6C-FA33-4C02-8C25-742BCB294F30}" name="Column13455"/>
    <tableColumn id="13461" xr3:uid="{0F424692-9A5F-4C6E-80BF-57EA5C9AB30A}" name="Column13456"/>
    <tableColumn id="13462" xr3:uid="{91A8D5FE-30F9-49D5-9477-EC5687D160C5}" name="Column13457"/>
    <tableColumn id="13463" xr3:uid="{F4B939FA-2055-4ADF-9982-00205FC471EA}" name="Column13458"/>
    <tableColumn id="13464" xr3:uid="{C67B9E00-7B25-4118-8506-543649085408}" name="Column13459"/>
    <tableColumn id="13465" xr3:uid="{0C34E4F3-7A03-49C1-8114-7C28F1AAB713}" name="Column13460"/>
    <tableColumn id="13466" xr3:uid="{8F5F970F-3F7D-4427-8E6B-BC71C36617EB}" name="Column13461"/>
    <tableColumn id="13467" xr3:uid="{CAC5C142-E3A1-4D54-BE3F-9C985991B66C}" name="Column13462"/>
    <tableColumn id="13468" xr3:uid="{9D8E9082-2DDE-4ADF-B573-DE9DF3C628CD}" name="Column13463"/>
    <tableColumn id="13469" xr3:uid="{98D1F035-FD77-47A5-9D4C-EE3EF902CBA3}" name="Column13464"/>
    <tableColumn id="13470" xr3:uid="{445F8398-4758-4CBF-B8A7-CB286050855A}" name="Column13465"/>
    <tableColumn id="13471" xr3:uid="{C7C63011-2491-4EE8-A8DF-80562F0B6F31}" name="Column13466"/>
    <tableColumn id="13472" xr3:uid="{BD59F03B-8A2E-4519-92B4-69CB2E1D60DF}" name="Column13467"/>
    <tableColumn id="13473" xr3:uid="{326A4630-8844-42BF-A25D-C05BDD80698F}" name="Column13468"/>
    <tableColumn id="13474" xr3:uid="{4C7A3697-46A7-4807-BFCE-2556C8C3F57D}" name="Column13469"/>
    <tableColumn id="13475" xr3:uid="{C609F5D1-07AC-46F5-AE30-BB909FBD1810}" name="Column13470"/>
    <tableColumn id="13476" xr3:uid="{5351457B-52F4-4863-95A0-ECD212DAE5B5}" name="Column13471"/>
    <tableColumn id="13477" xr3:uid="{B477A65E-5F8F-419A-A02E-5C62B888E570}" name="Column13472"/>
    <tableColumn id="13478" xr3:uid="{F150180B-5B6B-4C39-BE32-4793056212B2}" name="Column13473"/>
    <tableColumn id="13479" xr3:uid="{A8EC1F60-EBE8-4FE0-B88C-E4B12594DAAF}" name="Column13474"/>
    <tableColumn id="13480" xr3:uid="{AA26C674-97FC-4B7D-80AE-51FD0EF07D7A}" name="Column13475"/>
    <tableColumn id="13481" xr3:uid="{864D7437-67A6-429C-AEED-1DDB441F80A8}" name="Column13476"/>
    <tableColumn id="13482" xr3:uid="{BF2D5C14-BA8C-402F-B349-061F63AC9876}" name="Column13477"/>
    <tableColumn id="13483" xr3:uid="{B49D54E4-9FE3-4249-A3DB-484C5CD2AA9E}" name="Column13478"/>
    <tableColumn id="13484" xr3:uid="{DE61BA56-0440-4B67-B2A6-A654E68CA5DB}" name="Column13479"/>
    <tableColumn id="13485" xr3:uid="{12B1F3D4-BEAF-4F5A-A0E6-0BFC7BCC3E71}" name="Column13480"/>
    <tableColumn id="13486" xr3:uid="{43A75D07-E8C7-4AFA-B299-057C51071479}" name="Column13481"/>
    <tableColumn id="13487" xr3:uid="{7FA5F9DB-D88B-4251-BBD3-F2AC0A520E6F}" name="Column13482"/>
    <tableColumn id="13488" xr3:uid="{D0A50C96-4C21-4725-8A68-D9B4418A31E0}" name="Column13483"/>
    <tableColumn id="13489" xr3:uid="{1B52F0EA-47B8-43E9-B5BF-EC81730A310A}" name="Column13484"/>
    <tableColumn id="13490" xr3:uid="{3522BE84-FC54-40B3-960C-5D9A98D31F3F}" name="Column13485"/>
    <tableColumn id="13491" xr3:uid="{7586BEF7-920B-4A00-9939-FB9AB21FC7C9}" name="Column13486"/>
    <tableColumn id="13492" xr3:uid="{B912B34D-D381-4BD1-A6FD-2BDF81552E07}" name="Column13487"/>
    <tableColumn id="13493" xr3:uid="{019D979E-95BE-4CB1-8098-B3556E962F5C}" name="Column13488"/>
    <tableColumn id="13494" xr3:uid="{6CD96B2A-C4E9-446A-BC1C-9AA6ABF4ECFA}" name="Column13489"/>
    <tableColumn id="13495" xr3:uid="{FEF2E6C4-ED3C-4953-92E7-3CF61FE00571}" name="Column13490"/>
    <tableColumn id="13496" xr3:uid="{9DF652D3-2594-436A-AD5A-D9B0D0BA6D02}" name="Column13491"/>
    <tableColumn id="13497" xr3:uid="{2F0CD7D0-AF42-440E-93D3-2959F78D7B41}" name="Column13492"/>
    <tableColumn id="13498" xr3:uid="{D80B4350-027A-4F75-BFCE-E2DA1931973B}" name="Column13493"/>
    <tableColumn id="13499" xr3:uid="{6139162A-9AEC-413E-A774-7CD50DA67B22}" name="Column13494"/>
    <tableColumn id="13500" xr3:uid="{AF37AC3C-6A8A-4158-A964-AB6E5391BB4E}" name="Column13495"/>
    <tableColumn id="13501" xr3:uid="{524A4D98-9036-403C-B327-A390B727A535}" name="Column13496"/>
    <tableColumn id="13502" xr3:uid="{B9084D39-806C-4505-BE1E-5F75A8D151B6}" name="Column13497"/>
    <tableColumn id="13503" xr3:uid="{97737646-52B6-4212-AD18-A716EAE8FBCD}" name="Column13498"/>
    <tableColumn id="13504" xr3:uid="{BC7A9BB1-FB71-4CA0-BBB0-C73D9D786920}" name="Column13499"/>
    <tableColumn id="13505" xr3:uid="{B726D51A-DEB2-489A-960F-8D5885EF2DA9}" name="Column13500"/>
    <tableColumn id="13506" xr3:uid="{F0D42A5B-AB0D-4BFF-9E5E-35A3C2DE48FF}" name="Column13501"/>
    <tableColumn id="13507" xr3:uid="{25B37BF9-EC9C-404F-AAF8-8E6600A1174B}" name="Column13502"/>
    <tableColumn id="13508" xr3:uid="{5316E193-56FE-4753-B9A1-C40CFD4955F1}" name="Column13503"/>
    <tableColumn id="13509" xr3:uid="{AE4F8564-A8D0-4FBB-98BB-63171E4B1197}" name="Column13504"/>
    <tableColumn id="13510" xr3:uid="{4CAE47A0-2E4F-4502-803F-4239F24BF639}" name="Column13505"/>
    <tableColumn id="13511" xr3:uid="{2664017D-186F-4114-9189-369081AEA940}" name="Column13506"/>
    <tableColumn id="13512" xr3:uid="{A8FB210C-AAB0-4B0C-B8D3-187C6EF55652}" name="Column13507"/>
    <tableColumn id="13513" xr3:uid="{829A23AE-7B86-4AEF-BDF1-5AD9D98D8267}" name="Column13508"/>
    <tableColumn id="13514" xr3:uid="{B02216C2-2C72-4471-B662-AC33990739BD}" name="Column13509"/>
    <tableColumn id="13515" xr3:uid="{BE8EA1D2-3F07-45C5-B3A2-734E48359C7B}" name="Column13510"/>
    <tableColumn id="13516" xr3:uid="{57780339-F8C8-49AB-92C5-2506D4D92139}" name="Column13511"/>
    <tableColumn id="13517" xr3:uid="{B336C798-1504-4950-991D-F7E66E168C72}" name="Column13512"/>
    <tableColumn id="13518" xr3:uid="{7E65DB71-3598-4C4A-AD02-19A3D6298FD0}" name="Column13513"/>
    <tableColumn id="13519" xr3:uid="{C6FC0641-722B-43C2-A1D7-4120B22634C8}" name="Column13514"/>
    <tableColumn id="13520" xr3:uid="{B58AFB33-52CD-41A2-950E-4B6F100292A9}" name="Column13515"/>
    <tableColumn id="13521" xr3:uid="{5FF6FEDF-A8C0-4C5B-99CA-9E55D2A6F025}" name="Column13516"/>
    <tableColumn id="13522" xr3:uid="{7CE208F8-19A9-456D-A03B-F36C0CC67F96}" name="Column13517"/>
    <tableColumn id="13523" xr3:uid="{5D046A6B-E6E9-455A-AA3E-F43183508F64}" name="Column13518"/>
    <tableColumn id="13524" xr3:uid="{D7FEA184-D83D-41A8-8B79-62E561C188B8}" name="Column13519"/>
    <tableColumn id="13525" xr3:uid="{706DA473-3D12-4C83-89C4-1408A6D7BEE2}" name="Column13520"/>
    <tableColumn id="13526" xr3:uid="{35DEDD10-6E34-4361-8D62-F82AFC3DD359}" name="Column13521"/>
    <tableColumn id="13527" xr3:uid="{12F4A9EB-437F-4191-B04C-0048A77731D5}" name="Column13522"/>
    <tableColumn id="13528" xr3:uid="{87AF19F6-C48F-4158-BBA8-8A30BCA4A198}" name="Column13523"/>
    <tableColumn id="13529" xr3:uid="{B0E1D08C-6F76-4C49-A8FA-7699AE50E333}" name="Column13524"/>
    <tableColumn id="13530" xr3:uid="{7F675F35-D08F-4D84-B93F-52850F6CF948}" name="Column13525"/>
    <tableColumn id="13531" xr3:uid="{F2836ED9-EC8A-443C-A35B-F1D60DED18FC}" name="Column13526"/>
    <tableColumn id="13532" xr3:uid="{583204E9-CB1A-4A0E-95AB-EAB62C4AD5A0}" name="Column13527"/>
    <tableColumn id="13533" xr3:uid="{53736B1E-FA10-49CC-934C-545F66ECD8B7}" name="Column13528"/>
    <tableColumn id="13534" xr3:uid="{7157E208-A676-42B6-B1B5-8B00F6128E4F}" name="Column13529"/>
    <tableColumn id="13535" xr3:uid="{56B20E1C-20C6-4FA3-B111-B526FA85D72F}" name="Column13530"/>
    <tableColumn id="13536" xr3:uid="{83C2D551-CC56-45C1-AF46-80DD87744396}" name="Column13531"/>
    <tableColumn id="13537" xr3:uid="{F466B869-02B9-43ED-AE12-E2AE0B2F52D4}" name="Column13532"/>
    <tableColumn id="13538" xr3:uid="{5BAF1D35-D9CC-45A6-82EB-B04D6CFF8869}" name="Column13533"/>
    <tableColumn id="13539" xr3:uid="{DA2F7E49-54BC-4211-B1A1-2F5EBF504DF8}" name="Column13534"/>
    <tableColumn id="13540" xr3:uid="{055C2326-0BAB-4C24-B0CB-B9EA27B785DE}" name="Column13535"/>
    <tableColumn id="13541" xr3:uid="{CFF40DCC-1FFA-4C29-A2D0-38E59B864D79}" name="Column13536"/>
    <tableColumn id="13542" xr3:uid="{0F3F92DC-EA32-44F4-8840-4233529BC63B}" name="Column13537"/>
    <tableColumn id="13543" xr3:uid="{BF6F783A-1D30-40AF-8AE5-A37FCE735017}" name="Column13538"/>
    <tableColumn id="13544" xr3:uid="{B03B089D-B4A9-495F-A51D-66CE2BB8EBD0}" name="Column13539"/>
    <tableColumn id="13545" xr3:uid="{3D422EEC-26CF-4542-AA38-429141D4563B}" name="Column13540"/>
    <tableColumn id="13546" xr3:uid="{C5DA2732-7395-4C9F-B24D-BC263D775050}" name="Column13541"/>
    <tableColumn id="13547" xr3:uid="{A56AB85B-51AD-4078-B35A-B220EF7E820B}" name="Column13542"/>
    <tableColumn id="13548" xr3:uid="{A0793F87-8EA8-4AAD-9546-E292C94FCBDE}" name="Column13543"/>
    <tableColumn id="13549" xr3:uid="{F634A638-0E5C-49A4-8FBA-321E5309E4E3}" name="Column13544"/>
    <tableColumn id="13550" xr3:uid="{FAE5B57B-8DB6-4022-B9CA-01BE6CA27CEE}" name="Column13545"/>
    <tableColumn id="13551" xr3:uid="{451B3C10-A3F4-4762-B93C-C73E1E251FE2}" name="Column13546"/>
    <tableColumn id="13552" xr3:uid="{83674BBA-A4FE-489F-94D2-B21A835C4EC0}" name="Column13547"/>
    <tableColumn id="13553" xr3:uid="{14F81D66-B707-43EB-ACD0-E6C53280CA4A}" name="Column13548"/>
    <tableColumn id="13554" xr3:uid="{F03B554C-7E8D-4BED-8A37-762D8311CB3A}" name="Column13549"/>
    <tableColumn id="13555" xr3:uid="{BAC16391-7201-4538-AA30-CCAFD9039F39}" name="Column13550"/>
    <tableColumn id="13556" xr3:uid="{ACA6E7EB-82E9-4E06-805F-39E6CC310E30}" name="Column13551"/>
    <tableColumn id="13557" xr3:uid="{784F36D6-E3AE-4594-8C01-B14CC0AA7E51}" name="Column13552"/>
    <tableColumn id="13558" xr3:uid="{4F09222E-C65E-446B-B376-F19A708FDAF6}" name="Column13553"/>
    <tableColumn id="13559" xr3:uid="{D8A68132-4342-4C62-8086-B7B3EE9A724E}" name="Column13554"/>
    <tableColumn id="13560" xr3:uid="{9D3830D6-8041-429D-90DA-B720C3F9EB25}" name="Column13555"/>
    <tableColumn id="13561" xr3:uid="{D4181B90-C9AD-41DB-BE1C-08A563B34D0C}" name="Column13556"/>
    <tableColumn id="13562" xr3:uid="{2C14B76E-103E-4E88-BEB5-2097DCA87325}" name="Column13557"/>
    <tableColumn id="13563" xr3:uid="{0D2BFD23-8CBB-4AE6-BF7A-155C1912574B}" name="Column13558"/>
    <tableColumn id="13564" xr3:uid="{C71F289E-5D0C-4566-B7F8-D3260E45C7E5}" name="Column13559"/>
    <tableColumn id="13565" xr3:uid="{1837E599-2044-4F08-8C37-3C7EA4878364}" name="Column13560"/>
    <tableColumn id="13566" xr3:uid="{44659AE3-9DFA-4DBE-B00B-B8AEB1B1A6B2}" name="Column13561"/>
    <tableColumn id="13567" xr3:uid="{1F3CD7A6-73F1-4F99-8A70-4EC693B3B71A}" name="Column13562"/>
    <tableColumn id="13568" xr3:uid="{78AEBD8D-9AF8-4C6B-BBB2-8D872E8212A6}" name="Column13563"/>
    <tableColumn id="13569" xr3:uid="{85C8746B-4A2C-4945-A828-645FB9832D78}" name="Column13564"/>
    <tableColumn id="13570" xr3:uid="{62C25250-5557-4389-A135-7A1488BAAA87}" name="Column13565"/>
    <tableColumn id="13571" xr3:uid="{258ECB17-6E7B-4687-B967-AD97231D97FF}" name="Column13566"/>
    <tableColumn id="13572" xr3:uid="{E25D917F-42AA-4FE8-A5CC-1B3050E7E590}" name="Column13567"/>
    <tableColumn id="13573" xr3:uid="{64B9A79B-94E1-4B50-B3F8-E481F217E04C}" name="Column13568"/>
    <tableColumn id="13574" xr3:uid="{09ABCF82-D1A7-4147-9F1B-9DD012B7E362}" name="Column13569"/>
    <tableColumn id="13575" xr3:uid="{4BEA6704-933C-4A8E-880F-41A248C0789B}" name="Column13570"/>
    <tableColumn id="13576" xr3:uid="{9E634568-03D6-494F-B8AD-5EB76F77295E}" name="Column13571"/>
    <tableColumn id="13577" xr3:uid="{57B40E60-2836-41FD-8EB7-FF66D249FB1E}" name="Column13572"/>
    <tableColumn id="13578" xr3:uid="{5EDF28C0-9CF6-4D21-B653-70B868D8CCB1}" name="Column13573"/>
    <tableColumn id="13579" xr3:uid="{FDDAACD6-D69A-4934-BFD9-53975AE85396}" name="Column13574"/>
    <tableColumn id="13580" xr3:uid="{CBD97F48-123B-40A0-83E8-0C7ED01FF4FC}" name="Column13575"/>
    <tableColumn id="13581" xr3:uid="{6EDF81B7-5DFF-49DF-BA35-19B00A6753C0}" name="Column13576"/>
    <tableColumn id="13582" xr3:uid="{17841715-9999-4F39-A108-31FFCB07C0E3}" name="Column13577"/>
    <tableColumn id="13583" xr3:uid="{821F6D2C-CE17-4446-A8A9-E5653E3D9FCE}" name="Column13578"/>
    <tableColumn id="13584" xr3:uid="{A3EA404F-668A-4877-B50F-B6B30AED0C2A}" name="Column13579"/>
    <tableColumn id="13585" xr3:uid="{94FDC7E0-CD21-4215-B3DD-E44F8ADD29E7}" name="Column13580"/>
    <tableColumn id="13586" xr3:uid="{6B9071EC-5E94-4424-9D75-037C2EA871F9}" name="Column13581"/>
    <tableColumn id="13587" xr3:uid="{CC69261C-1BCA-427B-B76A-A7656480E522}" name="Column13582"/>
    <tableColumn id="13588" xr3:uid="{901A8A3E-0288-4CE3-973E-1F15A006574E}" name="Column13583"/>
    <tableColumn id="13589" xr3:uid="{46AFF75A-6676-4FB8-99F9-3E391E36912B}" name="Column13584"/>
    <tableColumn id="13590" xr3:uid="{ECB0EE3D-B012-4588-94A6-20E4CA351296}" name="Column13585"/>
    <tableColumn id="13591" xr3:uid="{8BBB35F2-B01B-409F-B4DF-4CCFA2FA406C}" name="Column13586"/>
    <tableColumn id="13592" xr3:uid="{68150887-2938-4B79-9C27-C19B3F021FDC}" name="Column13587"/>
    <tableColumn id="13593" xr3:uid="{2D83D91C-F469-4EB5-BC28-7FBF1C9C957A}" name="Column13588"/>
    <tableColumn id="13594" xr3:uid="{E60C772F-E873-4D4B-AB74-0E3998972E78}" name="Column13589"/>
    <tableColumn id="13595" xr3:uid="{AFC4C7E9-D26A-4B24-BF72-F635278021DB}" name="Column13590"/>
    <tableColumn id="13596" xr3:uid="{1EFED1AE-431F-49F8-9EE4-EBC4295C4CAA}" name="Column13591"/>
    <tableColumn id="13597" xr3:uid="{2D23A0BF-34D7-4ADE-9B3C-6CFC8477574A}" name="Column13592"/>
    <tableColumn id="13598" xr3:uid="{1DF996E0-EF56-4904-BD8C-8C1BE0EF00DD}" name="Column13593"/>
    <tableColumn id="13599" xr3:uid="{3BCAC78E-1027-4417-948A-F0122E920189}" name="Column13594"/>
    <tableColumn id="13600" xr3:uid="{9B1032AF-F983-4276-AE58-15FA26204F0D}" name="Column13595"/>
    <tableColumn id="13601" xr3:uid="{75BC3F16-09F7-44B2-96F7-305201DF273D}" name="Column13596"/>
    <tableColumn id="13602" xr3:uid="{6723A80E-303C-4001-92DD-E36C29AFD8D7}" name="Column13597"/>
    <tableColumn id="13603" xr3:uid="{EF010193-6A63-4EF7-B223-BD8444885550}" name="Column13598"/>
    <tableColumn id="13604" xr3:uid="{B4E4B9DD-D73D-44B6-9CA0-495056E5B439}" name="Column13599"/>
    <tableColumn id="13605" xr3:uid="{5796948E-475F-4DB8-A577-D7285506AAA6}" name="Column13600"/>
    <tableColumn id="13606" xr3:uid="{1F5A9756-E3C3-4960-BDA0-4E166320FEE7}" name="Column13601"/>
    <tableColumn id="13607" xr3:uid="{B8C3FD1F-CBBC-4683-88BD-2F69640E3F81}" name="Column13602"/>
    <tableColumn id="13608" xr3:uid="{59D79C16-4C53-4122-A297-D3BFB69E5BB1}" name="Column13603"/>
    <tableColumn id="13609" xr3:uid="{F8DDE283-A3A9-4109-9534-B62C230EC04A}" name="Column13604"/>
    <tableColumn id="13610" xr3:uid="{1073667B-0C2D-4035-9F7F-CDDFEEA699BF}" name="Column13605"/>
    <tableColumn id="13611" xr3:uid="{EB7845D2-5384-4E32-B293-311CEB362BAA}" name="Column13606"/>
    <tableColumn id="13612" xr3:uid="{D1ECD603-7135-4A14-8315-7A1A20E3B0C4}" name="Column13607"/>
    <tableColumn id="13613" xr3:uid="{6CF59D24-AF4E-412E-827A-823ECEC9B9E1}" name="Column13608"/>
    <tableColumn id="13614" xr3:uid="{BFF7D230-F629-4DC6-853D-73D58A0ED8C1}" name="Column13609"/>
    <tableColumn id="13615" xr3:uid="{36F003E2-BEA5-420C-AC3D-A99CF4EF1AF5}" name="Column13610"/>
    <tableColumn id="13616" xr3:uid="{52F25A8D-9697-4F42-9B7C-F958431FEF27}" name="Column13611"/>
    <tableColumn id="13617" xr3:uid="{E97F2868-034A-40C9-A940-835E8199E6E4}" name="Column13612"/>
    <tableColumn id="13618" xr3:uid="{7A074E06-CA9B-4DBC-9F17-45B9C235F45F}" name="Column13613"/>
    <tableColumn id="13619" xr3:uid="{F6CDF611-A4B8-4FCE-8ADC-40DFAF2B6527}" name="Column13614"/>
    <tableColumn id="13620" xr3:uid="{C217DEB3-2FDD-46FD-8CF7-67627541E797}" name="Column13615"/>
    <tableColumn id="13621" xr3:uid="{BDF7FF7C-6803-4C79-9FB1-17A0DE19D2A5}" name="Column13616"/>
    <tableColumn id="13622" xr3:uid="{270C30A0-EBFF-4675-9055-591A77155F4A}" name="Column13617"/>
    <tableColumn id="13623" xr3:uid="{3ACB3F9A-CF3E-4C67-B905-87AB274E7C0A}" name="Column13618"/>
    <tableColumn id="13624" xr3:uid="{9ADD4875-D0A6-4E84-8DD5-C1B32CEF08A2}" name="Column13619"/>
    <tableColumn id="13625" xr3:uid="{62F9F425-AFFF-4CE4-8DBB-D947B02A457C}" name="Column13620"/>
    <tableColumn id="13626" xr3:uid="{0677A669-51BF-42F1-952C-4CFC56700865}" name="Column13621"/>
    <tableColumn id="13627" xr3:uid="{8C06BB00-52A7-42C8-BA8A-F36B6E103232}" name="Column13622"/>
    <tableColumn id="13628" xr3:uid="{D1BD0056-BC3C-4D08-82AF-E7EBC384B57C}" name="Column13623"/>
    <tableColumn id="13629" xr3:uid="{382CDE8A-8CF7-405E-A6E8-282E48E4E615}" name="Column13624"/>
    <tableColumn id="13630" xr3:uid="{BF6F9E2A-20EA-4489-8F82-DB018E8ECF78}" name="Column13625"/>
    <tableColumn id="13631" xr3:uid="{7C6B9789-A027-4980-9B92-0CEA7DDAC7D7}" name="Column13626"/>
    <tableColumn id="13632" xr3:uid="{F0C80F01-9858-4EE1-BF62-7FD11DB41D16}" name="Column13627"/>
    <tableColumn id="13633" xr3:uid="{88B12A2B-CE67-45DB-BA9A-BE79E5F622D3}" name="Column13628"/>
    <tableColumn id="13634" xr3:uid="{FA8F06EF-52C6-4B92-80F5-E692817AFB0D}" name="Column13629"/>
    <tableColumn id="13635" xr3:uid="{E372E59B-6571-4046-9A44-8A07365E6A22}" name="Column13630"/>
    <tableColumn id="13636" xr3:uid="{66D09497-F34A-4503-8CE4-18352EB41B49}" name="Column13631"/>
    <tableColumn id="13637" xr3:uid="{F60A8259-6D38-47AF-9929-553DAC5A1696}" name="Column13632"/>
    <tableColumn id="13638" xr3:uid="{913DD04B-51E1-4564-A468-EFF534EE23DB}" name="Column13633"/>
    <tableColumn id="13639" xr3:uid="{64D2BF3E-F390-41E9-867F-08EE35C53CA6}" name="Column13634"/>
    <tableColumn id="13640" xr3:uid="{FF893F78-C0D7-4E1A-A1C9-26AE2D33DB40}" name="Column13635"/>
    <tableColumn id="13641" xr3:uid="{46C4BEE3-E919-4820-8E74-9C05CEA6D7DD}" name="Column13636"/>
    <tableColumn id="13642" xr3:uid="{8B40A889-0CE4-4DF5-9697-555456C0BBE7}" name="Column13637"/>
    <tableColumn id="13643" xr3:uid="{EFEC82C7-3D7D-42CC-9DF0-638745953391}" name="Column13638"/>
    <tableColumn id="13644" xr3:uid="{19E0B1AF-F2D1-4067-92C8-E72D49270803}" name="Column13639"/>
    <tableColumn id="13645" xr3:uid="{60B55557-0C9E-43DF-A462-0AE84AF08794}" name="Column13640"/>
    <tableColumn id="13646" xr3:uid="{1F9414D9-067E-4F92-A8BF-7E3EB3B5B1DD}" name="Column13641"/>
    <tableColumn id="13647" xr3:uid="{AFF45330-D5C8-48CC-9F86-C7179945590A}" name="Column13642"/>
    <tableColumn id="13648" xr3:uid="{2593234D-84EB-47BE-9FA7-7659DFD0963F}" name="Column13643"/>
    <tableColumn id="13649" xr3:uid="{1A14D330-D78B-40B6-9941-BB6082911DCD}" name="Column13644"/>
    <tableColumn id="13650" xr3:uid="{86B45C48-8CFD-4143-9C11-EB8913130C26}" name="Column13645"/>
    <tableColumn id="13651" xr3:uid="{0CA6661A-43BF-47AD-B609-F4993A2454FA}" name="Column13646"/>
    <tableColumn id="13652" xr3:uid="{197A1207-99AA-4640-80BF-E6DC5E23E0AC}" name="Column13647"/>
    <tableColumn id="13653" xr3:uid="{77F91623-BD64-44CD-B10B-D501938F073B}" name="Column13648"/>
    <tableColumn id="13654" xr3:uid="{9BBD9E49-B50F-4017-A143-5FEBAF7A972A}" name="Column13649"/>
    <tableColumn id="13655" xr3:uid="{4942A4FD-C704-4083-A026-2760E6639961}" name="Column13650"/>
    <tableColumn id="13656" xr3:uid="{86A9131C-49E1-4EE6-9F7B-D7101E891E02}" name="Column13651"/>
    <tableColumn id="13657" xr3:uid="{A7A3912E-3E33-41A9-9874-AD92A337384F}" name="Column13652"/>
    <tableColumn id="13658" xr3:uid="{696C4E1B-3BEC-4792-A97F-813F75DE751F}" name="Column13653"/>
    <tableColumn id="13659" xr3:uid="{323B91AD-2467-46CA-87FA-296EE9B37B92}" name="Column13654"/>
    <tableColumn id="13660" xr3:uid="{3FF9C3A6-CBC0-4B08-9879-1344B113B300}" name="Column13655"/>
    <tableColumn id="13661" xr3:uid="{A7DB85AF-F287-4DCC-A903-5C4DB0D6BFBF}" name="Column13656"/>
    <tableColumn id="13662" xr3:uid="{8C5CDF1D-160B-4157-808D-3F43DE056A0D}" name="Column13657"/>
    <tableColumn id="13663" xr3:uid="{99E7A43E-320E-4920-A8D2-C1755D1E6236}" name="Column13658"/>
    <tableColumn id="13664" xr3:uid="{6444ED73-D8B5-4687-BEF1-A33F8BECF454}" name="Column13659"/>
    <tableColumn id="13665" xr3:uid="{0C887E00-84D3-4707-A403-0F2278DBCD63}" name="Column13660"/>
    <tableColumn id="13666" xr3:uid="{D8EA93B9-E121-44CD-BAA7-67CB5B382B25}" name="Column13661"/>
    <tableColumn id="13667" xr3:uid="{3EDF2E55-1D10-4429-9ED0-8B89E3AE4315}" name="Column13662"/>
    <tableColumn id="13668" xr3:uid="{E37EFAEA-77FD-470F-BE79-287B46694E47}" name="Column13663"/>
    <tableColumn id="13669" xr3:uid="{92D60540-E9E1-4EA5-A188-7521BC60F8DE}" name="Column13664"/>
    <tableColumn id="13670" xr3:uid="{90AC7A54-0246-4DFD-B5E2-969676962DA7}" name="Column13665"/>
    <tableColumn id="13671" xr3:uid="{B1EAB449-F99E-4083-A28B-81F6C2DF4D68}" name="Column13666"/>
    <tableColumn id="13672" xr3:uid="{13CFDD3D-E41F-4A9A-8A18-B6B80B773CA0}" name="Column13667"/>
    <tableColumn id="13673" xr3:uid="{DBB81BAA-1A43-47ED-BA12-CBF2F30B731F}" name="Column13668"/>
    <tableColumn id="13674" xr3:uid="{D5B7AAB2-7783-4A8C-B4F5-98D2F6456B0F}" name="Column13669"/>
    <tableColumn id="13675" xr3:uid="{8AE55024-2E48-4DFC-9A1E-21AF686723A5}" name="Column13670"/>
    <tableColumn id="13676" xr3:uid="{8F7E75FE-0228-417E-97E8-301FAE991F7A}" name="Column13671"/>
    <tableColumn id="13677" xr3:uid="{87EFCF1F-21EE-4D29-84E1-608A68B9CABD}" name="Column13672"/>
    <tableColumn id="13678" xr3:uid="{5E33BACA-79A0-416B-823F-D454D087CE9B}" name="Column13673"/>
    <tableColumn id="13679" xr3:uid="{FC42ED4A-4B2C-4E96-BE24-5BEB341CFFF9}" name="Column13674"/>
    <tableColumn id="13680" xr3:uid="{95D6C435-A346-4D7F-8903-B986A7D9E6A5}" name="Column13675"/>
    <tableColumn id="13681" xr3:uid="{8C8631B1-62FB-4C43-9706-4F38905FB71B}" name="Column13676"/>
    <tableColumn id="13682" xr3:uid="{3D3162D0-2117-4673-B5D0-6CCE3426AC4E}" name="Column13677"/>
    <tableColumn id="13683" xr3:uid="{4BCD14EC-2E8D-47CD-9703-ABE0AB54C91C}" name="Column13678"/>
    <tableColumn id="13684" xr3:uid="{EEB7E60E-67D0-4ED8-96E0-D30533F98837}" name="Column13679"/>
    <tableColumn id="13685" xr3:uid="{D4FAB5C0-CFB2-423B-AC29-A49459071211}" name="Column13680"/>
    <tableColumn id="13686" xr3:uid="{8DD09B96-D6CC-49B0-BC0D-1615BA26484A}" name="Column13681"/>
    <tableColumn id="13687" xr3:uid="{398A9510-E6E5-4884-8852-2C5918C95423}" name="Column13682"/>
    <tableColumn id="13688" xr3:uid="{90C79B79-7223-4BAA-AC78-FE3DC947EF05}" name="Column13683"/>
    <tableColumn id="13689" xr3:uid="{3325DBFF-3B32-49A3-853E-5FC1C9ABDCA6}" name="Column13684"/>
    <tableColumn id="13690" xr3:uid="{A574FAEC-0C49-4064-B77A-0CFAF7C66E06}" name="Column13685"/>
    <tableColumn id="13691" xr3:uid="{F18EB813-1BE2-466B-8CF8-FB0D1C830E42}" name="Column13686"/>
    <tableColumn id="13692" xr3:uid="{0C2528AD-451F-4B04-B778-225BC4B34131}" name="Column13687"/>
    <tableColumn id="13693" xr3:uid="{FD05F01B-380A-41A5-A56E-B1DAD86F1044}" name="Column13688"/>
    <tableColumn id="13694" xr3:uid="{B37C667F-1479-4A99-9D7C-48F6E35AC8D2}" name="Column13689"/>
    <tableColumn id="13695" xr3:uid="{4ADA7A0C-DD78-40E9-8577-4C7345B9F123}" name="Column13690"/>
    <tableColumn id="13696" xr3:uid="{14CF9315-A55A-4F4B-86AF-6615F3C5E260}" name="Column13691"/>
    <tableColumn id="13697" xr3:uid="{EC06E572-4DA4-4B06-A199-0848ADAE170F}" name="Column13692"/>
    <tableColumn id="13698" xr3:uid="{D761F7C0-EF7E-4520-887F-87581EEB2CFB}" name="Column13693"/>
    <tableColumn id="13699" xr3:uid="{CCCF8FE3-1DAF-484A-9E88-5FD12EED2C90}" name="Column13694"/>
    <tableColumn id="13700" xr3:uid="{4F9BCF64-1FC4-4586-A806-2F303A96EBA9}" name="Column13695"/>
    <tableColumn id="13701" xr3:uid="{8B6701C3-8340-4EF4-9799-40C7422F6F53}" name="Column13696"/>
    <tableColumn id="13702" xr3:uid="{1D519A5F-3181-42E6-A0DB-B22EDCDE0274}" name="Column13697"/>
    <tableColumn id="13703" xr3:uid="{E8C4B679-222A-4274-B051-630CEA0DD2F2}" name="Column13698"/>
    <tableColumn id="13704" xr3:uid="{ACC9EC75-B042-4FBC-92DF-78161E96DDB0}" name="Column13699"/>
    <tableColumn id="13705" xr3:uid="{F767E679-1B8F-4D5B-9D1B-4AAEA00F5790}" name="Column13700"/>
    <tableColumn id="13706" xr3:uid="{0C5B233A-B147-44CB-8858-C9C1A45ECEF7}" name="Column13701"/>
    <tableColumn id="13707" xr3:uid="{CD6DDAA9-34FA-4F8C-9871-DC97D87A431A}" name="Column13702"/>
    <tableColumn id="13708" xr3:uid="{55161FEB-E072-4AD9-B653-7A32A55E4A7F}" name="Column13703"/>
    <tableColumn id="13709" xr3:uid="{E02F507A-48BF-4472-965D-61F6E3C13D22}" name="Column13704"/>
    <tableColumn id="13710" xr3:uid="{B2897E30-20A5-4EF2-AD45-49D4BA51A6EC}" name="Column13705"/>
    <tableColumn id="13711" xr3:uid="{AD116E9F-074F-487E-8782-4721BDBA9933}" name="Column13706"/>
    <tableColumn id="13712" xr3:uid="{3FB7B2F1-14FB-4113-94B8-EA5CFBFE4A36}" name="Column13707"/>
    <tableColumn id="13713" xr3:uid="{25D24C3B-A0E4-4DBE-88F0-002C259890DB}" name="Column13708"/>
    <tableColumn id="13714" xr3:uid="{F41C0470-9271-4560-A248-35C4AA24E97C}" name="Column13709"/>
    <tableColumn id="13715" xr3:uid="{24C481F6-718B-453C-9A5A-8421E545A74F}" name="Column13710"/>
    <tableColumn id="13716" xr3:uid="{A9E0571D-803F-47C7-B834-C6407CFA0703}" name="Column13711"/>
    <tableColumn id="13717" xr3:uid="{C4366D34-A4E8-4D85-A123-858AC1F90505}" name="Column13712"/>
    <tableColumn id="13718" xr3:uid="{5BDAEA28-2276-40CA-BA89-B363C4EBD1B5}" name="Column13713"/>
    <tableColumn id="13719" xr3:uid="{62A3F919-07C4-410D-8A80-70E11F099CAA}" name="Column13714"/>
    <tableColumn id="13720" xr3:uid="{5E6BF3F5-51F0-4175-8D00-07A49626BAD4}" name="Column13715"/>
    <tableColumn id="13721" xr3:uid="{6A0C3D43-090D-441E-B48F-94D86B73601D}" name="Column13716"/>
    <tableColumn id="13722" xr3:uid="{6CDAC1B7-E36F-42A7-B239-89618935D8F8}" name="Column13717"/>
    <tableColumn id="13723" xr3:uid="{0B58E57D-3441-4368-87FB-0BF596743DA5}" name="Column13718"/>
    <tableColumn id="13724" xr3:uid="{FEAA39D8-7B0D-4FBD-8D01-2F16FC8D7C52}" name="Column13719"/>
    <tableColumn id="13725" xr3:uid="{0B780BAE-A061-49F8-A4A9-034F89EDBA46}" name="Column13720"/>
    <tableColumn id="13726" xr3:uid="{01B64972-2B3E-4C14-8DDA-FB8F335FAACA}" name="Column13721"/>
    <tableColumn id="13727" xr3:uid="{1DF5B228-F3AA-4ACA-8178-B002E5409DC9}" name="Column13722"/>
    <tableColumn id="13728" xr3:uid="{2A7C2666-0511-450C-B422-6089F06A5BD5}" name="Column13723"/>
    <tableColumn id="13729" xr3:uid="{3402CE39-820D-4AB1-9F3D-0F40C1981C69}" name="Column13724"/>
    <tableColumn id="13730" xr3:uid="{8B5FB2FE-B530-4111-AC5F-65A573172F1E}" name="Column13725"/>
    <tableColumn id="13731" xr3:uid="{25F3697E-3D90-47EB-9501-4210AF7D5AE1}" name="Column13726"/>
    <tableColumn id="13732" xr3:uid="{C47FCAA9-3E24-48A0-86B3-12F468E4A912}" name="Column13727"/>
    <tableColumn id="13733" xr3:uid="{C41A6365-4B94-4784-96E8-9B3C51807C61}" name="Column13728"/>
    <tableColumn id="13734" xr3:uid="{FF4CCB84-95D0-4D6D-A258-92D15051780D}" name="Column13729"/>
    <tableColumn id="13735" xr3:uid="{EEEB4242-1529-4D80-8C52-1509ED5E08D1}" name="Column13730"/>
    <tableColumn id="13736" xr3:uid="{BB998C3A-95B1-4A40-B6C1-043652C50539}" name="Column13731"/>
    <tableColumn id="13737" xr3:uid="{B69026D6-4832-42FE-A3DB-97C3442C4E1C}" name="Column13732"/>
    <tableColumn id="13738" xr3:uid="{EBF8559A-4CD3-4771-8EAB-142DF1EDBF28}" name="Column13733"/>
    <tableColumn id="13739" xr3:uid="{39F8E238-C589-4079-8A7F-388A90654560}" name="Column13734"/>
    <tableColumn id="13740" xr3:uid="{DE328508-95B5-4755-A6F5-C8E81916CDE8}" name="Column13735"/>
    <tableColumn id="13741" xr3:uid="{3AEAE7C7-B1CA-4E61-91CA-E31CFF8AB9D5}" name="Column13736"/>
    <tableColumn id="13742" xr3:uid="{983993C5-E8E4-41B8-BB8E-282726AAEB87}" name="Column13737"/>
    <tableColumn id="13743" xr3:uid="{B0051C16-61BB-4AF3-B545-032435FEFB72}" name="Column13738"/>
    <tableColumn id="13744" xr3:uid="{07B880EB-1B58-4B80-A455-389A933825C9}" name="Column13739"/>
    <tableColumn id="13745" xr3:uid="{C00DDD4B-8919-4774-AAAC-B72D5B8C3035}" name="Column13740"/>
    <tableColumn id="13746" xr3:uid="{C6878FC2-ED86-4A22-945F-E05C7B47EABC}" name="Column13741"/>
    <tableColumn id="13747" xr3:uid="{4B18B293-0440-41C5-9AC0-383F35ADADFA}" name="Column13742"/>
    <tableColumn id="13748" xr3:uid="{E666B737-E998-4D18-9DAE-BDF027F6B456}" name="Column13743"/>
    <tableColumn id="13749" xr3:uid="{24A21CDC-4BC7-4261-8F2B-9CA266841613}" name="Column13744"/>
    <tableColumn id="13750" xr3:uid="{587BBCAF-408C-4C81-B93A-52D1CE03E058}" name="Column13745"/>
    <tableColumn id="13751" xr3:uid="{23E0B357-379B-4FE9-A4B7-827C93DB6283}" name="Column13746"/>
    <tableColumn id="13752" xr3:uid="{514E64F7-6603-44F9-8B47-4EC4D2520AD7}" name="Column13747"/>
    <tableColumn id="13753" xr3:uid="{11975490-7654-482A-849B-E64D70767484}" name="Column13748"/>
    <tableColumn id="13754" xr3:uid="{B80175DB-686A-4638-9E0D-F102BB22BFF2}" name="Column13749"/>
    <tableColumn id="13755" xr3:uid="{372C5B4A-5F13-43B5-9AFC-21FFA789A3C5}" name="Column13750"/>
    <tableColumn id="13756" xr3:uid="{3829FCD6-29E4-44C9-8F48-6EC6D57394E7}" name="Column13751"/>
    <tableColumn id="13757" xr3:uid="{2A0AADFC-4C8E-486A-A67B-8A0B73808CC9}" name="Column13752"/>
    <tableColumn id="13758" xr3:uid="{D37F1DA7-5CF8-4EFF-AFDC-6A7CC830F03A}" name="Column13753"/>
    <tableColumn id="13759" xr3:uid="{E8A63BEC-AC55-4598-BFA1-28DB9ED084DB}" name="Column13754"/>
    <tableColumn id="13760" xr3:uid="{C1F60CBA-AC2E-4E75-B5FD-F4C4312D7262}" name="Column13755"/>
    <tableColumn id="13761" xr3:uid="{FB0A92BC-591B-4EB4-934C-1C508CC81E25}" name="Column13756"/>
    <tableColumn id="13762" xr3:uid="{AFBD5C32-E0AF-426A-AD72-C7A08AC8F96C}" name="Column13757"/>
    <tableColumn id="13763" xr3:uid="{600F41F8-5DA3-4998-B918-AB3AE0FA28FA}" name="Column13758"/>
    <tableColumn id="13764" xr3:uid="{72A2E036-2C02-4E23-8382-818E073E4253}" name="Column13759"/>
    <tableColumn id="13765" xr3:uid="{922E45EC-7AC4-434E-B09D-E639168014F2}" name="Column13760"/>
    <tableColumn id="13766" xr3:uid="{15B3B0D8-C7C6-4781-BE68-E0FA6D9262C0}" name="Column13761"/>
    <tableColumn id="13767" xr3:uid="{839D7194-6AD6-47D6-A853-B7FC2B086CE0}" name="Column13762"/>
    <tableColumn id="13768" xr3:uid="{89E693AB-18A7-492E-A16E-39CC7CCA50EB}" name="Column13763"/>
    <tableColumn id="13769" xr3:uid="{B9059010-C1A3-4DAC-9B33-DD83A65A942F}" name="Column13764"/>
    <tableColumn id="13770" xr3:uid="{BC6E5DC5-D23B-4242-B94D-5972E6020A44}" name="Column13765"/>
    <tableColumn id="13771" xr3:uid="{4F5BD4F9-53B1-4C9F-B123-360E196BC839}" name="Column13766"/>
    <tableColumn id="13772" xr3:uid="{5AF55AB3-BF05-4D49-A061-9D1B47A68F75}" name="Column13767"/>
    <tableColumn id="13773" xr3:uid="{96238193-EC5B-41FB-9DDA-FD9130EF9A7A}" name="Column13768"/>
    <tableColumn id="13774" xr3:uid="{29FE8158-C72B-4D20-89E7-F20F7CAC7DF3}" name="Column13769"/>
    <tableColumn id="13775" xr3:uid="{248069E3-D533-480C-8663-D68D6B613928}" name="Column13770"/>
    <tableColumn id="13776" xr3:uid="{2BEC67A2-874B-46B3-AFC7-60900BE24328}" name="Column13771"/>
    <tableColumn id="13777" xr3:uid="{AA831113-4F88-4EA3-A6F8-E2F4B838879E}" name="Column13772"/>
    <tableColumn id="13778" xr3:uid="{07FDE698-B277-4F73-AA11-92576329CEBE}" name="Column13773"/>
    <tableColumn id="13779" xr3:uid="{DF7D3541-6627-4E00-A7F4-68FE72A85157}" name="Column13774"/>
    <tableColumn id="13780" xr3:uid="{5E73542E-F3FC-405D-9498-E9E70A64A51B}" name="Column13775"/>
    <tableColumn id="13781" xr3:uid="{C038C76A-7B4C-42FF-A205-B3B3166FC8CE}" name="Column13776"/>
    <tableColumn id="13782" xr3:uid="{4D85CB0C-39C1-4DE1-B2C7-FCD4096F2766}" name="Column13777"/>
    <tableColumn id="13783" xr3:uid="{95ED8A0B-7127-44AC-863E-75A1F173C040}" name="Column13778"/>
    <tableColumn id="13784" xr3:uid="{A8598033-29F2-4FF5-A511-B3CCC251E930}" name="Column13779"/>
    <tableColumn id="13785" xr3:uid="{35053D0F-14B0-48F7-A49F-9FB1D48D64F7}" name="Column13780"/>
    <tableColumn id="13786" xr3:uid="{05434C2F-0240-48C3-B3E2-514C8046AF10}" name="Column13781"/>
    <tableColumn id="13787" xr3:uid="{67A9E7B0-09FF-4E0B-9DF3-8F53BACF3192}" name="Column13782"/>
    <tableColumn id="13788" xr3:uid="{661FEBEB-BAA7-44E8-A38A-43D7183171D1}" name="Column13783"/>
    <tableColumn id="13789" xr3:uid="{A1652E0B-3330-4B02-BF2B-0137949F509F}" name="Column13784"/>
    <tableColumn id="13790" xr3:uid="{F867A9AF-ABCA-4BB9-A6FC-BC1762DA113C}" name="Column13785"/>
    <tableColumn id="13791" xr3:uid="{F7CFBEDA-E035-4EAE-B06A-1109007B881A}" name="Column13786"/>
    <tableColumn id="13792" xr3:uid="{66BB7752-C0FB-405E-AF27-CE3501423DFD}" name="Column13787"/>
    <tableColumn id="13793" xr3:uid="{6DD728F5-3141-49E0-AD10-090E31347F34}" name="Column13788"/>
    <tableColumn id="13794" xr3:uid="{1C073205-FB4B-4594-8A89-044C8B33DD25}" name="Column13789"/>
    <tableColumn id="13795" xr3:uid="{ABD5D5F7-E5DD-45DD-9719-B55F8CA142A4}" name="Column13790"/>
    <tableColumn id="13796" xr3:uid="{523BA47F-5E42-4B5D-83C8-9391B62D1D29}" name="Column13791"/>
    <tableColumn id="13797" xr3:uid="{924E976F-384E-4E3D-9D07-22502818FBAE}" name="Column13792"/>
    <tableColumn id="13798" xr3:uid="{4277AFA5-458B-4437-8864-356ADEE2272B}" name="Column13793"/>
    <tableColumn id="13799" xr3:uid="{F8DE8CB6-3F43-4FDC-9CE8-0AE9A33A1416}" name="Column13794"/>
    <tableColumn id="13800" xr3:uid="{916F9519-D98D-4B72-9494-F63229630920}" name="Column13795"/>
    <tableColumn id="13801" xr3:uid="{3E26B948-2754-4C6F-B590-33DDE379CBA3}" name="Column13796"/>
    <tableColumn id="13802" xr3:uid="{F4EB0AD5-3F53-44F1-8645-C0B45612F306}" name="Column13797"/>
    <tableColumn id="13803" xr3:uid="{421F0E67-9A69-4E17-9A5B-AE5F2294F7F8}" name="Column13798"/>
    <tableColumn id="13804" xr3:uid="{40704416-8567-4C57-93D0-A2CD5400905B}" name="Column13799"/>
    <tableColumn id="13805" xr3:uid="{B59AEF32-B079-4848-B34E-C78D0E1291B7}" name="Column13800"/>
    <tableColumn id="13806" xr3:uid="{9681F44B-F78A-4284-8DFB-6107063203DC}" name="Column13801"/>
    <tableColumn id="13807" xr3:uid="{291BF152-D135-4007-87B1-3CB8718CEE33}" name="Column13802"/>
    <tableColumn id="13808" xr3:uid="{FE9926F8-F8F7-4B42-943E-C54F3C3F7B3E}" name="Column13803"/>
    <tableColumn id="13809" xr3:uid="{A12F6E15-9962-4D9B-BB07-F635BB3F5EFF}" name="Column13804"/>
    <tableColumn id="13810" xr3:uid="{C2D9EBCB-E1EC-49E0-AA49-663623C48635}" name="Column13805"/>
    <tableColumn id="13811" xr3:uid="{584ED40F-73FD-4E0C-83E4-B81733CBA7FE}" name="Column13806"/>
    <tableColumn id="13812" xr3:uid="{7EB2C38D-6612-4498-8131-7EAE5289E3C2}" name="Column13807"/>
    <tableColumn id="13813" xr3:uid="{9D1B9E8A-CE9D-4015-A718-E4F78AA9130F}" name="Column13808"/>
    <tableColumn id="13814" xr3:uid="{F950725D-3AE9-41E5-9F8D-5DC652848D87}" name="Column13809"/>
    <tableColumn id="13815" xr3:uid="{1DE176AB-9594-435C-AC8C-AE2010F0E990}" name="Column13810"/>
    <tableColumn id="13816" xr3:uid="{016AE58C-45AF-4A2F-918F-28C35B5D943D}" name="Column13811"/>
    <tableColumn id="13817" xr3:uid="{4DCDAFA1-A919-445C-A4D6-B6AAA33871C7}" name="Column13812"/>
    <tableColumn id="13818" xr3:uid="{7D4EB6DF-ECF7-4998-9CCF-47F7C7F8F6F8}" name="Column13813"/>
    <tableColumn id="13819" xr3:uid="{A58DC29D-0BC5-40C6-A7FD-37525F7EA807}" name="Column13814"/>
    <tableColumn id="13820" xr3:uid="{C1273706-D512-43E2-B479-0784B5506573}" name="Column13815"/>
    <tableColumn id="13821" xr3:uid="{20A62745-F741-44D4-954E-B6AE02AEA188}" name="Column13816"/>
    <tableColumn id="13822" xr3:uid="{EF8769E2-6B19-4112-8D4B-C35CFB24E068}" name="Column13817"/>
    <tableColumn id="13823" xr3:uid="{9DB9C23B-9ED2-4D0E-8011-95FA0D66E21F}" name="Column13818"/>
    <tableColumn id="13824" xr3:uid="{22984FBA-55D5-43D5-93F3-C74C4345471F}" name="Column13819"/>
    <tableColumn id="13825" xr3:uid="{8260E077-9264-4971-ADA7-6AE39015A374}" name="Column13820"/>
    <tableColumn id="13826" xr3:uid="{ECE76051-070E-46A8-8DAF-B0450D91074E}" name="Column13821"/>
    <tableColumn id="13827" xr3:uid="{67422C26-718D-4914-9DDE-04DEE6F98F8F}" name="Column13822"/>
    <tableColumn id="13828" xr3:uid="{A9289803-7992-41F5-A218-4ED165103025}" name="Column13823"/>
    <tableColumn id="13829" xr3:uid="{6BB9A6D4-59DE-4767-9D06-D3C1BABD9F06}" name="Column13824"/>
    <tableColumn id="13830" xr3:uid="{09C563FE-AE96-4BF5-863B-C04389EED68B}" name="Column13825"/>
    <tableColumn id="13831" xr3:uid="{BA9B38C3-29BB-48DB-9FC5-B12C30B1786C}" name="Column13826"/>
    <tableColumn id="13832" xr3:uid="{8C09DA43-05AD-4928-8FDA-E84A3DD4F980}" name="Column13827"/>
    <tableColumn id="13833" xr3:uid="{41A6AE2E-FA37-4870-8EC1-1C13083EB095}" name="Column13828"/>
    <tableColumn id="13834" xr3:uid="{206178CA-E803-4C71-9668-391CF2C3C52F}" name="Column13829"/>
    <tableColumn id="13835" xr3:uid="{F5134E8E-8AE8-47B0-838B-701C310D74AD}" name="Column13830"/>
    <tableColumn id="13836" xr3:uid="{3DB9F287-5B01-453F-83DC-41577807EC6D}" name="Column13831"/>
    <tableColumn id="13837" xr3:uid="{3953DCE2-7F05-421C-BFA9-492442C9C86F}" name="Column13832"/>
    <tableColumn id="13838" xr3:uid="{365BD562-19D9-4B4F-BE4D-732D6779FA2F}" name="Column13833"/>
    <tableColumn id="13839" xr3:uid="{0496AA57-EE67-464A-AE31-EA78AE775C65}" name="Column13834"/>
    <tableColumn id="13840" xr3:uid="{A2BF6929-F2BE-41CC-A353-76EBF93338CE}" name="Column13835"/>
    <tableColumn id="13841" xr3:uid="{A1935845-5426-4A82-AFF7-F1D4BCCA1C3E}" name="Column13836"/>
    <tableColumn id="13842" xr3:uid="{BD183EA1-A426-405A-93A4-5DFAF11065DA}" name="Column13837"/>
    <tableColumn id="13843" xr3:uid="{C75B8B94-5A59-4E86-B0BA-8AAC2F13F841}" name="Column13838"/>
    <tableColumn id="13844" xr3:uid="{41FFE2C9-BC51-4B9B-9241-9057BBA013E8}" name="Column13839"/>
    <tableColumn id="13845" xr3:uid="{B4CAE71A-E8A1-440B-9AF2-8F685FBDBB20}" name="Column13840"/>
    <tableColumn id="13846" xr3:uid="{A696309A-106F-4A36-A3D1-A08E6B49234C}" name="Column13841"/>
    <tableColumn id="13847" xr3:uid="{65B522DD-F92D-446D-A18F-88A4828F95A5}" name="Column13842"/>
    <tableColumn id="13848" xr3:uid="{F7081500-BC78-4F9D-B7E8-005C53B52437}" name="Column13843"/>
    <tableColumn id="13849" xr3:uid="{E04B5B0A-FA5A-4AC6-8F05-A792728269F7}" name="Column13844"/>
    <tableColumn id="13850" xr3:uid="{14E26E59-46FF-49A5-9513-F886FD1301BD}" name="Column13845"/>
    <tableColumn id="13851" xr3:uid="{DE0E4129-846B-43C5-B4FD-F3DFFCA20714}" name="Column13846"/>
    <tableColumn id="13852" xr3:uid="{C11A6295-0714-4387-8E18-A7F14EEB69D2}" name="Column13847"/>
    <tableColumn id="13853" xr3:uid="{C283BAA3-CCE3-4B54-AABA-E042C2B44160}" name="Column13848"/>
    <tableColumn id="13854" xr3:uid="{46463E5A-7570-4CB3-911E-A2C7170DFEF9}" name="Column13849"/>
    <tableColumn id="13855" xr3:uid="{FE42D798-973E-4BAA-BE24-C331A994718B}" name="Column13850"/>
    <tableColumn id="13856" xr3:uid="{A7C3E6E1-1BB1-4988-8A49-F0075797B01D}" name="Column13851"/>
    <tableColumn id="13857" xr3:uid="{E0FDC9C3-F4C1-4746-82EC-2274B33D491E}" name="Column13852"/>
    <tableColumn id="13858" xr3:uid="{1A56544B-9968-4420-B12D-2A17FDDF6B65}" name="Column13853"/>
    <tableColumn id="13859" xr3:uid="{414C31A3-2028-4EFD-B2DA-DF4FE9652F90}" name="Column13854"/>
    <tableColumn id="13860" xr3:uid="{A7671A94-7E70-43DD-9A77-5F46FF9CF671}" name="Column13855"/>
    <tableColumn id="13861" xr3:uid="{995E6A38-7689-4977-B004-ADC92D740D5D}" name="Column13856"/>
    <tableColumn id="13862" xr3:uid="{F105E397-AD74-4F83-9ECF-3AB40CE96A26}" name="Column13857"/>
    <tableColumn id="13863" xr3:uid="{AE63C8CE-C3F0-46DC-A092-DD2648A578C6}" name="Column13858"/>
    <tableColumn id="13864" xr3:uid="{E9B990AB-FD12-4932-9FE7-641701FDB6B3}" name="Column13859"/>
    <tableColumn id="13865" xr3:uid="{E5E78A27-406C-4DFB-9634-DDBDABCFC366}" name="Column13860"/>
    <tableColumn id="13866" xr3:uid="{1DC885E5-9322-4B86-ADBA-71B0BB505F2D}" name="Column13861"/>
    <tableColumn id="13867" xr3:uid="{B2F4B708-C82F-4B3F-AB36-CAB1A66A0272}" name="Column13862"/>
    <tableColumn id="13868" xr3:uid="{25539D60-112F-4240-A170-93A24D8EAA62}" name="Column13863"/>
    <tableColumn id="13869" xr3:uid="{2705F9E0-84B7-433F-8D59-384E865EF040}" name="Column13864"/>
    <tableColumn id="13870" xr3:uid="{5F870387-D5C4-49E9-88BB-F0396665C93E}" name="Column13865"/>
    <tableColumn id="13871" xr3:uid="{84BE5E76-7D1F-492C-A1F8-5CEB321EC831}" name="Column13866"/>
    <tableColumn id="13872" xr3:uid="{011DAC63-BF29-405E-8818-AAAA15BB9A3F}" name="Column13867"/>
    <tableColumn id="13873" xr3:uid="{580D997D-862D-4D01-B566-BD4F3AFB4D47}" name="Column13868"/>
    <tableColumn id="13874" xr3:uid="{D941C651-BF8B-415D-8070-25FDAA39FB54}" name="Column13869"/>
    <tableColumn id="13875" xr3:uid="{FF51711A-60D1-44DB-B154-E39E99D61780}" name="Column13870"/>
    <tableColumn id="13876" xr3:uid="{2E638FAA-5C10-44F1-9689-B609DB8BD515}" name="Column13871"/>
    <tableColumn id="13877" xr3:uid="{330F2A01-87C7-45C3-8FAA-0C9F9610C43B}" name="Column13872"/>
    <tableColumn id="13878" xr3:uid="{3F21AF87-51EB-4A70-94EB-AC5E777EAB3F}" name="Column13873"/>
    <tableColumn id="13879" xr3:uid="{7B312787-F4A1-419F-A555-0C1877758439}" name="Column13874"/>
    <tableColumn id="13880" xr3:uid="{3411E021-7ED6-4084-B0BD-D7B38407FC82}" name="Column13875"/>
    <tableColumn id="13881" xr3:uid="{C36A0AB6-0BB7-4009-B1B4-FCE6AB10D3D5}" name="Column13876"/>
    <tableColumn id="13882" xr3:uid="{F9A3EC09-21EF-41C2-AD24-EE540C9FC531}" name="Column13877"/>
    <tableColumn id="13883" xr3:uid="{35E9A001-F638-4272-BE4D-9E6BDBAE8E73}" name="Column13878"/>
    <tableColumn id="13884" xr3:uid="{A39C7989-22ED-4A65-8BEB-705D798AE07F}" name="Column13879"/>
    <tableColumn id="13885" xr3:uid="{F91F7B79-918A-4467-8644-4C748CE46ACA}" name="Column13880"/>
    <tableColumn id="13886" xr3:uid="{78C0BDF2-2E93-4B2D-933D-1B657289F8BD}" name="Column13881"/>
    <tableColumn id="13887" xr3:uid="{CB9F1F70-24D4-43C0-9F46-CFE9C02FC21E}" name="Column13882"/>
    <tableColumn id="13888" xr3:uid="{3ED9C89D-F678-4E3B-9516-7E583E811336}" name="Column13883"/>
    <tableColumn id="13889" xr3:uid="{2C530079-6D7A-43A1-B127-90524F1B3343}" name="Column13884"/>
    <tableColumn id="13890" xr3:uid="{34E36D16-07AB-4ABE-B163-5DD7E6ABD915}" name="Column13885"/>
    <tableColumn id="13891" xr3:uid="{30B9FDBA-0778-485D-8E21-E53602A48BA2}" name="Column13886"/>
    <tableColumn id="13892" xr3:uid="{DE740946-1D3A-4CBF-AC5C-E7E52F8D8981}" name="Column13887"/>
    <tableColumn id="13893" xr3:uid="{5167AC27-C67C-4622-A52D-829F26E7711F}" name="Column13888"/>
    <tableColumn id="13894" xr3:uid="{2512D1E4-2898-4096-A66B-ED60DBD22E48}" name="Column13889"/>
    <tableColumn id="13895" xr3:uid="{2E728F2A-5AFF-4F3F-B4C7-1CC0AD329D33}" name="Column13890"/>
    <tableColumn id="13896" xr3:uid="{5727FF25-4561-4C41-9B23-CA637659BCD5}" name="Column13891"/>
    <tableColumn id="13897" xr3:uid="{10AA3220-277B-4910-8D61-51B5E98B711B}" name="Column13892"/>
    <tableColumn id="13898" xr3:uid="{085CC0E1-D253-4542-AB0B-AE7A6F05A83F}" name="Column13893"/>
    <tableColumn id="13899" xr3:uid="{91CF1093-78B1-47A9-9E8A-1DD0E51B15C7}" name="Column13894"/>
    <tableColumn id="13900" xr3:uid="{4BDD031E-D8DF-40E2-A471-C47811F924E5}" name="Column13895"/>
    <tableColumn id="13901" xr3:uid="{54DBF359-BAF1-4C3C-872A-7F07F155F8E7}" name="Column13896"/>
    <tableColumn id="13902" xr3:uid="{E0585581-3EF1-4E9C-B1FC-11E1A53E00A0}" name="Column13897"/>
    <tableColumn id="13903" xr3:uid="{1250F56B-84E0-42AD-87DA-17903A5E5FAC}" name="Column13898"/>
    <tableColumn id="13904" xr3:uid="{6F546AA8-5E24-42FD-A01C-485E0A78DFB4}" name="Column13899"/>
    <tableColumn id="13905" xr3:uid="{0B41CA11-B0D1-4CC7-BC40-AC983F3EED7C}" name="Column13900"/>
    <tableColumn id="13906" xr3:uid="{7E1A0DEE-A0CA-4DAE-B0CB-38B3577B422F}" name="Column13901"/>
    <tableColumn id="13907" xr3:uid="{2F378719-8A11-4263-B333-D93BEC489AAE}" name="Column13902"/>
    <tableColumn id="13908" xr3:uid="{FB879713-C07B-4B8E-858C-C65C9A50F37D}" name="Column13903"/>
    <tableColumn id="13909" xr3:uid="{041FA950-8CA8-44EB-AE98-3156C61A50A4}" name="Column13904"/>
    <tableColumn id="13910" xr3:uid="{B8BA3506-D8A0-4367-8C19-FAC634B20C64}" name="Column13905"/>
    <tableColumn id="13911" xr3:uid="{4BAE8107-FC0E-4519-8BAC-7EBF815109BB}" name="Column13906"/>
    <tableColumn id="13912" xr3:uid="{2D18E788-119C-4DD8-BDAA-086F025FCADF}" name="Column13907"/>
    <tableColumn id="13913" xr3:uid="{B6765E17-0C42-4456-B672-05FC842D02FD}" name="Column13908"/>
    <tableColumn id="13914" xr3:uid="{8DD0B757-FFC9-4619-A5F9-311E068A6964}" name="Column13909"/>
    <tableColumn id="13915" xr3:uid="{2C9D9C46-07FB-40AE-A32B-CE4DED6CCA61}" name="Column13910"/>
    <tableColumn id="13916" xr3:uid="{4D53698F-9E66-4D3F-9D1D-97C566C79C26}" name="Column13911"/>
    <tableColumn id="13917" xr3:uid="{4ADEA08B-9FAB-40B9-8023-C7DEC5BD766E}" name="Column13912"/>
    <tableColumn id="13918" xr3:uid="{8BADB3C6-CDB4-4076-AC70-5EDF875B8FB1}" name="Column13913"/>
    <tableColumn id="13919" xr3:uid="{4B9F9D32-6A25-44C5-8EDF-B0AA55050561}" name="Column13914"/>
    <tableColumn id="13920" xr3:uid="{CAD12B11-B21E-4CA5-B85C-13C2303B5FFD}" name="Column13915"/>
    <tableColumn id="13921" xr3:uid="{73211A72-37C0-4472-ADEE-1BEAD67F729C}" name="Column13916"/>
    <tableColumn id="13922" xr3:uid="{F38AA080-DC22-40E3-80C0-703D248A0FE8}" name="Column13917"/>
    <tableColumn id="13923" xr3:uid="{D1541EAA-2DDC-43F6-A45A-72BA5CB54C72}" name="Column13918"/>
    <tableColumn id="13924" xr3:uid="{26FF7BB1-9152-4EA4-BF72-3690F95CA338}" name="Column13919"/>
    <tableColumn id="13925" xr3:uid="{7385D8E1-4208-48BC-867E-4138E3D425D0}" name="Column13920"/>
    <tableColumn id="13926" xr3:uid="{14602D55-D8F7-4289-A100-6F238AA5E9C2}" name="Column13921"/>
    <tableColumn id="13927" xr3:uid="{06A45B0E-18D1-4A37-9759-788A72BF1D3B}" name="Column13922"/>
    <tableColumn id="13928" xr3:uid="{8A076455-EDEC-41ED-AB97-1B833871D16C}" name="Column13923"/>
    <tableColumn id="13929" xr3:uid="{D7CABBD2-B9CE-41D3-B628-E7D77756D580}" name="Column13924"/>
    <tableColumn id="13930" xr3:uid="{8E1A5D20-3233-46D5-A867-1148DF72FC27}" name="Column13925"/>
    <tableColumn id="13931" xr3:uid="{ADBDAE2D-7ACC-418C-AA99-29D26C6DD2F4}" name="Column13926"/>
    <tableColumn id="13932" xr3:uid="{1CE3E127-A103-43D1-858C-A5169B5BF190}" name="Column13927"/>
    <tableColumn id="13933" xr3:uid="{A96CE729-7AAF-4F77-95B8-01C56E187F87}" name="Column13928"/>
    <tableColumn id="13934" xr3:uid="{D77AE59E-F702-4BB5-90EA-C80044D2FBC1}" name="Column13929"/>
    <tableColumn id="13935" xr3:uid="{A0547F31-60F9-4802-9A1D-440BBF176673}" name="Column13930"/>
    <tableColumn id="13936" xr3:uid="{4C9D9D1F-F968-426C-AAA1-0ECB0F5E7A0E}" name="Column13931"/>
    <tableColumn id="13937" xr3:uid="{24D278F7-1D88-4E1E-9202-CF5FC72E94CF}" name="Column13932"/>
    <tableColumn id="13938" xr3:uid="{0D77C832-7D1B-4CFE-8413-825D27BC2BEA}" name="Column13933"/>
    <tableColumn id="13939" xr3:uid="{76B5D1FE-F2DB-4E43-AAD6-BD060EDD2EE3}" name="Column13934"/>
    <tableColumn id="13940" xr3:uid="{70888DDB-6D2E-44CF-957D-EBE981B64FEF}" name="Column13935"/>
    <tableColumn id="13941" xr3:uid="{543EDB94-7834-40E0-A6D8-0AD7353EF806}" name="Column13936"/>
    <tableColumn id="13942" xr3:uid="{F4D53E0F-A1A6-403F-8BB3-34E1A9D62CF9}" name="Column13937"/>
    <tableColumn id="13943" xr3:uid="{85BA1AA3-B606-4E92-82CF-30C873572EC4}" name="Column13938"/>
    <tableColumn id="13944" xr3:uid="{252F4594-42E4-4F35-AD30-EB2163947DC1}" name="Column13939"/>
    <tableColumn id="13945" xr3:uid="{F818FCFD-6CE0-45EF-9402-FD014B0DADAF}" name="Column13940"/>
    <tableColumn id="13946" xr3:uid="{687D102F-9396-4243-A137-2F537C158F35}" name="Column13941"/>
    <tableColumn id="13947" xr3:uid="{BC3B6AFD-E12F-4C78-8CDC-CB95D1BB2B91}" name="Column13942"/>
    <tableColumn id="13948" xr3:uid="{5F07506E-1F72-4BF6-8073-69946ED00A8D}" name="Column13943"/>
    <tableColumn id="13949" xr3:uid="{41DBEFD8-FCFD-4C62-B28D-569C06A15170}" name="Column13944"/>
    <tableColumn id="13950" xr3:uid="{1EDB381D-D373-4FBF-AAC1-772DF10E526D}" name="Column13945"/>
    <tableColumn id="13951" xr3:uid="{DEB8A588-F7AE-446E-BB8A-C3903CE0486F}" name="Column13946"/>
    <tableColumn id="13952" xr3:uid="{346CDC13-9E7E-47F5-88C8-191525A3F539}" name="Column13947"/>
    <tableColumn id="13953" xr3:uid="{2EF95727-8DA6-43E9-9CFB-C2979168A09F}" name="Column13948"/>
    <tableColumn id="13954" xr3:uid="{1F44CD68-B998-4F32-9D0F-C9F4632553C3}" name="Column13949"/>
    <tableColumn id="13955" xr3:uid="{76434610-2A67-4772-99A0-DF41C291FDA1}" name="Column13950"/>
    <tableColumn id="13956" xr3:uid="{C50757B4-1F9F-4AF7-AF91-07D3145712FE}" name="Column13951"/>
    <tableColumn id="13957" xr3:uid="{66C592E3-BB15-42A1-ABDC-0CB9D5C72207}" name="Column13952"/>
    <tableColumn id="13958" xr3:uid="{1B7AE630-934D-4599-B608-0389D5B66EB3}" name="Column13953"/>
    <tableColumn id="13959" xr3:uid="{BBF0FFD7-31E7-43F1-8477-E875FDCFF525}" name="Column13954"/>
    <tableColumn id="13960" xr3:uid="{879474EA-F058-4C7B-8C2A-595FE07CE602}" name="Column13955"/>
    <tableColumn id="13961" xr3:uid="{28EF3462-3C99-452A-8F88-5B7263ED5B84}" name="Column13956"/>
    <tableColumn id="13962" xr3:uid="{97B19470-DE76-488D-8E87-C8A7B73A686D}" name="Column13957"/>
    <tableColumn id="13963" xr3:uid="{3E0D6BAF-EA89-4FAD-A0D8-E80859861AD0}" name="Column13958"/>
    <tableColumn id="13964" xr3:uid="{AA09E90A-8896-4818-94C9-690101A2B688}" name="Column13959"/>
    <tableColumn id="13965" xr3:uid="{B71139EF-25C2-4459-B8E3-ECD521CEFB63}" name="Column13960"/>
    <tableColumn id="13966" xr3:uid="{BBE01793-B1C4-4D03-82F3-1433B5A0BC6B}" name="Column13961"/>
    <tableColumn id="13967" xr3:uid="{2E35AAC7-9940-4CAD-926F-D00E85968031}" name="Column13962"/>
    <tableColumn id="13968" xr3:uid="{F1A5AC27-712C-40AF-A5F8-7C8CB02466B5}" name="Column13963"/>
    <tableColumn id="13969" xr3:uid="{0053BDEF-93E8-470B-B5A7-998C830703A1}" name="Column13964"/>
    <tableColumn id="13970" xr3:uid="{93EF4225-76DE-47BE-9D5B-E3D6FA16CBD6}" name="Column13965"/>
    <tableColumn id="13971" xr3:uid="{2271E4FD-71B5-45E0-9069-FD57BFC8FD2A}" name="Column13966"/>
    <tableColumn id="13972" xr3:uid="{9DBFC3F3-DC57-465A-9EA2-8214DD8FB024}" name="Column13967"/>
    <tableColumn id="13973" xr3:uid="{5A0FA828-15D5-419F-81DC-5055DDFC2EBB}" name="Column13968"/>
    <tableColumn id="13974" xr3:uid="{0D68D6E4-45DF-4760-87C5-4C08F0A574FC}" name="Column13969"/>
    <tableColumn id="13975" xr3:uid="{A6605968-3442-4079-938F-40B027EBDD13}" name="Column13970"/>
    <tableColumn id="13976" xr3:uid="{AE56AE8F-3D2F-4DBC-A808-DFD155B0FFD7}" name="Column13971"/>
    <tableColumn id="13977" xr3:uid="{03196C53-43B7-4ED6-B96D-9F7BD8C189FD}" name="Column13972"/>
    <tableColumn id="13978" xr3:uid="{0A878124-E582-4E45-8634-18E437663DA5}" name="Column13973"/>
    <tableColumn id="13979" xr3:uid="{D7C7FA55-CAF0-48E6-9592-F4DBE038FD99}" name="Column13974"/>
    <tableColumn id="13980" xr3:uid="{FA5BAE8E-837E-49C3-9F96-777E4898199B}" name="Column13975"/>
    <tableColumn id="13981" xr3:uid="{1761743F-F920-4DC1-9C70-81B65ACC364B}" name="Column13976"/>
    <tableColumn id="13982" xr3:uid="{7672F8BD-889F-4FC4-8830-B0BF301FBCB4}" name="Column13977"/>
    <tableColumn id="13983" xr3:uid="{818E08AF-8B09-45ED-9B81-6DF9CCF10EAF}" name="Column13978"/>
    <tableColumn id="13984" xr3:uid="{5FB152DC-282E-4603-8C21-E30DCF2BC5E1}" name="Column13979"/>
    <tableColumn id="13985" xr3:uid="{591A003C-A0F0-4C03-B398-8FE207E76C07}" name="Column13980"/>
    <tableColumn id="13986" xr3:uid="{3BC44E63-0204-49F6-90B6-7321A421C638}" name="Column13981"/>
    <tableColumn id="13987" xr3:uid="{A835EC2D-9429-4002-80D0-E86855BA9525}" name="Column13982"/>
    <tableColumn id="13988" xr3:uid="{8390715E-0134-44AF-B2E1-6855A884DBAB}" name="Column13983"/>
    <tableColumn id="13989" xr3:uid="{587920CE-E8A0-49DA-A814-2A79B86BBE3C}" name="Column13984"/>
    <tableColumn id="13990" xr3:uid="{4B6A8264-1BA0-4726-BC47-9DC895840EB4}" name="Column13985"/>
    <tableColumn id="13991" xr3:uid="{8C20F864-2A26-4418-9F12-EB1DEEB1E844}" name="Column13986"/>
    <tableColumn id="13992" xr3:uid="{F7F8311C-E7AB-48BE-84E0-12EE11D9A91C}" name="Column13987"/>
    <tableColumn id="13993" xr3:uid="{A1E9BEA5-D80C-4DA0-8749-19B5EBC19AD2}" name="Column13988"/>
    <tableColumn id="13994" xr3:uid="{8C1ADEB2-349D-43DD-B2AB-D189C3864921}" name="Column13989"/>
    <tableColumn id="13995" xr3:uid="{DFB8D5E4-482B-4FD0-932B-DDF92C192B18}" name="Column13990"/>
    <tableColumn id="13996" xr3:uid="{9407203C-ACC7-48ED-8EA8-0EB8618AB533}" name="Column13991"/>
    <tableColumn id="13997" xr3:uid="{5E7A3D5E-6A0B-467B-813F-D5750E26289F}" name="Column13992"/>
    <tableColumn id="13998" xr3:uid="{B7CC4DE3-1BCC-4F8E-B69E-3B565CECD476}" name="Column13993"/>
    <tableColumn id="13999" xr3:uid="{CC5264D9-6EC2-46ED-A22E-9829FCC88EBF}" name="Column13994"/>
    <tableColumn id="14000" xr3:uid="{4A8D451B-A305-4B0C-9DFB-8D69727BE19E}" name="Column13995"/>
    <tableColumn id="14001" xr3:uid="{CA948BDE-40D8-4E5F-8977-98B8AFFE4F63}" name="Column13996"/>
    <tableColumn id="14002" xr3:uid="{3BCFD52D-5FA7-4496-BEBA-7D1C5E49F609}" name="Column13997"/>
    <tableColumn id="14003" xr3:uid="{5AAA1530-6340-4D4D-A565-189CD8C380A6}" name="Column13998"/>
    <tableColumn id="14004" xr3:uid="{5A657057-BF41-4050-ADB3-7AC1C426C205}" name="Column13999"/>
    <tableColumn id="14005" xr3:uid="{807323DA-E5DC-4106-9A95-AB1070BCCF19}" name="Column14000"/>
    <tableColumn id="14006" xr3:uid="{C2E0D8A4-506E-4E3E-881B-0447BBB6B310}" name="Column14001"/>
    <tableColumn id="14007" xr3:uid="{7FED0422-A998-4C16-A093-EB43E0F06513}" name="Column14002"/>
    <tableColumn id="14008" xr3:uid="{FD0663D8-D270-474D-9688-3E92CE9B1D21}" name="Column14003"/>
    <tableColumn id="14009" xr3:uid="{20E57976-9121-4B4A-93D6-9D7EEBE62171}" name="Column14004"/>
    <tableColumn id="14010" xr3:uid="{24049CD5-AB2C-43BE-B631-041F744945B1}" name="Column14005"/>
    <tableColumn id="14011" xr3:uid="{FF6F4FC3-4B76-4D3A-A4C8-96E9259F10B8}" name="Column14006"/>
    <tableColumn id="14012" xr3:uid="{6002A68D-4B1F-4221-8F51-7625AD7BBE20}" name="Column14007"/>
    <tableColumn id="14013" xr3:uid="{D4DDCEC0-1EB0-4DC0-856A-5B3F76D10D1E}" name="Column14008"/>
    <tableColumn id="14014" xr3:uid="{A513F339-52FF-4458-A871-8EDDFBB28B6B}" name="Column14009"/>
    <tableColumn id="14015" xr3:uid="{A5F1FF04-88D6-46A7-9217-3878B2AE690A}" name="Column14010"/>
    <tableColumn id="14016" xr3:uid="{0191B9CD-A51D-4829-BF50-8F498AC6091F}" name="Column14011"/>
    <tableColumn id="14017" xr3:uid="{14CE6089-603B-4DE3-9B9B-D4BF05388443}" name="Column14012"/>
    <tableColumn id="14018" xr3:uid="{F433C2E3-E362-4085-9817-C67C0950C4B1}" name="Column14013"/>
    <tableColumn id="14019" xr3:uid="{55490B5A-F413-48AE-A951-4CF0F4A1D6F4}" name="Column14014"/>
    <tableColumn id="14020" xr3:uid="{B2A96C0A-3F59-4403-895D-A0C01DA7147F}" name="Column14015"/>
    <tableColumn id="14021" xr3:uid="{1FEAFB37-A2E7-47F1-AC1E-E0A74D3967BB}" name="Column14016"/>
    <tableColumn id="14022" xr3:uid="{EF33992B-EB1B-49C0-AA9F-0A0BD8DFBFF2}" name="Column14017"/>
    <tableColumn id="14023" xr3:uid="{E503A7D0-36D7-4251-9072-B8DD61D5331E}" name="Column14018"/>
    <tableColumn id="14024" xr3:uid="{6DDF5C1B-380F-43C3-83F7-BB7FAD6598E5}" name="Column14019"/>
    <tableColumn id="14025" xr3:uid="{6B717DB6-9E73-4777-AEE8-3C1EE0931AC1}" name="Column14020"/>
    <tableColumn id="14026" xr3:uid="{569CF2D6-58AD-4703-9050-FF126D9CD293}" name="Column14021"/>
    <tableColumn id="14027" xr3:uid="{0E900D36-9893-4ACD-BD7A-7099610B6516}" name="Column14022"/>
    <tableColumn id="14028" xr3:uid="{E3438EDE-7ACC-47DE-B664-D295BB56F294}" name="Column14023"/>
    <tableColumn id="14029" xr3:uid="{694A1BA2-7195-47FF-A845-75FA80DAA565}" name="Column14024"/>
    <tableColumn id="14030" xr3:uid="{270B3EDF-F4D8-4E2E-B96F-D781EA743F1E}" name="Column14025"/>
    <tableColumn id="14031" xr3:uid="{3D109043-F2CB-49E2-92E8-B2C8C21912ED}" name="Column14026"/>
    <tableColumn id="14032" xr3:uid="{266E1C48-B9B4-4751-B6E3-FE9F418D2C9B}" name="Column14027"/>
    <tableColumn id="14033" xr3:uid="{E0DC81DC-7603-49B0-9F4B-AF33210CD175}" name="Column14028"/>
    <tableColumn id="14034" xr3:uid="{2AAF2821-7D67-4CF1-82D3-3E6F5B4D2EF6}" name="Column14029"/>
    <tableColumn id="14035" xr3:uid="{61E8B752-551D-4AA0-9ECB-4A88600C7CF9}" name="Column14030"/>
    <tableColumn id="14036" xr3:uid="{70C4915A-7457-42BB-8E4B-613ABC29667A}" name="Column14031"/>
    <tableColumn id="14037" xr3:uid="{F11D3847-3D7E-42B9-8A98-5FE6C3163F6D}" name="Column14032"/>
    <tableColumn id="14038" xr3:uid="{5D4C81DF-CC20-456F-9D2F-DC0D74264578}" name="Column14033"/>
    <tableColumn id="14039" xr3:uid="{1C040ADC-F3EA-47A0-B114-67E3DA0A6993}" name="Column14034"/>
    <tableColumn id="14040" xr3:uid="{272ACFB0-1EA2-4B33-9551-C90728F14564}" name="Column14035"/>
    <tableColumn id="14041" xr3:uid="{2D963137-04A5-4DCE-A3F3-1679BBEF924C}" name="Column14036"/>
    <tableColumn id="14042" xr3:uid="{A83A44F7-52F0-45E3-9756-EEE627F5EEEF}" name="Column14037"/>
    <tableColumn id="14043" xr3:uid="{8E8A4A52-F25C-497C-906B-D2200630871A}" name="Column14038"/>
    <tableColumn id="14044" xr3:uid="{9E7E46D4-5B05-4682-8112-4F6F6717B34E}" name="Column14039"/>
    <tableColumn id="14045" xr3:uid="{C35475B1-ECE6-425A-BC50-B0079F2D0CF9}" name="Column14040"/>
    <tableColumn id="14046" xr3:uid="{8704E337-CBC3-48C9-A61C-7F1815D86DE2}" name="Column14041"/>
    <tableColumn id="14047" xr3:uid="{7BB973EB-4E8D-42CE-BB08-ADDC5AD1807D}" name="Column14042"/>
    <tableColumn id="14048" xr3:uid="{73AE7D0B-E80B-4C85-BAE8-BDDBD562520D}" name="Column14043"/>
    <tableColumn id="14049" xr3:uid="{D60DF280-13F6-4C84-ACC6-4819D09E2CB0}" name="Column14044"/>
    <tableColumn id="14050" xr3:uid="{B7C45847-524C-43C3-965D-9EA35006CC02}" name="Column14045"/>
    <tableColumn id="14051" xr3:uid="{F68E0001-AC80-44C7-B791-7CAD7B042B0B}" name="Column14046"/>
    <tableColumn id="14052" xr3:uid="{30F22A27-BE47-4247-ACED-CFC2051BD182}" name="Column14047"/>
    <tableColumn id="14053" xr3:uid="{2DC91912-79FA-4E60-AB35-5F6620011550}" name="Column14048"/>
    <tableColumn id="14054" xr3:uid="{4D86DC23-2106-4AA7-84B8-4779167A8FCA}" name="Column14049"/>
    <tableColumn id="14055" xr3:uid="{E6D7CBD8-7906-455F-B07F-695FA7244C86}" name="Column14050"/>
    <tableColumn id="14056" xr3:uid="{7CB11795-881A-4870-A4C4-85E22030350B}" name="Column14051"/>
    <tableColumn id="14057" xr3:uid="{6DDA1FDE-3731-4ECB-97FB-6199CC86BBF1}" name="Column14052"/>
    <tableColumn id="14058" xr3:uid="{A91D6716-55F2-4D03-93D5-FD2D56200B5E}" name="Column14053"/>
    <tableColumn id="14059" xr3:uid="{8759FFAD-25F6-47BF-B188-72E6084E7FE4}" name="Column14054"/>
    <tableColumn id="14060" xr3:uid="{198A7C17-2F53-4A56-B327-50DC8E33BEDA}" name="Column14055"/>
    <tableColumn id="14061" xr3:uid="{FD6BCEF2-134A-4025-BE12-7F36CDEE731E}" name="Column14056"/>
    <tableColumn id="14062" xr3:uid="{DDC8BAD6-14DF-4731-AA67-BF344368ECDB}" name="Column14057"/>
    <tableColumn id="14063" xr3:uid="{D9F6EB15-1591-403C-99CC-81E63A1B43B8}" name="Column14058"/>
    <tableColumn id="14064" xr3:uid="{0F29F90F-4D21-4CD8-A73C-F064C4F25875}" name="Column14059"/>
    <tableColumn id="14065" xr3:uid="{52EF31D2-EC8B-4702-BF9B-4B34C9E670FF}" name="Column14060"/>
    <tableColumn id="14066" xr3:uid="{A6D5B37F-861D-4F60-B9FC-34C159C73CB7}" name="Column14061"/>
    <tableColumn id="14067" xr3:uid="{4419B02E-722C-4226-BF23-2090170761FC}" name="Column14062"/>
    <tableColumn id="14068" xr3:uid="{4CD391BD-65E0-4137-8396-71CFB22DFC6A}" name="Column14063"/>
    <tableColumn id="14069" xr3:uid="{1FCD17EC-8840-43A6-B3C0-D5F71C9854E9}" name="Column14064"/>
    <tableColumn id="14070" xr3:uid="{E2781007-9284-4296-889C-5B94C59DCE53}" name="Column14065"/>
    <tableColumn id="14071" xr3:uid="{2CA22395-B0AD-47C6-AB56-432962D2B3AC}" name="Column14066"/>
    <tableColumn id="14072" xr3:uid="{071672DA-C13F-468E-8A07-8552953DF1A2}" name="Column14067"/>
    <tableColumn id="14073" xr3:uid="{06255558-2F49-4E3B-828A-058EB7BD9268}" name="Column14068"/>
    <tableColumn id="14074" xr3:uid="{DCD663A6-15AE-486D-9406-6F070593EA03}" name="Column14069"/>
    <tableColumn id="14075" xr3:uid="{C95C326E-2F74-4EF6-9339-7F1C7D44D38A}" name="Column14070"/>
    <tableColumn id="14076" xr3:uid="{EC85C47D-8E9B-4BAC-9B82-65774197D4B4}" name="Column14071"/>
    <tableColumn id="14077" xr3:uid="{09335647-6F2D-4F89-8477-88543A2FC72C}" name="Column14072"/>
    <tableColumn id="14078" xr3:uid="{477E2F72-39DC-499A-B7C3-2F2E51AF838C}" name="Column14073"/>
    <tableColumn id="14079" xr3:uid="{B598D3C5-86E9-48DB-8AFD-421D419B9625}" name="Column14074"/>
    <tableColumn id="14080" xr3:uid="{0184AFCB-7026-41E8-8FF7-A1057CA93A0C}" name="Column14075"/>
    <tableColumn id="14081" xr3:uid="{9FFE408A-20FA-4244-983B-F45763527515}" name="Column14076"/>
    <tableColumn id="14082" xr3:uid="{A7882F82-DD87-4BD3-8B26-0BB2C6F07DDD}" name="Column14077"/>
    <tableColumn id="14083" xr3:uid="{C26369FE-92F7-4FDE-9FB0-A63E63083E2E}" name="Column14078"/>
    <tableColumn id="14084" xr3:uid="{846A94A9-F0D6-4C93-B0A1-797860393888}" name="Column14079"/>
    <tableColumn id="14085" xr3:uid="{3D676195-5260-4915-9B70-F4FF5DA5BC2B}" name="Column14080"/>
    <tableColumn id="14086" xr3:uid="{E49A4B09-8BE0-4489-AB8A-02D2FFB959CF}" name="Column14081"/>
    <tableColumn id="14087" xr3:uid="{B3FE4658-5776-4F5B-ACB4-3FC730E7F0EF}" name="Column14082"/>
    <tableColumn id="14088" xr3:uid="{359431FA-B2CA-4AF0-91DD-7E11359E2D0A}" name="Column14083"/>
    <tableColumn id="14089" xr3:uid="{219D4B0C-7D6C-4CF4-9B66-57E345CECED9}" name="Column14084"/>
    <tableColumn id="14090" xr3:uid="{B34F9BA3-1679-475A-A041-6A7E1BEA34A3}" name="Column14085"/>
    <tableColumn id="14091" xr3:uid="{A5BB906B-DEDD-419A-BC21-44C627A8E7D2}" name="Column14086"/>
    <tableColumn id="14092" xr3:uid="{0F841159-3969-43CC-9D0B-404A93A73583}" name="Column14087"/>
    <tableColumn id="14093" xr3:uid="{2E724A83-6AAE-4EEE-A899-C0C7ADDA9AF3}" name="Column14088"/>
    <tableColumn id="14094" xr3:uid="{544F4E62-BED8-46D4-9731-28E286A4DF86}" name="Column14089"/>
    <tableColumn id="14095" xr3:uid="{7A372D0F-41C9-4371-98FF-C85C2D86AB60}" name="Column14090"/>
    <tableColumn id="14096" xr3:uid="{DDE0A2AA-DBC1-4DC7-97C4-39AA5C9FCF18}" name="Column14091"/>
    <tableColumn id="14097" xr3:uid="{3002BFD3-9AC3-40B8-B8D6-E5A02BA7737B}" name="Column14092"/>
    <tableColumn id="14098" xr3:uid="{08529F36-956D-4399-8176-82C18D92638D}" name="Column14093"/>
    <tableColumn id="14099" xr3:uid="{DE8A6978-F682-4FC5-89F4-494A53B2507C}" name="Column14094"/>
    <tableColumn id="14100" xr3:uid="{20796460-510C-422E-BA72-D17FEEC20385}" name="Column14095"/>
    <tableColumn id="14101" xr3:uid="{8E413197-7620-4CE3-913F-D176B475E900}" name="Column14096"/>
    <tableColumn id="14102" xr3:uid="{7CE3E145-2F13-422C-A99E-52D23435D3EF}" name="Column14097"/>
    <tableColumn id="14103" xr3:uid="{AEAE7CC7-0E53-4939-9274-360EB72B8C83}" name="Column14098"/>
    <tableColumn id="14104" xr3:uid="{85D539C3-DBAA-4A05-A91F-FAA559425061}" name="Column14099"/>
    <tableColumn id="14105" xr3:uid="{5A6451A4-482F-4AEA-B653-F87F39AD4AB1}" name="Column14100"/>
    <tableColumn id="14106" xr3:uid="{51EE6CC8-E0DC-400D-AAD2-4F4A3DA6333C}" name="Column14101"/>
    <tableColumn id="14107" xr3:uid="{3F7066D7-5766-4ED2-ABFD-512C4986C8CE}" name="Column14102"/>
    <tableColumn id="14108" xr3:uid="{BCA6F962-9045-4890-B598-94AAFBE49675}" name="Column14103"/>
    <tableColumn id="14109" xr3:uid="{2B477110-FEE3-4C86-801A-6D3C7EB61893}" name="Column14104"/>
    <tableColumn id="14110" xr3:uid="{BDFF2D7A-97F1-46E5-A05E-8A7C8EA6DFE5}" name="Column14105"/>
    <tableColumn id="14111" xr3:uid="{2B67D02D-4EC0-4CDD-AE14-16DAA520C1BC}" name="Column14106"/>
    <tableColumn id="14112" xr3:uid="{EB5A1AEA-EB92-4954-8995-080F05EF51EE}" name="Column14107"/>
    <tableColumn id="14113" xr3:uid="{A2949252-8D16-4747-A6F8-71C91D3A28A9}" name="Column14108"/>
    <tableColumn id="14114" xr3:uid="{09F206F3-17B8-4172-A84C-1D98ECC7C675}" name="Column14109"/>
    <tableColumn id="14115" xr3:uid="{49CB465F-A6C5-4FFA-92CA-DE293A8EA692}" name="Column14110"/>
    <tableColumn id="14116" xr3:uid="{5BBC4014-8DF1-4607-96D3-FFC6A25D4E69}" name="Column14111"/>
    <tableColumn id="14117" xr3:uid="{069B4D25-412B-4FCB-961B-D30AF3AE13EF}" name="Column14112"/>
    <tableColumn id="14118" xr3:uid="{E2DC288A-18F3-4DCD-92D3-9F33F5EB9CE8}" name="Column14113"/>
    <tableColumn id="14119" xr3:uid="{8C2B9E08-00D3-46EA-8803-A182C79559B0}" name="Column14114"/>
    <tableColumn id="14120" xr3:uid="{8498F0E9-60FC-4F68-A979-511E02C10B8C}" name="Column14115"/>
    <tableColumn id="14121" xr3:uid="{85DCF40F-E230-45BC-B668-ACD12E06C330}" name="Column14116"/>
    <tableColumn id="14122" xr3:uid="{2F97DAEB-39A7-4681-8AC6-2ADB4086B398}" name="Column14117"/>
    <tableColumn id="14123" xr3:uid="{1E0583F5-EA94-465A-BADC-6C4BBC07BE75}" name="Column14118"/>
    <tableColumn id="14124" xr3:uid="{BB855AB2-DD73-492A-8359-3918AB60FD95}" name="Column14119"/>
    <tableColumn id="14125" xr3:uid="{CC1506CF-243A-4EE6-A689-C4E35AE11718}" name="Column14120"/>
    <tableColumn id="14126" xr3:uid="{BC47C14A-3C5D-46B2-A10E-34C90F3B8776}" name="Column14121"/>
    <tableColumn id="14127" xr3:uid="{05EAB6EC-D151-4219-B964-306ABC5A6C44}" name="Column14122"/>
    <tableColumn id="14128" xr3:uid="{B53AC24B-03AD-44CA-B740-04E75CE89BA6}" name="Column14123"/>
    <tableColumn id="14129" xr3:uid="{8BC2DC84-3D68-4C95-84FC-90CC6ED33B20}" name="Column14124"/>
    <tableColumn id="14130" xr3:uid="{1F7EB438-F768-4961-AC97-B510D9288768}" name="Column14125"/>
    <tableColumn id="14131" xr3:uid="{99B9BEAC-5A86-4C4D-9515-B725D9ED70C2}" name="Column14126"/>
    <tableColumn id="14132" xr3:uid="{5BD23461-81F5-4837-AEBA-A66C6E181895}" name="Column14127"/>
    <tableColumn id="14133" xr3:uid="{0EB1E296-C1AA-4AE4-9CD9-E13A52886D79}" name="Column14128"/>
    <tableColumn id="14134" xr3:uid="{481DCF2E-8AE9-408B-9CB4-91012A4670BC}" name="Column14129"/>
    <tableColumn id="14135" xr3:uid="{EF88CBD2-BAD5-4C9D-A6FD-8C7378286E62}" name="Column14130"/>
    <tableColumn id="14136" xr3:uid="{60E3DA7B-298D-41B4-959B-8322F686A64B}" name="Column14131"/>
    <tableColumn id="14137" xr3:uid="{832296F7-D160-4855-A27C-724256126A74}" name="Column14132"/>
    <tableColumn id="14138" xr3:uid="{BE3D9F86-D77A-47C9-AE17-0DEE27DDCC4C}" name="Column14133"/>
    <tableColumn id="14139" xr3:uid="{1D89787A-CBCE-40A8-B447-8C56D5416EC0}" name="Column14134"/>
    <tableColumn id="14140" xr3:uid="{FAA3BF49-3AFF-43DC-B005-6B01F0A76F5A}" name="Column14135"/>
    <tableColumn id="14141" xr3:uid="{51DEC0FC-D939-4E27-8D81-6E4E900E88C1}" name="Column14136"/>
    <tableColumn id="14142" xr3:uid="{9F081651-B7B9-4131-A229-6A71FA953C68}" name="Column14137"/>
    <tableColumn id="14143" xr3:uid="{8A955DB1-9E78-41A0-A313-B950F62E855F}" name="Column14138"/>
    <tableColumn id="14144" xr3:uid="{854DAE19-AC8D-4325-85DE-96DFCE163813}" name="Column14139"/>
    <tableColumn id="14145" xr3:uid="{1F49AF85-FE24-49E3-8641-A84E2968830F}" name="Column14140"/>
    <tableColumn id="14146" xr3:uid="{F4ADF971-43D7-452D-A4FB-2DBC74225DBB}" name="Column14141"/>
    <tableColumn id="14147" xr3:uid="{DA638C1E-4FE2-425B-8509-4E8F9EAAFC0D}" name="Column14142"/>
    <tableColumn id="14148" xr3:uid="{BA45FF9A-F982-45D7-8FCF-32DBE286825D}" name="Column14143"/>
    <tableColumn id="14149" xr3:uid="{E185D5E6-5613-468A-9289-0DFF19FC55F3}" name="Column14144"/>
    <tableColumn id="14150" xr3:uid="{10A49D53-8689-4C0B-8B0F-59E983C8404C}" name="Column14145"/>
    <tableColumn id="14151" xr3:uid="{3E45A013-2EA4-4CA9-A120-565DAB24EF2E}" name="Column14146"/>
    <tableColumn id="14152" xr3:uid="{6B488007-47DB-4B37-89F5-D7454D609D47}" name="Column14147"/>
    <tableColumn id="14153" xr3:uid="{F520A7DF-066D-4FB0-96DE-AD1A807E85FC}" name="Column14148"/>
    <tableColumn id="14154" xr3:uid="{5DA4EFBA-60C1-4117-8BC0-030FB5C9937E}" name="Column14149"/>
    <tableColumn id="14155" xr3:uid="{A51F2AF7-41E0-44B1-9498-759069452147}" name="Column14150"/>
    <tableColumn id="14156" xr3:uid="{E0ACF659-EC36-495B-A24F-69BB595A3CB8}" name="Column14151"/>
    <tableColumn id="14157" xr3:uid="{56FC49ED-9ECA-4576-BAF6-70F3B15AB110}" name="Column14152"/>
    <tableColumn id="14158" xr3:uid="{69903BB2-41E3-434E-9892-221E64BAB33F}" name="Column14153"/>
    <tableColumn id="14159" xr3:uid="{24534642-ED7B-4B05-BB16-2AB7FDC0F7A0}" name="Column14154"/>
    <tableColumn id="14160" xr3:uid="{20544986-9BD9-4271-8913-3C3415B46CF0}" name="Column14155"/>
    <tableColumn id="14161" xr3:uid="{8B35C4F6-959E-446C-84BC-83D86E26D21E}" name="Column14156"/>
    <tableColumn id="14162" xr3:uid="{4C354861-F0D5-424F-A0BD-7D825F74E330}" name="Column14157"/>
    <tableColumn id="14163" xr3:uid="{7E5AA34D-3FAC-4731-8B9E-11128D347139}" name="Column14158"/>
    <tableColumn id="14164" xr3:uid="{535EA460-8C2E-4A20-9385-02054B0B7D2C}" name="Column14159"/>
    <tableColumn id="14165" xr3:uid="{A28E90F7-2B9F-44E8-A5EF-8481092BD4DA}" name="Column14160"/>
    <tableColumn id="14166" xr3:uid="{A1B32157-C59B-4E1F-9B81-829BDEAE67CC}" name="Column14161"/>
    <tableColumn id="14167" xr3:uid="{1ECFDC61-2680-4ADC-B78F-3CF0C6B47E6C}" name="Column14162"/>
    <tableColumn id="14168" xr3:uid="{A6A6E135-8737-4F30-B63E-2B41FEC0FB43}" name="Column14163"/>
    <tableColumn id="14169" xr3:uid="{EBCC2EFD-5D5F-43AD-9B8F-A932443A026A}" name="Column14164"/>
    <tableColumn id="14170" xr3:uid="{6C9CF138-C0AD-4932-B72D-A1FE0E1DD57E}" name="Column14165"/>
    <tableColumn id="14171" xr3:uid="{AEF88507-FCF1-4E23-AB6B-50F131DB43AF}" name="Column14166"/>
    <tableColumn id="14172" xr3:uid="{7AD419BD-9375-4A5E-9A5F-33D61DACF571}" name="Column14167"/>
    <tableColumn id="14173" xr3:uid="{6EF668F5-B327-45CF-A60B-B07926D5BFE3}" name="Column14168"/>
    <tableColumn id="14174" xr3:uid="{B669E1AD-65F1-47AF-AE11-11B08DB75248}" name="Column14169"/>
    <tableColumn id="14175" xr3:uid="{200C18BC-C3FF-46CE-AF05-FC0BB81A3F92}" name="Column14170"/>
    <tableColumn id="14176" xr3:uid="{8BA189CA-B7A9-4DDB-86E4-AFA3207B1B5E}" name="Column14171"/>
    <tableColumn id="14177" xr3:uid="{EE81F978-FA7E-4B8A-844A-EF13A7A33D2D}" name="Column14172"/>
    <tableColumn id="14178" xr3:uid="{A79B4458-EF8D-4578-A705-807BFC63A94B}" name="Column14173"/>
    <tableColumn id="14179" xr3:uid="{2F725A2B-4FDB-4AF0-8D5E-97114DB02877}" name="Column14174"/>
    <tableColumn id="14180" xr3:uid="{B27B56BE-1BF5-4B09-853C-9C5855DD27FE}" name="Column14175"/>
    <tableColumn id="14181" xr3:uid="{D46B7C96-AFEB-4079-94F2-BFF10C21520C}" name="Column14176"/>
    <tableColumn id="14182" xr3:uid="{C8E6C800-A486-4F5B-AD90-DD525F0C3D24}" name="Column14177"/>
    <tableColumn id="14183" xr3:uid="{08888BD6-EC8F-4489-AF4B-41F6F5D54932}" name="Column14178"/>
    <tableColumn id="14184" xr3:uid="{F928E279-D31E-4F36-9E7F-B14DC50AE6D9}" name="Column14179"/>
    <tableColumn id="14185" xr3:uid="{415777BF-F572-4EF4-B666-D8D2FB889F0C}" name="Column14180"/>
    <tableColumn id="14186" xr3:uid="{35D740CD-02A4-451E-A97C-FA334C5C4B38}" name="Column14181"/>
    <tableColumn id="14187" xr3:uid="{B16FC64C-2021-439F-8FF0-A46A9048C147}" name="Column14182"/>
    <tableColumn id="14188" xr3:uid="{CA42BF4C-363D-42F7-8034-937288E92AA0}" name="Column14183"/>
    <tableColumn id="14189" xr3:uid="{E5B2EAA4-FF5D-4044-8814-A3A3A4B5CEEB}" name="Column14184"/>
    <tableColumn id="14190" xr3:uid="{4F3FAFF0-AE21-4AD8-B3F5-FF1CC0EE14F8}" name="Column14185"/>
    <tableColumn id="14191" xr3:uid="{BDDE7794-044C-44A1-90F3-DB9D9AB9B762}" name="Column14186"/>
    <tableColumn id="14192" xr3:uid="{645B2778-8EA0-4F09-A236-ABBBC573DB5D}" name="Column14187"/>
    <tableColumn id="14193" xr3:uid="{35748243-AD53-44C9-877F-F0CF26E1F0B2}" name="Column14188"/>
    <tableColumn id="14194" xr3:uid="{27FD9527-232C-4225-B2D4-CFAA387877C7}" name="Column14189"/>
    <tableColumn id="14195" xr3:uid="{42B99A9A-39E5-4A03-8492-73BA1CC72BE1}" name="Column14190"/>
    <tableColumn id="14196" xr3:uid="{588D16C8-C170-4074-A001-12EFED35585D}" name="Column14191"/>
    <tableColumn id="14197" xr3:uid="{9610426D-CF31-4C50-BEE1-CAE4FC5854ED}" name="Column14192"/>
    <tableColumn id="14198" xr3:uid="{433B231C-FE9E-4813-BBA6-CCDE53BBE982}" name="Column14193"/>
    <tableColumn id="14199" xr3:uid="{EEFF97E6-EDD8-4645-B8BE-DCFDE462BF78}" name="Column14194"/>
    <tableColumn id="14200" xr3:uid="{84EEA3DD-11BE-4276-9E3B-709ECCE5D8C1}" name="Column14195"/>
    <tableColumn id="14201" xr3:uid="{349D775C-803A-4C27-9720-F62DBDA7968D}" name="Column14196"/>
    <tableColumn id="14202" xr3:uid="{BFA0DAA9-26D1-43C2-A69D-BA3FF4CA9176}" name="Column14197"/>
    <tableColumn id="14203" xr3:uid="{E10D55F1-8018-4F7B-AF1F-6AE316527B69}" name="Column14198"/>
    <tableColumn id="14204" xr3:uid="{8C7CD06F-14A9-4767-AECF-BEB01FFD0B93}" name="Column14199"/>
    <tableColumn id="14205" xr3:uid="{210FF367-8FF4-4B8C-8729-1293E0B422D8}" name="Column14200"/>
    <tableColumn id="14206" xr3:uid="{FFE7BB17-7F37-45EF-97BA-5DBD6ED43D18}" name="Column14201"/>
    <tableColumn id="14207" xr3:uid="{E81F81C9-68DA-4555-BE40-FA567A0B08A7}" name="Column14202"/>
    <tableColumn id="14208" xr3:uid="{C21DBCFF-448F-410E-A5D9-B0037867DDA0}" name="Column14203"/>
    <tableColumn id="14209" xr3:uid="{85D6F6C1-AF3E-456C-83C4-A1486AA22147}" name="Column14204"/>
    <tableColumn id="14210" xr3:uid="{650FCB2C-90D2-4E8E-9C86-D436D4C6E1B6}" name="Column14205"/>
    <tableColumn id="14211" xr3:uid="{A73BA514-8A62-4DDA-80E4-2508FD9E5797}" name="Column14206"/>
    <tableColumn id="14212" xr3:uid="{9EA02A05-B2CF-4809-992E-EE4DEAEA2D8C}" name="Column14207"/>
    <tableColumn id="14213" xr3:uid="{515D2277-B9C3-44B2-8A72-DF420B2DEFFF}" name="Column14208"/>
    <tableColumn id="14214" xr3:uid="{4E16DA95-92BF-4126-A3BA-5EA7D4AF70EA}" name="Column14209"/>
    <tableColumn id="14215" xr3:uid="{6183D9EB-8919-4F66-AD6D-23807E07240D}" name="Column14210"/>
    <tableColumn id="14216" xr3:uid="{D6CF7FAF-98EA-4810-9FA1-88B8107DA099}" name="Column14211"/>
    <tableColumn id="14217" xr3:uid="{24937FF1-D225-4BC6-98AB-CC4F168BB3D7}" name="Column14212"/>
    <tableColumn id="14218" xr3:uid="{D0D4FF1E-F351-4BBF-AE10-9844251BF7EE}" name="Column14213"/>
    <tableColumn id="14219" xr3:uid="{428F27C4-647A-4FE9-B973-4A4A96383C4B}" name="Column14214"/>
    <tableColumn id="14220" xr3:uid="{F9BD04FA-19CA-4D56-A02F-6E83899339FC}" name="Column14215"/>
    <tableColumn id="14221" xr3:uid="{D8121CDB-4CD0-41AC-B2BA-B8F488A54AA7}" name="Column14216"/>
    <tableColumn id="14222" xr3:uid="{5F9D143F-7536-4BFE-A157-6FCEC0973568}" name="Column14217"/>
    <tableColumn id="14223" xr3:uid="{0059533A-371B-4D02-BF9A-3E895013F4D6}" name="Column14218"/>
    <tableColumn id="14224" xr3:uid="{482EEC79-6691-4DDC-8C90-50165346CEBA}" name="Column14219"/>
    <tableColumn id="14225" xr3:uid="{3688B020-BFD2-4925-8FE3-D41097FC63F6}" name="Column14220"/>
    <tableColumn id="14226" xr3:uid="{31ECC5D3-79B5-4FB9-9BB1-A0B003A58AD5}" name="Column14221"/>
    <tableColumn id="14227" xr3:uid="{55B398EA-9DE4-40A2-9568-158006091251}" name="Column14222"/>
    <tableColumn id="14228" xr3:uid="{650B0D2A-0813-4CBB-B5A0-5B329A769CC7}" name="Column14223"/>
    <tableColumn id="14229" xr3:uid="{8AB4E34B-6D7B-418E-93B2-1B622FA7BAB1}" name="Column14224"/>
    <tableColumn id="14230" xr3:uid="{2049ADEA-D371-4C15-92A2-891FEFB6AD89}" name="Column14225"/>
    <tableColumn id="14231" xr3:uid="{EA5289BC-00E8-46EC-80F8-BCFBAB93D87C}" name="Column14226"/>
    <tableColumn id="14232" xr3:uid="{0B564C83-464C-437C-8D7B-71BF6E54ED6D}" name="Column14227"/>
    <tableColumn id="14233" xr3:uid="{165C5F00-BA71-43E5-B3FD-2C10DA128CCE}" name="Column14228"/>
    <tableColumn id="14234" xr3:uid="{6D8DA5ED-E70F-4A78-99B2-7266BEDBACAA}" name="Column14229"/>
    <tableColumn id="14235" xr3:uid="{477AA323-9949-4B91-B9AC-2CC56648E2C0}" name="Column14230"/>
    <tableColumn id="14236" xr3:uid="{9307033C-17E3-47C8-AEF0-940841222B77}" name="Column14231"/>
    <tableColumn id="14237" xr3:uid="{FD178E16-67AD-4177-A50C-012977E595A2}" name="Column14232"/>
    <tableColumn id="14238" xr3:uid="{A391A968-C7B1-48FC-B57D-0D212473A43D}" name="Column14233"/>
    <tableColumn id="14239" xr3:uid="{2598B054-C755-4A5B-B27F-4451DE7899AD}" name="Column14234"/>
    <tableColumn id="14240" xr3:uid="{0A7DDDB0-4A3C-478E-ADA7-9E275444D2B6}" name="Column14235"/>
    <tableColumn id="14241" xr3:uid="{B00409C9-82FE-4765-8984-73635979D730}" name="Column14236"/>
    <tableColumn id="14242" xr3:uid="{4F412C96-4D62-4ADB-8710-2AE0939180FF}" name="Column14237"/>
    <tableColumn id="14243" xr3:uid="{EA3FE76D-A5D6-4FE0-AFC4-9979AA3AFB7A}" name="Column14238"/>
    <tableColumn id="14244" xr3:uid="{FD7C3B29-F15E-4617-9698-763771300145}" name="Column14239"/>
    <tableColumn id="14245" xr3:uid="{AB7D2EE8-B38B-49DC-AA87-F39B62A20A75}" name="Column14240"/>
    <tableColumn id="14246" xr3:uid="{161F9CE6-D918-4C8C-BC69-BA6288011537}" name="Column14241"/>
    <tableColumn id="14247" xr3:uid="{031AC3E6-CD46-4B7A-9DCC-55713F23EC37}" name="Column14242"/>
    <tableColumn id="14248" xr3:uid="{2D33D274-C3DE-4CE8-8C6F-67F30B4F0A57}" name="Column14243"/>
    <tableColumn id="14249" xr3:uid="{A5D1CA54-9C09-4A24-9934-C6C58150535B}" name="Column14244"/>
    <tableColumn id="14250" xr3:uid="{59921593-FC1F-498C-B7A8-B99A61A1BF1F}" name="Column14245"/>
    <tableColumn id="14251" xr3:uid="{805F7B9B-DBD6-4EF9-8D64-72A240E50AB4}" name="Column14246"/>
    <tableColumn id="14252" xr3:uid="{9C68BC73-F64D-48A2-B2AD-3D40D37B4E1B}" name="Column14247"/>
    <tableColumn id="14253" xr3:uid="{A764B4E0-882F-4DA8-8F9B-33D23F9F5B6E}" name="Column14248"/>
    <tableColumn id="14254" xr3:uid="{0FBCA2F6-BEF8-4976-941E-10AE5B87941B}" name="Column14249"/>
    <tableColumn id="14255" xr3:uid="{18FD6B0F-BA0D-4CFE-A41F-1E1EF8955CEB}" name="Column14250"/>
    <tableColumn id="14256" xr3:uid="{E5E1894E-2D1D-409F-A244-6DB09AA902C5}" name="Column14251"/>
    <tableColumn id="14257" xr3:uid="{3AE58FAB-1A84-47FC-B5D0-D5C70D65B966}" name="Column14252"/>
    <tableColumn id="14258" xr3:uid="{A5CFD81C-7B0F-4BCA-B556-8DC6F7612DB2}" name="Column14253"/>
    <tableColumn id="14259" xr3:uid="{5877025E-6616-4A8C-AE5F-DCABF742E5BB}" name="Column14254"/>
    <tableColumn id="14260" xr3:uid="{C179BBFE-E48F-48E6-9371-191D74A82B00}" name="Column14255"/>
    <tableColumn id="14261" xr3:uid="{29A963A0-1BE7-40A8-B7BC-35594AAE3198}" name="Column14256"/>
    <tableColumn id="14262" xr3:uid="{371E6A5F-8525-4E07-B251-1114BEA0E7D0}" name="Column14257"/>
    <tableColumn id="14263" xr3:uid="{36BACEE7-74F1-42E2-A2C2-1A050436F65A}" name="Column14258"/>
    <tableColumn id="14264" xr3:uid="{6541A33C-24EA-4D20-96EE-973C27D78F1A}" name="Column14259"/>
    <tableColumn id="14265" xr3:uid="{ED34C912-5E84-45EC-9F04-F14A4FEEC46D}" name="Column14260"/>
    <tableColumn id="14266" xr3:uid="{8945199A-1A9E-4B15-BBCB-8B7C253B7C3C}" name="Column14261"/>
    <tableColumn id="14267" xr3:uid="{A4EC0F89-9470-4943-9A6E-70EC1B54132B}" name="Column14262"/>
    <tableColumn id="14268" xr3:uid="{C9C5908D-D6E7-4A24-9F68-D1A2121E35E1}" name="Column14263"/>
    <tableColumn id="14269" xr3:uid="{780CAE30-370D-4A98-B697-48279D14FEA8}" name="Column14264"/>
    <tableColumn id="14270" xr3:uid="{E9143BA7-9581-497E-A9F5-D6625A46657F}" name="Column14265"/>
    <tableColumn id="14271" xr3:uid="{D803C123-6897-4702-8704-04C016A7EF6C}" name="Column14266"/>
    <tableColumn id="14272" xr3:uid="{4BF35B83-8D64-485F-8B25-6981E6318FB9}" name="Column14267"/>
    <tableColumn id="14273" xr3:uid="{A475B563-E39C-4C2A-B99F-C932CE8B4DCD}" name="Column14268"/>
    <tableColumn id="14274" xr3:uid="{4AAF2D0E-E14F-4EA2-924E-A06D799C478E}" name="Column14269"/>
    <tableColumn id="14275" xr3:uid="{B0F8199A-8B97-45F6-A957-CA877D9C3C39}" name="Column14270"/>
    <tableColumn id="14276" xr3:uid="{72E81A93-C6B8-4D19-8C6B-C0DBA159A36D}" name="Column14271"/>
    <tableColumn id="14277" xr3:uid="{B9F5D440-5CA7-4EE4-811B-0A316C269BD5}" name="Column14272"/>
    <tableColumn id="14278" xr3:uid="{AB7AA34D-8250-46DF-A63A-8025E24CC8EE}" name="Column14273"/>
    <tableColumn id="14279" xr3:uid="{B9914BA2-AC84-4D4B-A35B-1997F2F9CCD9}" name="Column14274"/>
    <tableColumn id="14280" xr3:uid="{9A98FCD5-EC8B-4210-9892-62AF6839E83D}" name="Column14275"/>
    <tableColumn id="14281" xr3:uid="{8B3879AA-8685-44CE-BDF5-973980E9D3CE}" name="Column14276"/>
    <tableColumn id="14282" xr3:uid="{3DF2BC1B-6797-4B6D-B9F9-2BA3FA32E2B3}" name="Column14277"/>
    <tableColumn id="14283" xr3:uid="{31EC9C4D-7477-4024-B7FD-A5A5A840748B}" name="Column14278"/>
    <tableColumn id="14284" xr3:uid="{ACD90079-C28F-498B-BA81-1AEC8378698A}" name="Column14279"/>
    <tableColumn id="14285" xr3:uid="{39E185B1-14F1-4817-9F43-761E45C52FC6}" name="Column14280"/>
    <tableColumn id="14286" xr3:uid="{97E4B6A9-8BF2-4DE9-88B6-9006E30724A9}" name="Column14281"/>
    <tableColumn id="14287" xr3:uid="{A7822E34-61C7-4C5F-9E51-797EA9AE59AC}" name="Column14282"/>
    <tableColumn id="14288" xr3:uid="{1B61A196-932D-42CD-AB48-192A24167376}" name="Column14283"/>
    <tableColumn id="14289" xr3:uid="{749E50EC-E9AB-43B1-878F-EDC2F6A10B40}" name="Column14284"/>
    <tableColumn id="14290" xr3:uid="{AAC9DF88-C5AA-4767-A709-94C5FB9EA07F}" name="Column14285"/>
    <tableColumn id="14291" xr3:uid="{73A52D22-7940-4042-813E-49314668EA5D}" name="Column14286"/>
    <tableColumn id="14292" xr3:uid="{7CE4F38C-AE22-4E95-AF39-3D80285974A1}" name="Column14287"/>
    <tableColumn id="14293" xr3:uid="{9CA87A2B-89CE-4903-8D6A-747FAD2D535F}" name="Column14288"/>
    <tableColumn id="14294" xr3:uid="{4C31DB43-06EE-4A2E-AB38-229DDF0D7FEF}" name="Column14289"/>
    <tableColumn id="14295" xr3:uid="{DFE47C54-5D2A-463F-A390-2E2C6F4CE26C}" name="Column14290"/>
    <tableColumn id="14296" xr3:uid="{08474F49-50B2-43E8-940E-1A4471F4B63F}" name="Column14291"/>
    <tableColumn id="14297" xr3:uid="{9B59880A-177F-4926-96D6-83572BDA25E7}" name="Column14292"/>
    <tableColumn id="14298" xr3:uid="{79154A23-CEBB-4943-BFC6-1325B803CD32}" name="Column14293"/>
    <tableColumn id="14299" xr3:uid="{9001A3C3-69A6-4975-8A48-1B82F3943ED0}" name="Column14294"/>
    <tableColumn id="14300" xr3:uid="{39C069AB-EB69-4347-9FF7-B020ECE1B636}" name="Column14295"/>
    <tableColumn id="14301" xr3:uid="{FC0E711A-E201-4840-973E-4401C1721D3B}" name="Column14296"/>
    <tableColumn id="14302" xr3:uid="{1A95F108-9936-4636-9D15-3A7A27FB843F}" name="Column14297"/>
    <tableColumn id="14303" xr3:uid="{28F8DA3F-6E9B-407B-ABF9-48C9448296F3}" name="Column14298"/>
    <tableColumn id="14304" xr3:uid="{99336BD6-F5F6-4A09-8F62-0CE4A4F051FC}" name="Column14299"/>
    <tableColumn id="14305" xr3:uid="{1182AAA6-9D90-4FD9-9048-FFCA311EE258}" name="Column14300"/>
    <tableColumn id="14306" xr3:uid="{290E7098-C0AD-42E7-BEB7-C29A9D0E89E6}" name="Column14301"/>
    <tableColumn id="14307" xr3:uid="{5E6E564A-882E-402C-8793-986898EEB35C}" name="Column14302"/>
    <tableColumn id="14308" xr3:uid="{628E2E7D-441E-4CAD-A758-A8829A294F4F}" name="Column14303"/>
    <tableColumn id="14309" xr3:uid="{64C0A9AB-BC2C-482E-B4F2-20DF8D25733D}" name="Column14304"/>
    <tableColumn id="14310" xr3:uid="{FD595C2D-2171-41BF-A35C-AC7ED39A9DA1}" name="Column14305"/>
    <tableColumn id="14311" xr3:uid="{80F17FBF-082E-415E-A418-DFB12675045C}" name="Column14306"/>
    <tableColumn id="14312" xr3:uid="{F15C8486-4ED5-47C9-B6C4-410BFB7EB4CB}" name="Column14307"/>
    <tableColumn id="14313" xr3:uid="{C579BC6A-575B-4BF4-B5B3-1916BC8777F0}" name="Column14308"/>
    <tableColumn id="14314" xr3:uid="{EECDDC56-C34E-46D5-A86C-2E3C04C68688}" name="Column14309"/>
    <tableColumn id="14315" xr3:uid="{34E1A4DC-18C3-45C8-A282-80D52C74EFAD}" name="Column14310"/>
    <tableColumn id="14316" xr3:uid="{80AD0F06-7B35-427C-925D-B81BDC87455C}" name="Column14311"/>
    <tableColumn id="14317" xr3:uid="{F65D5A9C-C6F7-4957-80EE-8B8F4C86EBA3}" name="Column14312"/>
    <tableColumn id="14318" xr3:uid="{950F9E78-9802-4838-99DA-2C66ED122D71}" name="Column14313"/>
    <tableColumn id="14319" xr3:uid="{6E2B54F3-75B5-475F-A0A0-73AC3C35F90D}" name="Column14314"/>
    <tableColumn id="14320" xr3:uid="{668EBA1F-F63C-4FC5-9585-8444A8114622}" name="Column14315"/>
    <tableColumn id="14321" xr3:uid="{6722CF18-49FB-49B2-AD56-0C93F55DA9E5}" name="Column14316"/>
    <tableColumn id="14322" xr3:uid="{EE4888C7-B3B4-401E-A8C9-27603993A6E9}" name="Column14317"/>
    <tableColumn id="14323" xr3:uid="{DCADBACC-04B7-46C5-B38E-B77D0F48CA7E}" name="Column14318"/>
    <tableColumn id="14324" xr3:uid="{B01D5B51-2CE6-4A47-9CD3-1AFCD98A6E7C}" name="Column14319"/>
    <tableColumn id="14325" xr3:uid="{56127771-F3F1-4728-B721-4E9EAEADE290}" name="Column14320"/>
    <tableColumn id="14326" xr3:uid="{1E3D1E22-FE90-42CC-8B14-03101A3CDBC4}" name="Column14321"/>
    <tableColumn id="14327" xr3:uid="{70AD1031-70EE-451E-B4AB-D21157E1666B}" name="Column14322"/>
    <tableColumn id="14328" xr3:uid="{AE0EFA07-B524-4BD3-8B09-6EBA15DD500C}" name="Column14323"/>
    <tableColumn id="14329" xr3:uid="{3AEC3C63-7A65-4CA2-9A31-9D20FC96058A}" name="Column14324"/>
    <tableColumn id="14330" xr3:uid="{4AA10034-D73A-41B2-9EA6-42EE4F995E84}" name="Column14325"/>
    <tableColumn id="14331" xr3:uid="{7B963EE7-6490-4BB6-884C-50BF4B2BAEAA}" name="Column14326"/>
    <tableColumn id="14332" xr3:uid="{7696D348-13A4-45F4-A33B-45CA7190BAEA}" name="Column14327"/>
    <tableColumn id="14333" xr3:uid="{0B15EE3B-06D0-437E-AA80-7C3B35616F72}" name="Column14328"/>
    <tableColumn id="14334" xr3:uid="{DDD6CE20-67FB-4619-9D0C-91B5D3C7295C}" name="Column14329"/>
    <tableColumn id="14335" xr3:uid="{77249635-3603-4323-9D25-F1A65BE547A5}" name="Column14330"/>
    <tableColumn id="14336" xr3:uid="{641E9125-E1E5-42CF-ACC2-CBA13231FBB5}" name="Column14331"/>
    <tableColumn id="14337" xr3:uid="{8D52F249-CBCF-48A1-BFBC-843DF5EF64D4}" name="Column14332"/>
    <tableColumn id="14338" xr3:uid="{256F69FE-8B4E-4FB1-972A-F8789DD972FB}" name="Column14333"/>
    <tableColumn id="14339" xr3:uid="{E6645739-D05D-4790-961F-0FE470858A52}" name="Column14334"/>
    <tableColumn id="14340" xr3:uid="{2CFB827F-E67F-4A57-934C-FADCD3E6E11E}" name="Column14335"/>
    <tableColumn id="14341" xr3:uid="{2203E91E-24FB-44EE-BD5E-4FB9EBD9A292}" name="Column14336"/>
    <tableColumn id="14342" xr3:uid="{426E5454-58EF-4193-B27E-E5F2C3DCF9A0}" name="Column14337"/>
    <tableColumn id="14343" xr3:uid="{84C55781-54B0-4778-ACE8-2E164BA7B923}" name="Column14338"/>
    <tableColumn id="14344" xr3:uid="{A33A53A0-9EF3-4AFC-BC06-FFFBF6AC0E4B}" name="Column14339"/>
    <tableColumn id="14345" xr3:uid="{75E204CE-BF33-430F-BADB-3AB97542A5F3}" name="Column14340"/>
    <tableColumn id="14346" xr3:uid="{7E1ED665-E1A4-4493-9F3E-D88683C27D30}" name="Column14341"/>
    <tableColumn id="14347" xr3:uid="{A7144201-0718-42F3-B2A5-6721FE8A85F5}" name="Column14342"/>
    <tableColumn id="14348" xr3:uid="{3C860242-5A39-4078-BE00-EF4418227FC0}" name="Column14343"/>
    <tableColumn id="14349" xr3:uid="{FC7C3972-321C-4298-82E4-21EDCEB3163B}" name="Column14344"/>
    <tableColumn id="14350" xr3:uid="{11609F4C-7CE0-4BE4-841B-FE09438AF75A}" name="Column14345"/>
    <tableColumn id="14351" xr3:uid="{5CF611F5-036D-404A-8DB9-A6C2B4C650E7}" name="Column14346"/>
    <tableColumn id="14352" xr3:uid="{9B0532AD-4776-46BC-8B9F-745521D9DCF3}" name="Column14347"/>
    <tableColumn id="14353" xr3:uid="{4E4FA4AC-B8C0-41EA-AF62-7599080FEF3E}" name="Column14348"/>
    <tableColumn id="14354" xr3:uid="{C0328F86-974F-4AD1-BAF0-CA7D3B6BC09C}" name="Column14349"/>
    <tableColumn id="14355" xr3:uid="{B7C95E05-36FB-4CF2-9264-7FF11D89DCA3}" name="Column14350"/>
    <tableColumn id="14356" xr3:uid="{421616B9-354C-4844-8E9A-7952BA600B0E}" name="Column14351"/>
    <tableColumn id="14357" xr3:uid="{3C1DBC00-0867-45BE-82A9-8E9C99FC57AB}" name="Column14352"/>
    <tableColumn id="14358" xr3:uid="{ED7B0D93-3A08-4AFA-928B-38491982CFBD}" name="Column14353"/>
    <tableColumn id="14359" xr3:uid="{6E2E29BF-0868-4B52-A480-16BF05822ED4}" name="Column14354"/>
    <tableColumn id="14360" xr3:uid="{E05ECB54-13FF-4944-A2F7-7C78E72C702A}" name="Column14355"/>
    <tableColumn id="14361" xr3:uid="{9C4BB77E-6B32-4EF5-9597-8AEAE3A3B166}" name="Column14356"/>
    <tableColumn id="14362" xr3:uid="{E43808BD-34AD-4C3A-8D19-13ACE47543DA}" name="Column14357"/>
    <tableColumn id="14363" xr3:uid="{818C4C7D-65E5-43B7-8782-9474652E34E0}" name="Column14358"/>
    <tableColumn id="14364" xr3:uid="{336C3D23-ABC0-4186-8D38-7C90914E9D98}" name="Column14359"/>
    <tableColumn id="14365" xr3:uid="{B7E0D552-43AF-42F6-9F8A-7A0C48C55D38}" name="Column14360"/>
    <tableColumn id="14366" xr3:uid="{2BB7584C-F901-4F13-9B29-DD18D4494AAB}" name="Column14361"/>
    <tableColumn id="14367" xr3:uid="{068F51A3-BC3C-4094-9975-CCE25A6F7153}" name="Column14362"/>
    <tableColumn id="14368" xr3:uid="{0B89EBDA-4D04-460C-9F19-63D7128BEB6F}" name="Column14363"/>
    <tableColumn id="14369" xr3:uid="{5032EF4A-42D3-4DA1-BCA6-7B1BC25BE43E}" name="Column14364"/>
    <tableColumn id="14370" xr3:uid="{9BA05983-4F06-4506-B61E-BA5CDE87BC53}" name="Column14365"/>
    <tableColumn id="14371" xr3:uid="{898B7216-E779-4EDD-99C3-EE64DA07EEDE}" name="Column14366"/>
    <tableColumn id="14372" xr3:uid="{4428426E-780D-4863-8137-503FA49C751A}" name="Column14367"/>
    <tableColumn id="14373" xr3:uid="{DEFA9C14-F22B-42D7-BC1B-9C723265FCD2}" name="Column14368"/>
    <tableColumn id="14374" xr3:uid="{7AB5EB7B-622A-41DE-8B3D-4E094AA07FC4}" name="Column14369"/>
    <tableColumn id="14375" xr3:uid="{8CA5C84F-B312-49DC-8FC7-81108DAF1F05}" name="Column14370"/>
    <tableColumn id="14376" xr3:uid="{5FA711EA-5262-45EF-89E8-D1D5EE9B744F}" name="Column14371"/>
    <tableColumn id="14377" xr3:uid="{4DAA6BD1-7AE7-42DC-8B61-8BE3EB2E967A}" name="Column14372"/>
    <tableColumn id="14378" xr3:uid="{C41EAB64-4D8F-4062-BAC3-D5A56C12024A}" name="Column14373"/>
    <tableColumn id="14379" xr3:uid="{C5E5D042-A871-4015-A061-A71ABD904FF9}" name="Column14374"/>
    <tableColumn id="14380" xr3:uid="{E492AC57-2094-41B3-825D-1CAC2C246898}" name="Column14375"/>
    <tableColumn id="14381" xr3:uid="{34B3AD6F-B36E-4F1C-9A28-94C952FB57DB}" name="Column14376"/>
    <tableColumn id="14382" xr3:uid="{C59819F3-718D-4D80-A651-0A8F2D72F180}" name="Column14377"/>
    <tableColumn id="14383" xr3:uid="{22D88CF0-2AD1-4317-BD5E-33D8FA6E38C0}" name="Column14378"/>
    <tableColumn id="14384" xr3:uid="{72EDF329-20F1-4AC1-8E91-E39321ABE841}" name="Column14379"/>
    <tableColumn id="14385" xr3:uid="{771FC15B-0151-4BA8-9010-18D90D409CA5}" name="Column14380"/>
    <tableColumn id="14386" xr3:uid="{ECCA1F2B-72B6-49F4-B0E9-B63E7C2979EC}" name="Column14381"/>
    <tableColumn id="14387" xr3:uid="{09264E49-0B38-40E6-9A72-9554FFA2D394}" name="Column14382"/>
    <tableColumn id="14388" xr3:uid="{CCEEC6C4-DE15-41F2-9182-05369CB97141}" name="Column14383"/>
    <tableColumn id="14389" xr3:uid="{946F315E-D71E-43E0-9747-ADDB2B877A5E}" name="Column14384"/>
    <tableColumn id="14390" xr3:uid="{4C56A165-A71F-42E2-835F-7B66E0636ABE}" name="Column14385"/>
    <tableColumn id="14391" xr3:uid="{F7968E68-B8D9-4BB2-B7D5-3A0CA12C3594}" name="Column14386"/>
    <tableColumn id="14392" xr3:uid="{9C8B2FBC-BA32-42BD-8943-9F20964132F3}" name="Column14387"/>
    <tableColumn id="14393" xr3:uid="{F72FDC6A-385F-417B-BCE4-005CEDE2B98B}" name="Column14388"/>
    <tableColumn id="14394" xr3:uid="{ED15C20D-D2A9-4E0A-A5B8-C5EEC20BC98E}" name="Column14389"/>
    <tableColumn id="14395" xr3:uid="{E1D3F727-C1EF-4569-8277-5D99FD84499D}" name="Column14390"/>
    <tableColumn id="14396" xr3:uid="{55A61644-6478-4540-9389-AA2D3755299B}" name="Column14391"/>
    <tableColumn id="14397" xr3:uid="{D666963A-4F66-445D-BBD9-D7F53F107973}" name="Column14392"/>
    <tableColumn id="14398" xr3:uid="{82F0CDEA-9143-4171-B269-83B6DCEEE0FC}" name="Column14393"/>
    <tableColumn id="14399" xr3:uid="{B6A9482B-48B2-4767-B0D7-EB713D9B4A02}" name="Column14394"/>
    <tableColumn id="14400" xr3:uid="{290005C5-7C81-49A7-A8F2-D313145CC5F4}" name="Column14395"/>
    <tableColumn id="14401" xr3:uid="{29025FEF-3CA7-4220-961E-83286E2C8D41}" name="Column14396"/>
    <tableColumn id="14402" xr3:uid="{999ED71E-92AF-4648-B565-AE3427E067BF}" name="Column14397"/>
    <tableColumn id="14403" xr3:uid="{69C89C5F-1F29-49F6-BF2D-85180610BA22}" name="Column14398"/>
    <tableColumn id="14404" xr3:uid="{CEA1F52D-9572-4211-A504-2C2EFFEB3852}" name="Column14399"/>
    <tableColumn id="14405" xr3:uid="{0B762EFF-7616-4A47-802C-8A81AC369133}" name="Column14400"/>
    <tableColumn id="14406" xr3:uid="{97E0318C-94E7-41B9-909E-C0F981B9688E}" name="Column14401"/>
    <tableColumn id="14407" xr3:uid="{C2C01C3C-CDB2-4F04-BA80-20A0BFA1FF69}" name="Column14402"/>
    <tableColumn id="14408" xr3:uid="{96386416-AAB4-4345-918F-CC670B2320E5}" name="Column14403"/>
    <tableColumn id="14409" xr3:uid="{0F5D135D-9DB6-4A34-8114-E94030DAA390}" name="Column14404"/>
    <tableColumn id="14410" xr3:uid="{8209A60D-55A2-4E1C-92D2-46CC43DA7582}" name="Column14405"/>
    <tableColumn id="14411" xr3:uid="{BE0ADC76-5A2B-4B70-842E-49532D20FFCA}" name="Column14406"/>
    <tableColumn id="14412" xr3:uid="{1E70BCCE-1E61-473F-B6E6-F19BA46B30CF}" name="Column14407"/>
    <tableColumn id="14413" xr3:uid="{4B9BA3C9-FCDB-4642-9AF8-C23102A51812}" name="Column14408"/>
    <tableColumn id="14414" xr3:uid="{C3755D26-A149-4AC5-B5D2-A33391D391A9}" name="Column14409"/>
    <tableColumn id="14415" xr3:uid="{94FECD76-7E91-454C-8F4B-932511E4C6C8}" name="Column14410"/>
    <tableColumn id="14416" xr3:uid="{5E7F4A8E-AA30-4706-B5E9-6630FC8A492B}" name="Column14411"/>
    <tableColumn id="14417" xr3:uid="{AA6CF218-27EB-4F0A-B5DE-30AFAA6BD415}" name="Column14412"/>
    <tableColumn id="14418" xr3:uid="{E27DB955-940D-48D1-A337-9246F52623C9}" name="Column14413"/>
    <tableColumn id="14419" xr3:uid="{E01B6E37-67F8-4488-89BF-8765FA6AAABF}" name="Column14414"/>
    <tableColumn id="14420" xr3:uid="{5C1FD480-D100-4CC5-9D08-3E5FC1CBE49C}" name="Column14415"/>
    <tableColumn id="14421" xr3:uid="{71DF1B63-6385-4A13-A57C-EAE0056122F4}" name="Column14416"/>
    <tableColumn id="14422" xr3:uid="{B7CB00BF-592C-435D-928A-E90627225A10}" name="Column14417"/>
    <tableColumn id="14423" xr3:uid="{F86E24E0-7417-4762-A340-7A1594E3703C}" name="Column14418"/>
    <tableColumn id="14424" xr3:uid="{ABFA8B73-73F5-4F29-B965-B30489EAFCE2}" name="Column14419"/>
    <tableColumn id="14425" xr3:uid="{192210B1-C26B-4591-BB06-A24391FBFE26}" name="Column14420"/>
    <tableColumn id="14426" xr3:uid="{A807AF0B-DF9E-45C4-A7FD-900DFA179240}" name="Column14421"/>
    <tableColumn id="14427" xr3:uid="{5CB7665C-3746-4B5B-A42F-7B2910105F6B}" name="Column14422"/>
    <tableColumn id="14428" xr3:uid="{051A4915-F74D-4954-9A92-2A782552EA63}" name="Column14423"/>
    <tableColumn id="14429" xr3:uid="{208F6240-D6FA-4442-B2EA-CFE53D4EB22E}" name="Column14424"/>
    <tableColumn id="14430" xr3:uid="{5D6C592C-2CCF-488C-92B2-C029AB095D11}" name="Column14425"/>
    <tableColumn id="14431" xr3:uid="{581329E5-8C08-4DAE-8E22-5CBCEFF04D13}" name="Column14426"/>
    <tableColumn id="14432" xr3:uid="{C3E9580F-6F7B-4C38-8A0E-FE80BB615F66}" name="Column14427"/>
    <tableColumn id="14433" xr3:uid="{7266ECFE-A76D-4F68-8AC9-7C05A38A2A4A}" name="Column14428"/>
    <tableColumn id="14434" xr3:uid="{666AFA71-C4C8-466F-AF57-EDAC6565AB5C}" name="Column14429"/>
    <tableColumn id="14435" xr3:uid="{57F6C319-8EE3-4AFB-A3CC-8959E932D898}" name="Column14430"/>
    <tableColumn id="14436" xr3:uid="{3EEE2A75-9967-491C-B986-0203E47F7E7A}" name="Column14431"/>
    <tableColumn id="14437" xr3:uid="{B6880D2B-CE7C-4129-9F1D-4C2D3E77B5AC}" name="Column14432"/>
    <tableColumn id="14438" xr3:uid="{49FAF8AF-0074-44DB-903C-33214686EB4B}" name="Column14433"/>
    <tableColumn id="14439" xr3:uid="{C0A6D81B-05B3-48B9-987F-6C1834A2C5BE}" name="Column14434"/>
    <tableColumn id="14440" xr3:uid="{2F8CFEEE-0CC2-412E-AD95-94375F92AB85}" name="Column14435"/>
    <tableColumn id="14441" xr3:uid="{D9CC9F3E-EBA9-4EBC-85D9-07C80B9EE5FA}" name="Column14436"/>
    <tableColumn id="14442" xr3:uid="{713D0F18-3EE3-44F1-8F25-6039C84A796F}" name="Column14437"/>
    <tableColumn id="14443" xr3:uid="{D11CEF80-BBDC-4ABD-9B22-6B5CA92B28C3}" name="Column14438"/>
    <tableColumn id="14444" xr3:uid="{933138F4-E669-4E34-8173-A6B134A89B6D}" name="Column14439"/>
    <tableColumn id="14445" xr3:uid="{EBAA345E-5E46-4114-986E-572951152A04}" name="Column14440"/>
    <tableColumn id="14446" xr3:uid="{D724815D-64B7-4BC6-BEAE-6E54C5FE5D61}" name="Column14441"/>
    <tableColumn id="14447" xr3:uid="{8112DEAE-0192-42C6-BA35-EFBCEBE71C5A}" name="Column14442"/>
    <tableColumn id="14448" xr3:uid="{F4C1CD82-43A9-44AA-AF6B-E7B72D2325B0}" name="Column14443"/>
    <tableColumn id="14449" xr3:uid="{58FA2EA2-B2B5-464A-8392-1BF7AB339D45}" name="Column14444"/>
    <tableColumn id="14450" xr3:uid="{78C8F935-BC83-4F6E-AEB9-6FE772EE88E2}" name="Column14445"/>
    <tableColumn id="14451" xr3:uid="{45CD05A2-801D-4EA9-B8FB-171606A3C984}" name="Column14446"/>
    <tableColumn id="14452" xr3:uid="{ECBDF220-FB9A-4691-ACEF-2C2EDB3BE1B8}" name="Column14447"/>
    <tableColumn id="14453" xr3:uid="{10D15BAB-1517-4383-B6FE-A3D077A4FA1F}" name="Column14448"/>
    <tableColumn id="14454" xr3:uid="{EF7E785F-580E-43C4-BB3B-5F455C25874F}" name="Column14449"/>
    <tableColumn id="14455" xr3:uid="{3D11A769-8930-44D1-998D-017370049512}" name="Column14450"/>
    <tableColumn id="14456" xr3:uid="{3DD8D73F-D8A0-4626-89C4-F944446A5888}" name="Column14451"/>
    <tableColumn id="14457" xr3:uid="{8FE7C3AC-BF61-469B-8668-649D0C627E32}" name="Column14452"/>
    <tableColumn id="14458" xr3:uid="{82817E5A-302C-437B-8845-83D75BFB093E}" name="Column14453"/>
    <tableColumn id="14459" xr3:uid="{6FE89A0D-7093-4549-924D-1FE4D7157EE2}" name="Column14454"/>
    <tableColumn id="14460" xr3:uid="{2F5FD027-6602-4EC9-8D4A-CA968480A94F}" name="Column14455"/>
    <tableColumn id="14461" xr3:uid="{9883399D-F975-4CCA-9335-70941CF183C5}" name="Column14456"/>
    <tableColumn id="14462" xr3:uid="{5803EAE8-5C49-4645-9EA8-CF35BB827E0A}" name="Column14457"/>
    <tableColumn id="14463" xr3:uid="{5CAB02BF-ABC4-4BEA-B219-E90A99C29D16}" name="Column14458"/>
    <tableColumn id="14464" xr3:uid="{D8ECC33D-AF45-4348-B733-0EF129185858}" name="Column14459"/>
    <tableColumn id="14465" xr3:uid="{E5F69319-D146-4703-A0C7-CF38131F3453}" name="Column14460"/>
    <tableColumn id="14466" xr3:uid="{DC7A0D64-7999-454B-85D7-3216B759B1DD}" name="Column14461"/>
    <tableColumn id="14467" xr3:uid="{BB6E9C00-B5B5-4259-9362-66937C2276E2}" name="Column14462"/>
    <tableColumn id="14468" xr3:uid="{7374A05F-68AE-4106-B3B2-A781A339DD7D}" name="Column14463"/>
    <tableColumn id="14469" xr3:uid="{0D1CCCFD-CB84-4F53-8D9D-52F3D544DD03}" name="Column14464"/>
    <tableColumn id="14470" xr3:uid="{1665D5E7-5F1E-4F16-953E-BF113FE48843}" name="Column14465"/>
    <tableColumn id="14471" xr3:uid="{EFA9958D-938D-431F-B36C-3749DF9B446C}" name="Column14466"/>
    <tableColumn id="14472" xr3:uid="{081524C4-F16C-465C-863C-A8DC5B6B4F67}" name="Column14467"/>
    <tableColumn id="14473" xr3:uid="{743D45C9-5444-4833-82AA-87D8E3847190}" name="Column14468"/>
    <tableColumn id="14474" xr3:uid="{E2E71418-D03F-4D47-84DD-F1896C128D83}" name="Column14469"/>
    <tableColumn id="14475" xr3:uid="{9583A37C-A684-4D4F-BDA8-0DC3E8D01D77}" name="Column14470"/>
    <tableColumn id="14476" xr3:uid="{7C8607C7-26E6-49F4-B170-296519D36038}" name="Column14471"/>
    <tableColumn id="14477" xr3:uid="{60D5815C-39E7-4F20-A1B7-58DA9AC37BE1}" name="Column14472"/>
    <tableColumn id="14478" xr3:uid="{C0BC8E37-BCEE-4895-965B-3C9350D1F5B6}" name="Column14473"/>
    <tableColumn id="14479" xr3:uid="{FC8187E8-6782-4C65-ACE8-949F121C4465}" name="Column14474"/>
    <tableColumn id="14480" xr3:uid="{86F94D86-4401-4672-BB3E-7BC44BA193F6}" name="Column14475"/>
    <tableColumn id="14481" xr3:uid="{8E260D51-BB30-4D74-9EC8-33E22F59BF8A}" name="Column14476"/>
    <tableColumn id="14482" xr3:uid="{2403DD79-23DE-4A14-A6DA-7C276CEDF461}" name="Column14477"/>
    <tableColumn id="14483" xr3:uid="{0397EDAB-1B36-441A-82A1-ABF951151B7D}" name="Column14478"/>
    <tableColumn id="14484" xr3:uid="{98BD9F77-3E9F-4B5D-856B-78DDF6D0D6C4}" name="Column14479"/>
    <tableColumn id="14485" xr3:uid="{48284DA0-12BD-41F3-9262-5837F6559D00}" name="Column14480"/>
    <tableColumn id="14486" xr3:uid="{D42C63DB-5564-4C47-8226-797A24DB2877}" name="Column14481"/>
    <tableColumn id="14487" xr3:uid="{57D17921-D787-41CD-B6B5-C3D61D66A0AE}" name="Column14482"/>
    <tableColumn id="14488" xr3:uid="{EB466F48-14BF-42E7-A34F-D8F8F3478E97}" name="Column14483"/>
    <tableColumn id="14489" xr3:uid="{F5FE51B1-7734-4B51-97A3-8179E9D16B78}" name="Column14484"/>
    <tableColumn id="14490" xr3:uid="{23387B2E-E602-4653-9470-CC7BC9467ECF}" name="Column14485"/>
    <tableColumn id="14491" xr3:uid="{04D3BF34-EB47-4BFD-B798-F8CDA1950EFB}" name="Column14486"/>
    <tableColumn id="14492" xr3:uid="{43E1159A-843A-4AED-AE59-43490CE73F3C}" name="Column14487"/>
    <tableColumn id="14493" xr3:uid="{DA676FD2-9D8D-4213-B2FC-84EAC00AA39C}" name="Column14488"/>
    <tableColumn id="14494" xr3:uid="{232FF01F-A213-4BD6-8321-BC3F0B131AC5}" name="Column14489"/>
    <tableColumn id="14495" xr3:uid="{F395B9F6-5177-4ACA-A8B0-12A449207CFF}" name="Column14490"/>
    <tableColumn id="14496" xr3:uid="{B90D200E-5D6E-47B1-834D-602634D3BCB0}" name="Column14491"/>
    <tableColumn id="14497" xr3:uid="{133E674B-5FEF-47FC-8FC4-36C6D87C6655}" name="Column14492"/>
    <tableColumn id="14498" xr3:uid="{1E00356B-D14E-443C-AC36-5B7B425EE434}" name="Column14493"/>
    <tableColumn id="14499" xr3:uid="{E09BED65-2933-429C-B363-D52ED7F22820}" name="Column14494"/>
    <tableColumn id="14500" xr3:uid="{2FD773D2-2DD4-40EF-93A2-4E5B3FE1939B}" name="Column14495"/>
    <tableColumn id="14501" xr3:uid="{5193039C-DD3A-406A-B856-87890E50FBE0}" name="Column14496"/>
    <tableColumn id="14502" xr3:uid="{54F650DD-206A-47E4-ABEB-B88DD8DF1BDB}" name="Column14497"/>
    <tableColumn id="14503" xr3:uid="{F6CA6B7B-8EAA-4EF8-A53E-BD0BE7096184}" name="Column14498"/>
    <tableColumn id="14504" xr3:uid="{2544DC83-3A26-4539-AF06-743451598EA7}" name="Column14499"/>
    <tableColumn id="14505" xr3:uid="{AA14D311-3B44-4700-9EF7-4E85C6AF939C}" name="Column14500"/>
    <tableColumn id="14506" xr3:uid="{5278F15B-B0E4-42AA-A807-456CA1496CED}" name="Column14501"/>
    <tableColumn id="14507" xr3:uid="{D988D408-A6C4-4223-A1D8-8B04F3777D26}" name="Column14502"/>
    <tableColumn id="14508" xr3:uid="{5D94EACE-0258-4703-9135-A878380AE502}" name="Column14503"/>
    <tableColumn id="14509" xr3:uid="{E4F638F3-95E2-465F-A6D0-D8524AE99542}" name="Column14504"/>
    <tableColumn id="14510" xr3:uid="{FBBB1C49-41E0-4D9C-852F-996EA3FE3117}" name="Column14505"/>
    <tableColumn id="14511" xr3:uid="{385292BB-FB62-4FC1-9B1D-C95F8733AA03}" name="Column14506"/>
    <tableColumn id="14512" xr3:uid="{00A3F5CC-808B-4C14-85B1-CA1980EA6EE4}" name="Column14507"/>
    <tableColumn id="14513" xr3:uid="{B4EC4DF0-57A8-4716-AACD-545A76C45EC5}" name="Column14508"/>
    <tableColumn id="14514" xr3:uid="{2BAC23F5-E80F-4678-A136-2D759B626952}" name="Column14509"/>
    <tableColumn id="14515" xr3:uid="{29DE2586-E275-4476-A69B-F304E4E4D548}" name="Column14510"/>
    <tableColumn id="14516" xr3:uid="{C82EA8F5-4787-44F2-9812-D891283E1014}" name="Column14511"/>
    <tableColumn id="14517" xr3:uid="{01C1283B-ADF1-4C79-83BC-B4D9C5178B50}" name="Column14512"/>
    <tableColumn id="14518" xr3:uid="{606E8694-7D8A-4CB0-9354-C1A865A438A5}" name="Column14513"/>
    <tableColumn id="14519" xr3:uid="{D8E8BD36-F06E-4101-8CFF-A9FDE36F407E}" name="Column14514"/>
    <tableColumn id="14520" xr3:uid="{CA5BD818-B4F4-4A79-A2B7-389D718C5FA8}" name="Column14515"/>
    <tableColumn id="14521" xr3:uid="{CE3DBB66-41DB-40F9-A0CD-DED23C896FCC}" name="Column14516"/>
    <tableColumn id="14522" xr3:uid="{33A2C73F-CFB8-478B-8697-BFF2B61789B8}" name="Column14517"/>
    <tableColumn id="14523" xr3:uid="{7419ED3E-1C2B-49F8-A50D-E6C1E797D539}" name="Column14518"/>
    <tableColumn id="14524" xr3:uid="{1703E38E-3DAD-4D5D-96DF-1BA327DCD6C6}" name="Column14519"/>
    <tableColumn id="14525" xr3:uid="{6CCC8496-CEED-45B5-8A12-B81D392AA5D6}" name="Column14520"/>
    <tableColumn id="14526" xr3:uid="{5693ED84-335C-4DA7-BB83-565C9CFE4F3B}" name="Column14521"/>
    <tableColumn id="14527" xr3:uid="{7B00D4CF-2BC7-4F05-B711-466CA28396B2}" name="Column14522"/>
    <tableColumn id="14528" xr3:uid="{502057D2-0A8F-496E-80C9-4DB87DA66AF5}" name="Column14523"/>
    <tableColumn id="14529" xr3:uid="{4512F6CF-5529-4223-A01D-B30F0AE7CB6E}" name="Column14524"/>
    <tableColumn id="14530" xr3:uid="{58C947BF-6D92-4C29-B42A-8D662577D276}" name="Column14525"/>
    <tableColumn id="14531" xr3:uid="{70AE91A6-11C1-4FEB-B351-47E2FBD73A21}" name="Column14526"/>
    <tableColumn id="14532" xr3:uid="{71A4683B-5368-419D-B32E-D27316A877AC}" name="Column14527"/>
    <tableColumn id="14533" xr3:uid="{EDA000BA-934D-44FB-88A2-34A79B3A04B9}" name="Column14528"/>
    <tableColumn id="14534" xr3:uid="{96CA4582-60C6-4E7A-8E6B-CBC895350E57}" name="Column14529"/>
    <tableColumn id="14535" xr3:uid="{DF10F8D0-22B0-4DC6-B750-045B08361B63}" name="Column14530"/>
    <tableColumn id="14536" xr3:uid="{60C8CCF8-CCB0-44BA-AD00-4186446CA860}" name="Column14531"/>
    <tableColumn id="14537" xr3:uid="{6BFE65E9-E738-4C19-821B-A43B8F00D5E6}" name="Column14532"/>
    <tableColumn id="14538" xr3:uid="{FD7D364E-4DA0-4329-AC00-81718EA6A774}" name="Column14533"/>
    <tableColumn id="14539" xr3:uid="{C07A7187-EE41-481B-A940-2E4BAAD2CFA0}" name="Column14534"/>
    <tableColumn id="14540" xr3:uid="{DBE164F5-2241-418E-8B23-8F0FC1C83C2B}" name="Column14535"/>
    <tableColumn id="14541" xr3:uid="{DFFADC98-0B89-4B93-AB97-CB0F4382F24D}" name="Column14536"/>
    <tableColumn id="14542" xr3:uid="{34328D93-A8FE-4ACA-9F90-7E255A56BE28}" name="Column14537"/>
    <tableColumn id="14543" xr3:uid="{FC224CAE-8B25-4600-903C-DE7AC034D3C3}" name="Column14538"/>
    <tableColumn id="14544" xr3:uid="{A473D2E6-605E-456B-BF42-85A67F2D606B}" name="Column14539"/>
    <tableColumn id="14545" xr3:uid="{D0A4AD4E-DBBE-4213-8094-8ADBED6CDD05}" name="Column14540"/>
    <tableColumn id="14546" xr3:uid="{FDA7EE89-6DAE-4EB4-B639-150F004FD587}" name="Column14541"/>
    <tableColumn id="14547" xr3:uid="{6DE0C69D-F1FA-46D0-A469-63234D17A73C}" name="Column14542"/>
    <tableColumn id="14548" xr3:uid="{FA1052B1-3814-4DD3-B395-21E1FC73CF3F}" name="Column14543"/>
    <tableColumn id="14549" xr3:uid="{C785D996-DAD8-4C9A-9595-A921F2E1C602}" name="Column14544"/>
    <tableColumn id="14550" xr3:uid="{0873D015-E934-4DC9-BBFA-A6A2D2226FFC}" name="Column14545"/>
    <tableColumn id="14551" xr3:uid="{32A667DA-134E-4850-B3FB-87A74DFD2307}" name="Column14546"/>
    <tableColumn id="14552" xr3:uid="{45CED998-6175-48B3-BA31-DBE05F7B2A1D}" name="Column14547"/>
    <tableColumn id="14553" xr3:uid="{B8968CA5-2B57-471C-A487-A4F1E950A34B}" name="Column14548"/>
    <tableColumn id="14554" xr3:uid="{00309C1F-FB06-4AF0-BF20-AB28807CDF62}" name="Column14549"/>
    <tableColumn id="14555" xr3:uid="{F947C38B-6C46-43B4-B7F7-8DB4EC79C801}" name="Column14550"/>
    <tableColumn id="14556" xr3:uid="{13A91A6E-CADA-4F68-9954-87EA7EBD8DE9}" name="Column14551"/>
    <tableColumn id="14557" xr3:uid="{30CA32FA-8CCC-4069-9A1A-815BBEA4FD1A}" name="Column14552"/>
    <tableColumn id="14558" xr3:uid="{A32B19E1-06AF-4A29-9536-CD8941DE0B1D}" name="Column14553"/>
    <tableColumn id="14559" xr3:uid="{1C7796F6-1436-4C66-80B1-B3D109447676}" name="Column14554"/>
    <tableColumn id="14560" xr3:uid="{BA60F4B2-41B3-42C6-943D-94242C09A4E5}" name="Column14555"/>
    <tableColumn id="14561" xr3:uid="{2EBD5AC5-0BC8-4648-9F92-DD625F8875BF}" name="Column14556"/>
    <tableColumn id="14562" xr3:uid="{60117955-A37F-4661-A1D8-91BB6D968D64}" name="Column14557"/>
    <tableColumn id="14563" xr3:uid="{7070886B-B664-494D-96C6-8EBBF21E3B4C}" name="Column14558"/>
    <tableColumn id="14564" xr3:uid="{778E0ED4-B7BC-4786-9EDC-D327EEB33EA6}" name="Column14559"/>
    <tableColumn id="14565" xr3:uid="{69754AAC-88B2-4641-AE04-EB6CD55E30E2}" name="Column14560"/>
    <tableColumn id="14566" xr3:uid="{A9280D61-ABCD-4FD3-A906-7567BB824F21}" name="Column14561"/>
    <tableColumn id="14567" xr3:uid="{58E5AEBB-A00A-4AD5-96EA-CA7F6F34C88E}" name="Column14562"/>
    <tableColumn id="14568" xr3:uid="{3F6F941B-4B74-4E72-85F9-1DFA9DAD1B26}" name="Column14563"/>
    <tableColumn id="14569" xr3:uid="{E07ACBEA-4622-4B76-979F-4F65FA33EFC8}" name="Column14564"/>
    <tableColumn id="14570" xr3:uid="{40BA323F-3816-4321-BA19-3D9B7D777982}" name="Column14565"/>
    <tableColumn id="14571" xr3:uid="{9C110A18-D00D-453C-96F5-14BCF566E3B2}" name="Column14566"/>
    <tableColumn id="14572" xr3:uid="{8F3AD228-614C-49A3-93F9-DB5F7106D087}" name="Column14567"/>
    <tableColumn id="14573" xr3:uid="{E1D38C44-A7A4-4609-BFD2-7866CF65DB97}" name="Column14568"/>
    <tableColumn id="14574" xr3:uid="{528C10AF-788C-44E2-84CC-F761093A28CC}" name="Column14569"/>
    <tableColumn id="14575" xr3:uid="{DA41E7BE-37C4-4387-817C-332368D990F2}" name="Column14570"/>
    <tableColumn id="14576" xr3:uid="{113613AA-D48C-4134-8BBF-29CA87194178}" name="Column14571"/>
    <tableColumn id="14577" xr3:uid="{C0ED8C3B-EA1D-4E9B-A4FA-0386F829A6EE}" name="Column14572"/>
    <tableColumn id="14578" xr3:uid="{6ECFA8F2-1473-413A-A1D6-290A47B21060}" name="Column14573"/>
    <tableColumn id="14579" xr3:uid="{E4BAFDD1-C7D8-492B-8395-A1807843C893}" name="Column14574"/>
    <tableColumn id="14580" xr3:uid="{05E10FE2-5BF8-4150-9D26-813BC901267F}" name="Column14575"/>
    <tableColumn id="14581" xr3:uid="{53D10B6D-FAA0-4F0B-8E61-C5C847B6184B}" name="Column14576"/>
    <tableColumn id="14582" xr3:uid="{D9BA60D5-C699-44C6-9EFF-AD70362FA9E7}" name="Column14577"/>
    <tableColumn id="14583" xr3:uid="{CB4C0480-D392-4DD9-AC97-05E418F0B0A1}" name="Column14578"/>
    <tableColumn id="14584" xr3:uid="{48ECAEA2-2100-4B78-838A-6F8607C199FA}" name="Column14579"/>
    <tableColumn id="14585" xr3:uid="{673A9B39-8C08-4462-B27A-D0D1A6434DE2}" name="Column14580"/>
    <tableColumn id="14586" xr3:uid="{03BE80EE-208E-4874-9D02-BF4699FF2085}" name="Column14581"/>
    <tableColumn id="14587" xr3:uid="{4144ECB7-88C5-4B12-8788-42196124FB8D}" name="Column14582"/>
    <tableColumn id="14588" xr3:uid="{5C3C1068-6ABB-4DDD-8D0B-17427AAC20EE}" name="Column14583"/>
    <tableColumn id="14589" xr3:uid="{D639A01A-35F0-49CE-A669-7E85DC796828}" name="Column14584"/>
    <tableColumn id="14590" xr3:uid="{6FE54D08-04FC-4D28-9465-94B2896440FE}" name="Column14585"/>
    <tableColumn id="14591" xr3:uid="{86C20E5A-5F4B-4626-9FBC-2FE1C614EFBC}" name="Column14586"/>
    <tableColumn id="14592" xr3:uid="{C5E8C095-4A4B-4D52-8C06-C3BC091B2AA1}" name="Column14587"/>
    <tableColumn id="14593" xr3:uid="{AB4CD016-D9B4-44F8-88B9-488B42DFBE6D}" name="Column14588"/>
    <tableColumn id="14594" xr3:uid="{09AC930E-D4F3-4CD2-A803-67C98709B1B3}" name="Column14589"/>
    <tableColumn id="14595" xr3:uid="{D18EC7B0-1FCC-4981-8774-2AEBC7470A28}" name="Column14590"/>
    <tableColumn id="14596" xr3:uid="{479097E0-A59E-4422-81B9-776E5E565606}" name="Column14591"/>
    <tableColumn id="14597" xr3:uid="{1307342D-C3F6-42C6-9340-CBE23E180D29}" name="Column14592"/>
    <tableColumn id="14598" xr3:uid="{B0CAF73C-7EF9-4622-ABD8-887C3EFC9E61}" name="Column14593"/>
    <tableColumn id="14599" xr3:uid="{D721A01E-7663-4AD8-B167-6CB5BD4819AE}" name="Column14594"/>
    <tableColumn id="14600" xr3:uid="{ED118281-CAA1-4C27-A789-64A2713947C7}" name="Column14595"/>
    <tableColumn id="14601" xr3:uid="{10D45937-DBF3-4281-B8B1-DEB477F52FED}" name="Column14596"/>
    <tableColumn id="14602" xr3:uid="{839191F6-B80A-416C-BE92-74BACE395BD2}" name="Column14597"/>
    <tableColumn id="14603" xr3:uid="{A8B97D6C-2BD4-4525-B02A-9546DCF59D75}" name="Column14598"/>
    <tableColumn id="14604" xr3:uid="{3B22834E-2922-4440-9A05-CFDE69E7232D}" name="Column14599"/>
    <tableColumn id="14605" xr3:uid="{9DD00119-F87F-44DB-B476-6937BBAA8FE7}" name="Column14600"/>
    <tableColumn id="14606" xr3:uid="{2A2C5DC5-4436-48E8-A872-70C5267BE208}" name="Column14601"/>
    <tableColumn id="14607" xr3:uid="{5EB7719D-C3E6-4266-AF1F-7AEFFC73B18D}" name="Column14602"/>
    <tableColumn id="14608" xr3:uid="{7C07E91D-1A5B-434F-B417-EE350AE55BE4}" name="Column14603"/>
    <tableColumn id="14609" xr3:uid="{864CE9DE-48CF-4B15-AA2E-485CF9E0C7CE}" name="Column14604"/>
    <tableColumn id="14610" xr3:uid="{4F27526A-8BBB-4E2E-9E1C-F37A97F33C28}" name="Column14605"/>
    <tableColumn id="14611" xr3:uid="{CCEB3E58-6329-455B-AE6E-D52BCE986A91}" name="Column14606"/>
    <tableColumn id="14612" xr3:uid="{30261F50-C081-4CA4-A01D-C0E9FDD8F4C4}" name="Column14607"/>
    <tableColumn id="14613" xr3:uid="{9B4A3DDD-3DE9-4EF3-A9AA-4ABE507D7A2C}" name="Column14608"/>
    <tableColumn id="14614" xr3:uid="{D5CFB22F-AC0F-40A8-9D13-F49C8E247FCD}" name="Column14609"/>
    <tableColumn id="14615" xr3:uid="{677AD00A-8F26-43B9-AE4E-62FFFEDFDB8B}" name="Column14610"/>
    <tableColumn id="14616" xr3:uid="{EC72578B-679C-4C08-8F50-B05BA3D9D780}" name="Column14611"/>
    <tableColumn id="14617" xr3:uid="{644E66B5-D0E6-437D-AE3A-BC42685B0841}" name="Column14612"/>
    <tableColumn id="14618" xr3:uid="{D492F5C5-09C1-453B-9410-6B907EC73A1F}" name="Column14613"/>
    <tableColumn id="14619" xr3:uid="{505C9B21-CA6B-4C51-9F95-3BFD1D981E9E}" name="Column14614"/>
    <tableColumn id="14620" xr3:uid="{B3B188C2-A4D2-4000-8F9D-2C217F8FE37E}" name="Column14615"/>
    <tableColumn id="14621" xr3:uid="{D463370C-F0ED-4D42-81F2-418643578E46}" name="Column14616"/>
    <tableColumn id="14622" xr3:uid="{22DE3461-9230-4F13-B091-D0DA629399B8}" name="Column14617"/>
    <tableColumn id="14623" xr3:uid="{F4487AAB-BE48-43BD-A904-D8C827268369}" name="Column14618"/>
    <tableColumn id="14624" xr3:uid="{EBB1C7FB-E85C-4A1F-8C79-2AA20A778FEE}" name="Column14619"/>
    <tableColumn id="14625" xr3:uid="{2AB1DA4F-33B2-4B56-AE9E-C18AD6BC01B7}" name="Column14620"/>
    <tableColumn id="14626" xr3:uid="{21ACD723-952A-487A-86C1-E8E8275C11C9}" name="Column14621"/>
    <tableColumn id="14627" xr3:uid="{83F24BBD-2913-458A-B2D0-A3500D015022}" name="Column14622"/>
    <tableColumn id="14628" xr3:uid="{080BC090-DDFA-4189-8DB8-9E96EA2A9F34}" name="Column14623"/>
    <tableColumn id="14629" xr3:uid="{1D6EADCE-C78E-4486-BD8F-DE960B56D1AE}" name="Column14624"/>
    <tableColumn id="14630" xr3:uid="{D16C5586-45CE-4392-9685-4CC552CCB730}" name="Column14625"/>
    <tableColumn id="14631" xr3:uid="{F40CE4F6-6767-42F2-B086-BC03E856FBB1}" name="Column14626"/>
    <tableColumn id="14632" xr3:uid="{3914292F-D346-4388-A591-58F4F466C386}" name="Column14627"/>
    <tableColumn id="14633" xr3:uid="{6535DE92-F46F-4458-A3A1-AD92BBE7B73E}" name="Column14628"/>
    <tableColumn id="14634" xr3:uid="{8033A427-CF63-47B7-8847-1CE1D82ADE1F}" name="Column14629"/>
    <tableColumn id="14635" xr3:uid="{898DBF40-AA15-4458-B736-86BB492E62B2}" name="Column14630"/>
    <tableColumn id="14636" xr3:uid="{1CCB383A-316B-4D6F-8133-24B1C29C0EDE}" name="Column14631"/>
    <tableColumn id="14637" xr3:uid="{717B97EF-022A-47B5-9522-CBFAB174BF3D}" name="Column14632"/>
    <tableColumn id="14638" xr3:uid="{BC551ACC-E081-443A-BC5E-E84595D72959}" name="Column14633"/>
    <tableColumn id="14639" xr3:uid="{7414A910-27E4-4027-8CB6-0FDCB34DB44D}" name="Column14634"/>
    <tableColumn id="14640" xr3:uid="{729405DB-4B01-44EE-AB58-974A70A71551}" name="Column14635"/>
    <tableColumn id="14641" xr3:uid="{F876E57D-ADED-48C2-A3E1-E19BA0E60E09}" name="Column14636"/>
    <tableColumn id="14642" xr3:uid="{05A7635C-C84D-414B-892E-7EEFA9783DAB}" name="Column14637"/>
    <tableColumn id="14643" xr3:uid="{6B13489E-B21B-4668-B4CD-34A480886958}" name="Column14638"/>
    <tableColumn id="14644" xr3:uid="{A3E7B407-DBA8-46F8-B467-7DABE9583375}" name="Column14639"/>
    <tableColumn id="14645" xr3:uid="{6D907C93-4178-4ADF-A13E-3AD9EE27421E}" name="Column14640"/>
    <tableColumn id="14646" xr3:uid="{889EFA7E-5074-413D-81F9-257C938AC720}" name="Column14641"/>
    <tableColumn id="14647" xr3:uid="{3FE324D3-7561-4572-B350-1DC174431234}" name="Column14642"/>
    <tableColumn id="14648" xr3:uid="{C5FE20D1-C6F2-4754-817E-9659D1AB7DD0}" name="Column14643"/>
    <tableColumn id="14649" xr3:uid="{B7C60F93-B83A-4282-B405-9F4E69C70233}" name="Column14644"/>
    <tableColumn id="14650" xr3:uid="{3D70FAC4-90DB-4FEB-A606-AD79E08202A2}" name="Column14645"/>
    <tableColumn id="14651" xr3:uid="{22CA75D7-5474-4D68-9998-D160726C4769}" name="Column14646"/>
    <tableColumn id="14652" xr3:uid="{FAE7254F-2ED5-4D5F-ADDD-1F9ED2AF8BCA}" name="Column14647"/>
    <tableColumn id="14653" xr3:uid="{C2F84E04-319B-4C9B-A9A0-41C12859EC05}" name="Column14648"/>
    <tableColumn id="14654" xr3:uid="{FEB761FA-BAB3-43C8-B07B-93511F749E25}" name="Column14649"/>
    <tableColumn id="14655" xr3:uid="{2DCEE5A2-9EB4-4277-A26F-2209B898EB17}" name="Column14650"/>
    <tableColumn id="14656" xr3:uid="{324F7C97-99C2-4E08-BF03-7C2113AF1FD3}" name="Column14651"/>
    <tableColumn id="14657" xr3:uid="{DE142D1A-CA2F-4152-A97D-71A7483A87E1}" name="Column14652"/>
    <tableColumn id="14658" xr3:uid="{03BC1C19-663A-4E57-83FD-3EC49CB3E1FD}" name="Column14653"/>
    <tableColumn id="14659" xr3:uid="{3DE475C8-0E48-4D15-884E-32DDE4A99725}" name="Column14654"/>
    <tableColumn id="14660" xr3:uid="{18FA9F9A-7224-407C-BDAA-30F42011A528}" name="Column14655"/>
    <tableColumn id="14661" xr3:uid="{8749AE44-D242-457C-9C07-35ABBF8498FE}" name="Column14656"/>
    <tableColumn id="14662" xr3:uid="{72F57F05-B07E-4BF5-9AA8-D905715BD845}" name="Column14657"/>
    <tableColumn id="14663" xr3:uid="{0D7EB88A-BEA9-4447-9445-97E1C534D459}" name="Column14658"/>
    <tableColumn id="14664" xr3:uid="{C8DEA499-72AB-4A43-89F3-437828215337}" name="Column14659"/>
    <tableColumn id="14665" xr3:uid="{A15908AD-51B9-416D-B1BB-2136E790EC6A}" name="Column14660"/>
    <tableColumn id="14666" xr3:uid="{F7E39318-630C-487C-85AC-1AE0413A06CC}" name="Column14661"/>
    <tableColumn id="14667" xr3:uid="{3FBE1958-FB59-4329-AC19-204508B38984}" name="Column14662"/>
    <tableColumn id="14668" xr3:uid="{6E0CCB57-A081-4AB7-8274-47EEA059EFC0}" name="Column14663"/>
    <tableColumn id="14669" xr3:uid="{82B18649-ADCB-4DA6-8546-79FADB6E6CF5}" name="Column14664"/>
    <tableColumn id="14670" xr3:uid="{9FD80F6C-4CBF-4BEF-A410-796814E1C99B}" name="Column14665"/>
    <tableColumn id="14671" xr3:uid="{D636B602-E0B9-4083-80BF-9D521B33EF2D}" name="Column14666"/>
    <tableColumn id="14672" xr3:uid="{CDD51851-C949-4FD2-976A-EFE7E5EEA5FC}" name="Column14667"/>
    <tableColumn id="14673" xr3:uid="{E0B59B58-9A4F-4185-ABBA-D3EB395AC153}" name="Column14668"/>
    <tableColumn id="14674" xr3:uid="{EAFD8214-97CF-404A-B67C-FAD9D6318535}" name="Column14669"/>
    <tableColumn id="14675" xr3:uid="{5BA48F53-D63C-4C57-A5A5-69D6510A0A08}" name="Column14670"/>
    <tableColumn id="14676" xr3:uid="{49A26B59-200C-4468-B1FC-A576F26BF6EA}" name="Column14671"/>
    <tableColumn id="14677" xr3:uid="{BBCA7A18-E4D4-445C-8DFA-7EDCCCC6948D}" name="Column14672"/>
    <tableColumn id="14678" xr3:uid="{6DE829C0-E844-4072-B81F-91CEB7CD37BB}" name="Column14673"/>
    <tableColumn id="14679" xr3:uid="{43825A17-7BAB-4C52-9D60-67C231BA0995}" name="Column14674"/>
    <tableColumn id="14680" xr3:uid="{077168F9-1522-4354-975B-9E2EC8BB8EFC}" name="Column14675"/>
    <tableColumn id="14681" xr3:uid="{0CA9769F-B679-4631-AB8E-E94F2A59AA52}" name="Column14676"/>
    <tableColumn id="14682" xr3:uid="{B7947DC2-7BD0-498F-99FB-26EE8A6C9B88}" name="Column14677"/>
    <tableColumn id="14683" xr3:uid="{42D41624-F993-4999-9DDD-55FAA65E096C}" name="Column14678"/>
    <tableColumn id="14684" xr3:uid="{8BD7287D-1327-4D06-947C-77ED58CCE66D}" name="Column14679"/>
    <tableColumn id="14685" xr3:uid="{9B750A21-0D9E-41D9-AB45-2E72B3C95BF6}" name="Column14680"/>
    <tableColumn id="14686" xr3:uid="{258DE72E-CE1D-4298-9664-612D58D110A1}" name="Column14681"/>
    <tableColumn id="14687" xr3:uid="{4669F2F3-DC43-4C2B-BFA0-696EF8FEDEC1}" name="Column14682"/>
    <tableColumn id="14688" xr3:uid="{A6779744-106B-4A9E-8DCD-0EAB3C4FE514}" name="Column14683"/>
    <tableColumn id="14689" xr3:uid="{044BD591-0B60-4944-BFC9-10396C7BACE9}" name="Column14684"/>
    <tableColumn id="14690" xr3:uid="{A13EF818-2032-4F2B-ACD9-CCA8F53B4819}" name="Column14685"/>
    <tableColumn id="14691" xr3:uid="{7C2C3FB0-CE0E-4B4E-AA06-9C1DEA6FA155}" name="Column14686"/>
    <tableColumn id="14692" xr3:uid="{D81DC91A-D701-4EBA-84BF-26E3338474D4}" name="Column14687"/>
    <tableColumn id="14693" xr3:uid="{5D3D0548-59A8-4891-B1D2-6B79E98DA72D}" name="Column14688"/>
    <tableColumn id="14694" xr3:uid="{922C8FD9-D9D0-4459-BE3A-6BEE17C50E36}" name="Column14689"/>
    <tableColumn id="14695" xr3:uid="{B0819881-9A82-4BA9-838D-A02C3B087982}" name="Column14690"/>
    <tableColumn id="14696" xr3:uid="{01A58D45-A400-45D8-ABF0-6AA9E1D2D61E}" name="Column14691"/>
    <tableColumn id="14697" xr3:uid="{E36BC8AB-A1B9-48B3-9263-4A281490C441}" name="Column14692"/>
    <tableColumn id="14698" xr3:uid="{68A9506A-DE56-4EEF-A30D-AB04A8E98B3D}" name="Column14693"/>
    <tableColumn id="14699" xr3:uid="{2A81E7B5-8D38-4091-A6B3-E85A201B2559}" name="Column14694"/>
    <tableColumn id="14700" xr3:uid="{1E57547E-E67E-44D4-A624-E8791DCB4AD9}" name="Column14695"/>
    <tableColumn id="14701" xr3:uid="{A501E4AB-91CE-4B46-BDD0-34319C3B744E}" name="Column14696"/>
    <tableColumn id="14702" xr3:uid="{447A92E3-1B32-4BC4-8F98-26538E147509}" name="Column14697"/>
    <tableColumn id="14703" xr3:uid="{29272481-B12D-4AB8-AF67-C2C5CD500166}" name="Column14698"/>
    <tableColumn id="14704" xr3:uid="{5F71F60C-3F11-40F4-A241-61D181652072}" name="Column14699"/>
    <tableColumn id="14705" xr3:uid="{6D2F6C50-D2A0-40F5-907C-DBCCFF981FEE}" name="Column14700"/>
    <tableColumn id="14706" xr3:uid="{E3527740-0784-4C32-854F-71F81C8AFBF0}" name="Column14701"/>
    <tableColumn id="14707" xr3:uid="{34ED5A37-5423-46C5-8A12-A19966931119}" name="Column14702"/>
    <tableColumn id="14708" xr3:uid="{E3104DC5-DD37-4206-B65A-74B134A7420A}" name="Column14703"/>
    <tableColumn id="14709" xr3:uid="{7AF8524C-4F2D-4517-904D-E9369AAF2515}" name="Column14704"/>
    <tableColumn id="14710" xr3:uid="{3935916E-6A7C-463D-AFD0-75A6B5D7A40B}" name="Column14705"/>
    <tableColumn id="14711" xr3:uid="{ED68A4AB-4C96-44AF-8D3F-EFABC9E1383E}" name="Column14706"/>
    <tableColumn id="14712" xr3:uid="{52935507-FAB6-4E06-897A-7BCA97FEE124}" name="Column14707"/>
    <tableColumn id="14713" xr3:uid="{6FC0D87D-8796-429C-B3C0-0F68CF35BF71}" name="Column14708"/>
    <tableColumn id="14714" xr3:uid="{4F552FB8-67DB-4679-8D19-64F270B2E68A}" name="Column14709"/>
    <tableColumn id="14715" xr3:uid="{D76D071C-25AB-4D51-952E-AD6569684FF4}" name="Column14710"/>
    <tableColumn id="14716" xr3:uid="{C6CC2B5A-EF88-4DF1-BC79-CE6DA4EA333A}" name="Column14711"/>
    <tableColumn id="14717" xr3:uid="{C3FECA93-84BF-43EF-965E-1B0563C1D825}" name="Column14712"/>
    <tableColumn id="14718" xr3:uid="{255B0097-3E6F-4313-AFE2-320A8F379682}" name="Column14713"/>
    <tableColumn id="14719" xr3:uid="{242E4A58-D17F-4CDD-AD78-B81FBEE0E1D7}" name="Column14714"/>
    <tableColumn id="14720" xr3:uid="{47B7DC9F-4CA5-44D0-A0A3-B02C67A54833}" name="Column14715"/>
    <tableColumn id="14721" xr3:uid="{9687668F-7B9B-458F-B9C6-391557554876}" name="Column14716"/>
    <tableColumn id="14722" xr3:uid="{4B442D91-C83F-4776-A8D7-1EBB2B472824}" name="Column14717"/>
    <tableColumn id="14723" xr3:uid="{ED5D5AC9-E85E-442A-8672-3B9E0337C92E}" name="Column14718"/>
    <tableColumn id="14724" xr3:uid="{BD9D4E7E-8B9D-4BCC-B672-3DA4210504BA}" name="Column14719"/>
    <tableColumn id="14725" xr3:uid="{B34A1CB9-9A43-4B0B-82F3-26CEC88B9203}" name="Column14720"/>
    <tableColumn id="14726" xr3:uid="{D50F78BE-111B-42C1-9234-83F3F72031FF}" name="Column14721"/>
    <tableColumn id="14727" xr3:uid="{B62DF7F0-9C15-4D7F-BE39-BAB19131E370}" name="Column14722"/>
    <tableColumn id="14728" xr3:uid="{D1A92DCF-4E30-4ACB-AD68-1A6ABBD6F9D5}" name="Column14723"/>
    <tableColumn id="14729" xr3:uid="{71DF64EE-EB42-4C11-B1FA-A5A6D4811A7F}" name="Column14724"/>
    <tableColumn id="14730" xr3:uid="{6290740E-B6DD-4154-889B-3A1447E717E9}" name="Column14725"/>
    <tableColumn id="14731" xr3:uid="{1E94D95A-F159-43FE-A9E3-235497DB215F}" name="Column14726"/>
    <tableColumn id="14732" xr3:uid="{8609B906-B06E-45A6-9C51-157A92696AE7}" name="Column14727"/>
    <tableColumn id="14733" xr3:uid="{4756D3FD-C772-491E-8CCA-F9E1DC469962}" name="Column14728"/>
    <tableColumn id="14734" xr3:uid="{4CDA2BB4-70D0-46BA-9B8B-F682D846E3D1}" name="Column14729"/>
    <tableColumn id="14735" xr3:uid="{85992A7C-E2EB-4CEF-AC15-D91693E964F7}" name="Column14730"/>
    <tableColumn id="14736" xr3:uid="{27EDDAA3-83CB-4432-AF0B-F47736708B91}" name="Column14731"/>
    <tableColumn id="14737" xr3:uid="{339590CF-A72A-42BF-8515-FF9697DEAEB6}" name="Column14732"/>
    <tableColumn id="14738" xr3:uid="{EDD1BDAA-69A4-4CD8-B08F-51DCEC7A1EE4}" name="Column14733"/>
    <tableColumn id="14739" xr3:uid="{059741F3-290D-4EAC-883B-80059777DAFD}" name="Column14734"/>
    <tableColumn id="14740" xr3:uid="{F26194E1-1CF9-4C7E-A5A1-15D25512804F}" name="Column14735"/>
    <tableColumn id="14741" xr3:uid="{6E22ADB7-47A5-410C-9E8F-77BD98A08D7B}" name="Column14736"/>
    <tableColumn id="14742" xr3:uid="{1B526EFD-EE8F-4F16-BFEC-F175008AFA4B}" name="Column14737"/>
    <tableColumn id="14743" xr3:uid="{0A508522-F250-4F01-8EA5-8DA4B56ABFA1}" name="Column14738"/>
    <tableColumn id="14744" xr3:uid="{13FAABAB-E649-4A6D-8732-8427F410A6C5}" name="Column14739"/>
    <tableColumn id="14745" xr3:uid="{CBA79370-2B36-4C78-BA16-2D7BAB4A5AFE}" name="Column14740"/>
    <tableColumn id="14746" xr3:uid="{0F578AE1-2F86-4473-86B2-206D7CCCC526}" name="Column14741"/>
    <tableColumn id="14747" xr3:uid="{91FD19B0-8FC1-453F-BFE5-94DCF1B0F3C0}" name="Column14742"/>
    <tableColumn id="14748" xr3:uid="{2044BBDE-F2D0-4A43-BC76-92B4D2B5FA68}" name="Column14743"/>
    <tableColumn id="14749" xr3:uid="{44458162-931E-471C-AAC9-682704F7B1D6}" name="Column14744"/>
    <tableColumn id="14750" xr3:uid="{B45DAE28-4D26-41CC-AACA-BD0A582F3423}" name="Column14745"/>
    <tableColumn id="14751" xr3:uid="{83760047-4CDF-4A47-BA2C-79AA80779AB2}" name="Column14746"/>
    <tableColumn id="14752" xr3:uid="{2EA5F410-F0FA-4898-A8B2-588992393103}" name="Column14747"/>
    <tableColumn id="14753" xr3:uid="{E0BE2314-85EE-434F-BE25-A8A707CFC986}" name="Column14748"/>
    <tableColumn id="14754" xr3:uid="{D1F3DAD9-1294-428F-B69E-E54B40C78488}" name="Column14749"/>
    <tableColumn id="14755" xr3:uid="{2D63E9F3-A853-4785-B191-34A658671AB5}" name="Column14750"/>
    <tableColumn id="14756" xr3:uid="{64C1D3A0-D97D-427B-ABFC-58E4F7FC0B5E}" name="Column14751"/>
    <tableColumn id="14757" xr3:uid="{F9D17BBF-EFAB-42E0-8BF2-5815D8F91103}" name="Column14752"/>
    <tableColumn id="14758" xr3:uid="{90E47CA8-0B50-4463-8223-D59D2E80AB31}" name="Column14753"/>
    <tableColumn id="14759" xr3:uid="{765C0DBD-C70C-4B48-824C-221C4CF3B476}" name="Column14754"/>
    <tableColumn id="14760" xr3:uid="{2D02F7FE-FEA7-49A5-91CF-568DE52795D9}" name="Column14755"/>
    <tableColumn id="14761" xr3:uid="{9738E8F7-6748-4EF0-BA52-8DB712B51714}" name="Column14756"/>
    <tableColumn id="14762" xr3:uid="{2F75C970-C6F6-4841-9251-35BEB44388DB}" name="Column14757"/>
    <tableColumn id="14763" xr3:uid="{5804830F-4BF1-4E55-90D4-8A906841733A}" name="Column14758"/>
    <tableColumn id="14764" xr3:uid="{973C4135-4E7D-4B9E-A258-A6E9A1A53417}" name="Column14759"/>
    <tableColumn id="14765" xr3:uid="{8968E2E4-1AA3-446A-B328-FDA6C825FC39}" name="Column14760"/>
    <tableColumn id="14766" xr3:uid="{DF5319EA-3258-4E3E-A4A1-EB1394E5D26E}" name="Column14761"/>
    <tableColumn id="14767" xr3:uid="{06D8CFB7-36D1-4A46-A090-57BD68349851}" name="Column14762"/>
    <tableColumn id="14768" xr3:uid="{8A2ED94B-88F1-4E40-88DE-DACF19B2A801}" name="Column14763"/>
    <tableColumn id="14769" xr3:uid="{FBC9C287-78C4-4F95-95F7-EDBABEB7C6A0}" name="Column14764"/>
    <tableColumn id="14770" xr3:uid="{3D710E39-B5F5-4EE1-9120-075A3EC41CA2}" name="Column14765"/>
    <tableColumn id="14771" xr3:uid="{D4CFEC2B-6B16-4334-ABF2-251BAAEB5D2E}" name="Column14766"/>
    <tableColumn id="14772" xr3:uid="{C515EDAF-CB2C-49CD-A366-9B38C912DB88}" name="Column14767"/>
    <tableColumn id="14773" xr3:uid="{C3B9CD7C-3B0D-48F9-BFCD-5D9F1D185F29}" name="Column14768"/>
    <tableColumn id="14774" xr3:uid="{154906D2-08F8-42D4-8388-4DEA9A5A10D3}" name="Column14769"/>
    <tableColumn id="14775" xr3:uid="{E000A4D4-0D3F-4F3E-8D06-024C6D3538AC}" name="Column14770"/>
    <tableColumn id="14776" xr3:uid="{C76A99B6-50BC-49CC-A230-45154218194A}" name="Column14771"/>
    <tableColumn id="14777" xr3:uid="{8009AA52-D02C-4DB7-9D1C-5D9163505D57}" name="Column14772"/>
    <tableColumn id="14778" xr3:uid="{3B9F3F08-A389-4940-B939-A314C01D3E7F}" name="Column14773"/>
    <tableColumn id="14779" xr3:uid="{AFD33D33-C8FC-4301-9903-500637F10415}" name="Column14774"/>
    <tableColumn id="14780" xr3:uid="{5DA8D082-C60E-41A3-AE65-4888BBD219C8}" name="Column14775"/>
    <tableColumn id="14781" xr3:uid="{26D7DC8C-9761-4994-9A88-0E951F353BDE}" name="Column14776"/>
    <tableColumn id="14782" xr3:uid="{F6963A15-EA57-404D-83D1-4B362923A433}" name="Column14777"/>
    <tableColumn id="14783" xr3:uid="{3C96CA94-B59C-45BE-9557-4F6F2A051262}" name="Column14778"/>
    <tableColumn id="14784" xr3:uid="{F5A0DADF-89E5-452B-8478-3A60E492D1BE}" name="Column14779"/>
    <tableColumn id="14785" xr3:uid="{A724709A-52D4-4E1D-8C49-03705F1F6AF5}" name="Column14780"/>
    <tableColumn id="14786" xr3:uid="{95F5F62C-C7E6-44B5-BF6C-5DA72E2C4F1B}" name="Column14781"/>
    <tableColumn id="14787" xr3:uid="{D5336755-3E19-4EC2-A764-37F7E83BB07C}" name="Column14782"/>
    <tableColumn id="14788" xr3:uid="{B2E6CF16-EEE1-4FB7-B737-388D6A2A550A}" name="Column14783"/>
    <tableColumn id="14789" xr3:uid="{712D9829-53AE-4920-B923-FFCF79BA2219}" name="Column14784"/>
    <tableColumn id="14790" xr3:uid="{03402959-8921-463D-ACCD-B2C398DCCC20}" name="Column14785"/>
    <tableColumn id="14791" xr3:uid="{C9348517-4FBD-4836-A519-BC64081637E9}" name="Column14786"/>
    <tableColumn id="14792" xr3:uid="{71499126-A06E-4F78-B450-4DF266531DE5}" name="Column14787"/>
    <tableColumn id="14793" xr3:uid="{D97E3F40-288E-4A75-B83B-5BB714808288}" name="Column14788"/>
    <tableColumn id="14794" xr3:uid="{E8C5C190-8413-4DB7-ACB3-E396DAED3E4D}" name="Column14789"/>
    <tableColumn id="14795" xr3:uid="{6029DC3E-DC20-4515-BA3C-B2390D358622}" name="Column14790"/>
    <tableColumn id="14796" xr3:uid="{8F9774A7-94DD-4627-A3F4-B14FC7264921}" name="Column14791"/>
    <tableColumn id="14797" xr3:uid="{A11BEF52-981E-4286-9BD7-C6858669D3EA}" name="Column14792"/>
    <tableColumn id="14798" xr3:uid="{09AA19E1-531A-45F4-B18D-9033E26C8D04}" name="Column14793"/>
    <tableColumn id="14799" xr3:uid="{6ACB8DB7-3A5B-4AF9-A601-73809844D302}" name="Column14794"/>
    <tableColumn id="14800" xr3:uid="{078CD50E-E1DA-4015-BCD9-5DFA91C4D7F5}" name="Column14795"/>
    <tableColumn id="14801" xr3:uid="{68C90535-58C9-4FBC-8D4B-7734EFA83B33}" name="Column14796"/>
    <tableColumn id="14802" xr3:uid="{818128D1-2B6F-4DF8-9C19-38A3E9AEFE49}" name="Column14797"/>
    <tableColumn id="14803" xr3:uid="{BA119BBC-3A35-4791-AA36-01030F864610}" name="Column14798"/>
    <tableColumn id="14804" xr3:uid="{A51E002B-97AB-43B0-879F-1DF624255AAB}" name="Column14799"/>
    <tableColumn id="14805" xr3:uid="{38D40D82-9D6C-4DD5-97CB-CDA002878C9D}" name="Column14800"/>
    <tableColumn id="14806" xr3:uid="{E7B2091D-9743-4AC3-B5B5-5ECCE8ADF99E}" name="Column14801"/>
    <tableColumn id="14807" xr3:uid="{6E4D58D6-3E5F-4E9D-9A0F-ED9BFDAB6AA8}" name="Column14802"/>
    <tableColumn id="14808" xr3:uid="{215A2A7C-FEEB-4425-B220-CA4B4CA36BA7}" name="Column14803"/>
    <tableColumn id="14809" xr3:uid="{5E28FD3F-FB75-43D7-84BA-42D4CDE393B3}" name="Column14804"/>
    <tableColumn id="14810" xr3:uid="{A6B20A74-FF3F-4CCF-8A76-73F803897CA8}" name="Column14805"/>
    <tableColumn id="14811" xr3:uid="{72298178-CB74-4B2B-8A59-BBFDB08E2A4B}" name="Column14806"/>
    <tableColumn id="14812" xr3:uid="{3AE0D581-64D3-46EF-A894-80D8F251B637}" name="Column14807"/>
    <tableColumn id="14813" xr3:uid="{BF7B1322-5857-4342-B904-D3E5817E5DB6}" name="Column14808"/>
    <tableColumn id="14814" xr3:uid="{14B8CCEC-F208-4EEF-A18B-87F27DBF7E9F}" name="Column14809"/>
    <tableColumn id="14815" xr3:uid="{F80F9762-F079-4D50-AFF2-AFE44A205169}" name="Column14810"/>
    <tableColumn id="14816" xr3:uid="{9BA58300-450B-4DE5-B767-439192ACF970}" name="Column14811"/>
    <tableColumn id="14817" xr3:uid="{081DDEBC-082D-4501-BD92-C040B2F22AA6}" name="Column14812"/>
    <tableColumn id="14818" xr3:uid="{DFEF92AB-F5E6-4C7C-B459-BF781277C4AC}" name="Column14813"/>
    <tableColumn id="14819" xr3:uid="{6AD69E22-7C57-4A24-A0FA-2BFA848CE242}" name="Column14814"/>
    <tableColumn id="14820" xr3:uid="{6B6AE8E0-ED7F-433A-B73B-E1FC42617177}" name="Column14815"/>
    <tableColumn id="14821" xr3:uid="{682C23C7-D476-40A7-83D8-A4800ECFF6F8}" name="Column14816"/>
    <tableColumn id="14822" xr3:uid="{66C3652E-65DF-4958-8DE5-DCEC441BDC79}" name="Column14817"/>
    <tableColumn id="14823" xr3:uid="{3678A30D-29EA-4CBD-8B4F-54DD783352BE}" name="Column14818"/>
    <tableColumn id="14824" xr3:uid="{CF0CD6E2-813D-4B6A-915D-1CC0853136CE}" name="Column14819"/>
    <tableColumn id="14825" xr3:uid="{11DCFABC-E968-4961-AC87-6CBBF9A1C209}" name="Column14820"/>
    <tableColumn id="14826" xr3:uid="{A7BA03DA-32C8-4DBE-9768-746514BA239E}" name="Column14821"/>
    <tableColumn id="14827" xr3:uid="{C7B15418-0469-4ED1-8490-5472DBE50198}" name="Column14822"/>
    <tableColumn id="14828" xr3:uid="{F0847079-DC78-45E6-9017-2E498229258D}" name="Column14823"/>
    <tableColumn id="14829" xr3:uid="{D2C5A4A3-DAAE-4D45-8574-87F741B3D8C6}" name="Column14824"/>
    <tableColumn id="14830" xr3:uid="{EA540396-32E4-4E2F-B008-1ADC10028F97}" name="Column14825"/>
    <tableColumn id="14831" xr3:uid="{9D664274-9E71-45BE-9207-25FB89AB025F}" name="Column14826"/>
    <tableColumn id="14832" xr3:uid="{AB703B81-B1A6-405A-BC19-651BE073FB47}" name="Column14827"/>
    <tableColumn id="14833" xr3:uid="{0E60188A-3990-461A-A967-8E55EB05579F}" name="Column14828"/>
    <tableColumn id="14834" xr3:uid="{248ADEAE-7658-478A-B751-E1DD208C18EF}" name="Column14829"/>
    <tableColumn id="14835" xr3:uid="{2B9984A6-E065-4004-AE30-F25B784F94D6}" name="Column14830"/>
    <tableColumn id="14836" xr3:uid="{2FDC49F5-CDE4-450A-BE32-6241C7457D9B}" name="Column14831"/>
    <tableColumn id="14837" xr3:uid="{5E42458F-05D5-420B-92F3-DF21C35585DE}" name="Column14832"/>
    <tableColumn id="14838" xr3:uid="{F436E972-2F36-48A1-AA1C-B3B10A3340AC}" name="Column14833"/>
    <tableColumn id="14839" xr3:uid="{778641EB-917B-4706-84E2-3D263932F825}" name="Column14834"/>
    <tableColumn id="14840" xr3:uid="{320F36EF-D5E3-4C18-809C-49D32873B944}" name="Column14835"/>
    <tableColumn id="14841" xr3:uid="{7EB769F5-2C3A-4D63-9CF0-CEC81ADC8279}" name="Column14836"/>
    <tableColumn id="14842" xr3:uid="{6A70F749-EB8C-4BA4-8EC4-3C37FA7CCB07}" name="Column14837"/>
    <tableColumn id="14843" xr3:uid="{3AA16A28-1373-4FE3-98A9-43C01D2C04EB}" name="Column14838"/>
    <tableColumn id="14844" xr3:uid="{006829D7-6D84-48F6-B4E8-64C9B11EB6E1}" name="Column14839"/>
    <tableColumn id="14845" xr3:uid="{9590E27D-9736-4893-9DFC-0A07C5534851}" name="Column14840"/>
    <tableColumn id="14846" xr3:uid="{7ACBD57F-2A36-417B-A4F9-148E544780C2}" name="Column14841"/>
    <tableColumn id="14847" xr3:uid="{3D80634A-A3F0-4D4F-BD35-C5E84F0E66BB}" name="Column14842"/>
    <tableColumn id="14848" xr3:uid="{DD8C996C-D369-40EB-AFD1-93253332801C}" name="Column14843"/>
    <tableColumn id="14849" xr3:uid="{65448F88-5C78-4B1D-B96C-74726A23397E}" name="Column14844"/>
    <tableColumn id="14850" xr3:uid="{4B7B5C56-BC21-41C6-A637-84CEDDBBDC06}" name="Column14845"/>
    <tableColumn id="14851" xr3:uid="{CC999BEC-B5B4-4F5A-A737-25A274515362}" name="Column14846"/>
    <tableColumn id="14852" xr3:uid="{157F5144-3BD4-4EC5-AF3F-C570F040D772}" name="Column14847"/>
    <tableColumn id="14853" xr3:uid="{BEC48ECC-3E52-44FF-BCAA-F50C9B1D5D2C}" name="Column14848"/>
    <tableColumn id="14854" xr3:uid="{FF17BE8C-3723-467E-B8EF-5A0877528EF2}" name="Column14849"/>
    <tableColumn id="14855" xr3:uid="{D35D6332-2766-4A78-BF28-2759D036852F}" name="Column14850"/>
    <tableColumn id="14856" xr3:uid="{8B7DE944-1584-4488-BAD0-13591FC71AB6}" name="Column14851"/>
    <tableColumn id="14857" xr3:uid="{6F7A6627-EABA-48D3-A105-2CFFD659AAEA}" name="Column14852"/>
    <tableColumn id="14858" xr3:uid="{CC2C4BCF-5D96-4A7D-9370-B9BF71030B4F}" name="Column14853"/>
    <tableColumn id="14859" xr3:uid="{9B52F4DB-9756-493B-9DF3-E2E7DDF07A16}" name="Column14854"/>
    <tableColumn id="14860" xr3:uid="{608DB374-AEBB-4927-941A-A8EF99E76D3D}" name="Column14855"/>
    <tableColumn id="14861" xr3:uid="{ACBAACD8-41CB-4287-8A98-C2821FA7AB04}" name="Column14856"/>
    <tableColumn id="14862" xr3:uid="{973C8F2B-0A4C-47B4-B344-B1F658CB3913}" name="Column14857"/>
    <tableColumn id="14863" xr3:uid="{F0879CAF-CBDC-431A-A395-EFDAE0FA4C77}" name="Column14858"/>
    <tableColumn id="14864" xr3:uid="{2511F84D-F803-4029-8A33-335A6874D10D}" name="Column14859"/>
    <tableColumn id="14865" xr3:uid="{41914879-9B10-49B2-A46C-D226B888EF46}" name="Column14860"/>
    <tableColumn id="14866" xr3:uid="{7633D5D0-BD41-485C-BA15-DD0D2D53EE87}" name="Column14861"/>
    <tableColumn id="14867" xr3:uid="{B0EABBD3-9557-47EF-808B-FBD2E49D4F7F}" name="Column14862"/>
    <tableColumn id="14868" xr3:uid="{B3B8231D-E6A0-4209-B0A6-FAC0FDEA7CEE}" name="Column14863"/>
    <tableColumn id="14869" xr3:uid="{F2676E04-EBC4-4A4F-ABE8-2C9199D85D0E}" name="Column14864"/>
    <tableColumn id="14870" xr3:uid="{1CBE8A6E-57D8-47E0-A9A8-1F21FBC4E9A3}" name="Column14865"/>
    <tableColumn id="14871" xr3:uid="{7AEA0252-1DDA-43C0-95FA-4B043D16E612}" name="Column14866"/>
    <tableColumn id="14872" xr3:uid="{B51E1F87-192C-4D98-8D98-CBDCF99D6306}" name="Column14867"/>
    <tableColumn id="14873" xr3:uid="{931EA2D2-734E-4317-848C-6818D7973B01}" name="Column14868"/>
    <tableColumn id="14874" xr3:uid="{FFEE8BC1-31E6-4CFF-803D-075D29A40660}" name="Column14869"/>
    <tableColumn id="14875" xr3:uid="{DFA44730-4668-4756-BC12-E84107C52C85}" name="Column14870"/>
    <tableColumn id="14876" xr3:uid="{9BF4723E-4F43-479E-8FB7-12FD17BB0F5A}" name="Column14871"/>
    <tableColumn id="14877" xr3:uid="{97FCF86B-15B5-4F78-9655-422089A9171B}" name="Column14872"/>
    <tableColumn id="14878" xr3:uid="{03DA0EF0-16AD-4854-9ACB-C149253A182D}" name="Column14873"/>
    <tableColumn id="14879" xr3:uid="{9476DE3A-7828-4F67-A7B2-6FDACDBEBF74}" name="Column14874"/>
    <tableColumn id="14880" xr3:uid="{CDBE8648-CAD1-400C-9C80-3BEF3650E122}" name="Column14875"/>
    <tableColumn id="14881" xr3:uid="{8844FF25-7070-4A19-B415-B96D34C1D61B}" name="Column14876"/>
    <tableColumn id="14882" xr3:uid="{84B941B0-F18A-474A-B2AD-7239D83603A0}" name="Column14877"/>
    <tableColumn id="14883" xr3:uid="{848CBE02-F8CD-4125-8944-030A588288AA}" name="Column14878"/>
    <tableColumn id="14884" xr3:uid="{6375B5D6-3EBC-474C-AF55-6452C320DA42}" name="Column14879"/>
    <tableColumn id="14885" xr3:uid="{E87663EA-9914-4BEB-B30C-42B91D2CE5FF}" name="Column14880"/>
    <tableColumn id="14886" xr3:uid="{257623CE-FED9-4347-90FF-61447A0C9AB9}" name="Column14881"/>
    <tableColumn id="14887" xr3:uid="{F1F50A9F-6092-4082-B636-7225D86E3CE6}" name="Column14882"/>
    <tableColumn id="14888" xr3:uid="{F0C2BAB2-7089-4218-90D8-1DE5C288008D}" name="Column14883"/>
    <tableColumn id="14889" xr3:uid="{2BD47AFD-CA8F-4EA1-BAEE-347ED513793F}" name="Column14884"/>
    <tableColumn id="14890" xr3:uid="{5D26F3FD-1D1D-43C9-BC80-DD03A4A5FAA3}" name="Column14885"/>
    <tableColumn id="14891" xr3:uid="{79A41D61-AB75-4928-892E-B0B8AF7E2BA0}" name="Column14886"/>
    <tableColumn id="14892" xr3:uid="{436EABC8-5EB7-4C99-942D-396C4A174FEF}" name="Column14887"/>
    <tableColumn id="14893" xr3:uid="{7C05AB7F-1679-4B0B-B1C7-8E21600887A5}" name="Column14888"/>
    <tableColumn id="14894" xr3:uid="{D041162A-CCE3-451B-AF91-A798BA644458}" name="Column14889"/>
    <tableColumn id="14895" xr3:uid="{2722E24E-DB2C-4D52-B345-8AF8E5B542E4}" name="Column14890"/>
    <tableColumn id="14896" xr3:uid="{1362505F-3008-4433-84B5-18B8D5694C2F}" name="Column14891"/>
    <tableColumn id="14897" xr3:uid="{769AB5AB-2458-4D6A-A1C0-8C1952767B32}" name="Column14892"/>
    <tableColumn id="14898" xr3:uid="{4C049F50-91F9-4EDD-B245-C2C784EE16BB}" name="Column14893"/>
    <tableColumn id="14899" xr3:uid="{CDCB8ED2-A068-45BC-8975-F4F8E0A7F173}" name="Column14894"/>
    <tableColumn id="14900" xr3:uid="{7EE35274-3D72-4205-BF37-9B5AE8B0BA97}" name="Column14895"/>
    <tableColumn id="14901" xr3:uid="{B2ED49F3-C5C7-4E27-B012-21AA6369DD22}" name="Column14896"/>
    <tableColumn id="14902" xr3:uid="{37B23CB5-CFB9-4C14-97A1-C03FA62FBBB2}" name="Column14897"/>
    <tableColumn id="14903" xr3:uid="{524E20C8-1326-49C4-8C34-35040DC2B437}" name="Column14898"/>
    <tableColumn id="14904" xr3:uid="{5D0882BF-27F8-42AC-9DC4-725763FB12FB}" name="Column14899"/>
    <tableColumn id="14905" xr3:uid="{F3843EE8-EAA4-43C3-941F-D239D7C05A30}" name="Column14900"/>
    <tableColumn id="14906" xr3:uid="{8E4DCDE1-FADD-45C4-AB8B-9BABC40DD21E}" name="Column14901"/>
    <tableColumn id="14907" xr3:uid="{4642DB90-94A6-4357-8625-765860CC2F3C}" name="Column14902"/>
    <tableColumn id="14908" xr3:uid="{9D713A82-6929-4BA1-920C-012C28253B34}" name="Column14903"/>
    <tableColumn id="14909" xr3:uid="{50FE89E2-14A8-4F5A-BBA6-408BC2C7C008}" name="Column14904"/>
    <tableColumn id="14910" xr3:uid="{4088E7A6-2441-4AA1-8AC6-77151C74329C}" name="Column14905"/>
    <tableColumn id="14911" xr3:uid="{5A5F61B0-EAFE-491A-A3D5-544AFA64FDC3}" name="Column14906"/>
    <tableColumn id="14912" xr3:uid="{88899AB9-A918-426A-913F-A7CFB87904F1}" name="Column14907"/>
    <tableColumn id="14913" xr3:uid="{DC5920B9-81F0-42BD-B8C7-B6402E2A6FF9}" name="Column14908"/>
    <tableColumn id="14914" xr3:uid="{58069703-61A9-4989-B62B-1B0A5EB39CD3}" name="Column14909"/>
    <tableColumn id="14915" xr3:uid="{173F745D-4E3D-47B3-BD97-2312CD3E0134}" name="Column14910"/>
    <tableColumn id="14916" xr3:uid="{B3BDE52E-7628-4648-B772-604F835FD6E2}" name="Column14911"/>
    <tableColumn id="14917" xr3:uid="{D40E7F55-6213-425B-8C13-C60912EFA177}" name="Column14912"/>
    <tableColumn id="14918" xr3:uid="{568D1ACC-1879-4006-ADA1-DCDD223EFB8E}" name="Column14913"/>
    <tableColumn id="14919" xr3:uid="{898545DF-2A90-440F-A091-B9EACB12B09F}" name="Column14914"/>
    <tableColumn id="14920" xr3:uid="{C45FB190-0667-4D91-8A22-A2606479E901}" name="Column14915"/>
    <tableColumn id="14921" xr3:uid="{160CCD8F-5C2C-4D29-B714-467EFB9C7FD2}" name="Column14916"/>
    <tableColumn id="14922" xr3:uid="{030F2F7D-C099-4024-8E9A-CEBDB39CF528}" name="Column14917"/>
    <tableColumn id="14923" xr3:uid="{C4968849-32FD-42FA-A2C4-19CAA9F37107}" name="Column14918"/>
    <tableColumn id="14924" xr3:uid="{BB7668BC-5D94-4F92-A312-F97690F1B3D3}" name="Column14919"/>
    <tableColumn id="14925" xr3:uid="{AEA10C51-CF1D-46E1-ACC1-8E7A7D12ACBC}" name="Column14920"/>
    <tableColumn id="14926" xr3:uid="{6848BCD7-4AC4-4E70-A0F0-7BEC5540183E}" name="Column14921"/>
    <tableColumn id="14927" xr3:uid="{46BE40C1-436E-423D-8FC0-C12550199CDD}" name="Column14922"/>
    <tableColumn id="14928" xr3:uid="{6F38C59A-1844-4342-9CED-9FB66250886D}" name="Column14923"/>
    <tableColumn id="14929" xr3:uid="{1FC4AB6C-8CC6-48BD-9860-06D83317616A}" name="Column14924"/>
    <tableColumn id="14930" xr3:uid="{90AE9009-7D6B-401C-B750-364E0A9070BD}" name="Column14925"/>
    <tableColumn id="14931" xr3:uid="{FF1EB248-D201-4892-ABB2-A1228D37B818}" name="Column14926"/>
    <tableColumn id="14932" xr3:uid="{C9BD932C-B138-46B1-B9BE-7FC5018FB94F}" name="Column14927"/>
    <tableColumn id="14933" xr3:uid="{2A35535F-95BA-4915-9009-F606F330C923}" name="Column14928"/>
    <tableColumn id="14934" xr3:uid="{C8EA1008-4326-432A-BF50-D7C9A62AD615}" name="Column14929"/>
    <tableColumn id="14935" xr3:uid="{480534CE-F920-4BF6-A5CA-58BD9F0C2DB9}" name="Column14930"/>
    <tableColumn id="14936" xr3:uid="{1CA220CD-AF75-499A-9063-9181323B3FDC}" name="Column14931"/>
    <tableColumn id="14937" xr3:uid="{B58E9990-C4C9-4349-9CB5-D969BE8DDE05}" name="Column14932"/>
    <tableColumn id="14938" xr3:uid="{B194BAE4-5F16-4483-A6BE-E6BE192C0CBB}" name="Column14933"/>
    <tableColumn id="14939" xr3:uid="{B857FD33-28E5-46D6-BCA2-A0CAC11C3E62}" name="Column14934"/>
    <tableColumn id="14940" xr3:uid="{6D619034-AD2E-42AB-A6BA-1D1A03AF3DED}" name="Column14935"/>
    <tableColumn id="14941" xr3:uid="{D04A04FC-9732-4995-92E9-8B15734D3BBF}" name="Column14936"/>
    <tableColumn id="14942" xr3:uid="{57B2E5CA-0F32-47EE-8CC9-D6FC3E0F24FF}" name="Column14937"/>
    <tableColumn id="14943" xr3:uid="{9731C718-76E9-4D41-8E1C-E8C1E9841B34}" name="Column14938"/>
    <tableColumn id="14944" xr3:uid="{A46C8424-9D45-4DDE-911A-B0AAD759AE37}" name="Column14939"/>
    <tableColumn id="14945" xr3:uid="{21A7B45D-D774-4334-B8FA-9ED3A74D4660}" name="Column14940"/>
    <tableColumn id="14946" xr3:uid="{B2763E60-558B-44B9-BAA7-4540C2F677EA}" name="Column14941"/>
    <tableColumn id="14947" xr3:uid="{7A28D2A1-CE2E-4DAE-A484-E559DB8B9D44}" name="Column14942"/>
    <tableColumn id="14948" xr3:uid="{899EA0A1-2264-4BAF-9749-F586A6339307}" name="Column14943"/>
    <tableColumn id="14949" xr3:uid="{731854F2-BD9D-47A3-871F-3C058248B2E4}" name="Column14944"/>
    <tableColumn id="14950" xr3:uid="{534FFC6B-5EB1-41C8-871F-A09C8B4AA563}" name="Column14945"/>
    <tableColumn id="14951" xr3:uid="{199036A6-7606-48A3-A9CE-61CC4203FE9A}" name="Column14946"/>
    <tableColumn id="14952" xr3:uid="{DE99E064-4611-4574-A214-2FE1C38F5BB9}" name="Column14947"/>
    <tableColumn id="14953" xr3:uid="{7FB1F016-211E-4C3C-AF18-267C90AA6BE2}" name="Column14948"/>
    <tableColumn id="14954" xr3:uid="{F6867676-25ED-491B-8BB1-6D5F48E8CB92}" name="Column14949"/>
    <tableColumn id="14955" xr3:uid="{90F6237E-4DA6-4247-8574-6072B15ECE5F}" name="Column14950"/>
    <tableColumn id="14956" xr3:uid="{FB8B60D9-429C-45DD-A27B-7A12A346E6A1}" name="Column14951"/>
    <tableColumn id="14957" xr3:uid="{6F8C5AE0-7362-4BD7-B138-91E8CF100C72}" name="Column14952"/>
    <tableColumn id="14958" xr3:uid="{D79C790D-F0F7-41A5-AB5C-B3734DD31D76}" name="Column14953"/>
    <tableColumn id="14959" xr3:uid="{3290A23E-2669-4E7F-A556-6197DDE9823A}" name="Column14954"/>
    <tableColumn id="14960" xr3:uid="{7D0DA1AD-873B-4420-B73B-9C8B2D6BED63}" name="Column14955"/>
    <tableColumn id="14961" xr3:uid="{D25FB247-97FC-49AF-837C-061B4EFB01F6}" name="Column14956"/>
    <tableColumn id="14962" xr3:uid="{8CF9AF30-B56A-44FA-B669-C4CA36BC401B}" name="Column14957"/>
    <tableColumn id="14963" xr3:uid="{840C5246-465F-4D31-BBB1-43FFCB6200B2}" name="Column14958"/>
    <tableColumn id="14964" xr3:uid="{C87E7584-CCE3-4959-953B-35B53BF8A145}" name="Column14959"/>
    <tableColumn id="14965" xr3:uid="{8A208C0D-9367-4F9E-BEC9-72D5020D93FE}" name="Column14960"/>
    <tableColumn id="14966" xr3:uid="{BD527A15-2E3E-479E-8ECC-F40AED66FF2E}" name="Column14961"/>
    <tableColumn id="14967" xr3:uid="{B3DC3925-4B3E-4EC4-B00B-6B4AC817F9AB}" name="Column14962"/>
    <tableColumn id="14968" xr3:uid="{9F481ECA-7B16-4E70-96E1-F4413A060DB6}" name="Column14963"/>
    <tableColumn id="14969" xr3:uid="{3C1E3727-7036-47A8-B7AB-5541098153D3}" name="Column14964"/>
    <tableColumn id="14970" xr3:uid="{869C03A0-6F5C-420F-B013-FD84A4CEE18B}" name="Column14965"/>
    <tableColumn id="14971" xr3:uid="{16C4A018-9A4E-48D7-8262-4817481373B2}" name="Column14966"/>
    <tableColumn id="14972" xr3:uid="{EA038483-E3B7-484C-B6A6-9B7A0AFDB7E9}" name="Column14967"/>
    <tableColumn id="14973" xr3:uid="{07A92789-5A25-4BE6-8E90-6367B11E62CC}" name="Column14968"/>
    <tableColumn id="14974" xr3:uid="{47E584F6-4293-4DF8-AA69-067315042DAF}" name="Column14969"/>
    <tableColumn id="14975" xr3:uid="{594A3185-89A5-4629-8FD8-AEB7D3AC4A40}" name="Column14970"/>
    <tableColumn id="14976" xr3:uid="{DFFE78A3-1DA7-4733-BB2F-6216E1B5F67E}" name="Column14971"/>
    <tableColumn id="14977" xr3:uid="{9E50D670-2066-4162-9F47-E5E1748D1812}" name="Column14972"/>
    <tableColumn id="14978" xr3:uid="{E341033F-8F87-477D-BDD8-BEDB6F657585}" name="Column14973"/>
    <tableColumn id="14979" xr3:uid="{7FCB26C2-B335-4BC5-92C2-51A87F6FDD96}" name="Column14974"/>
    <tableColumn id="14980" xr3:uid="{8E1AC097-7D13-4A3F-BAA5-380F2AF89071}" name="Column14975"/>
    <tableColumn id="14981" xr3:uid="{3107D593-E6B4-4262-8573-607B80D1118A}" name="Column14976"/>
    <tableColumn id="14982" xr3:uid="{091E748A-685A-45FD-B941-F117900C3D8D}" name="Column14977"/>
    <tableColumn id="14983" xr3:uid="{692CDF65-6528-4F66-9851-47CD2C013E93}" name="Column14978"/>
    <tableColumn id="14984" xr3:uid="{9C91D4CF-76CD-4DB5-966D-3495722CF46D}" name="Column14979"/>
    <tableColumn id="14985" xr3:uid="{E856364C-1649-41AA-955E-75C6E43CBEF1}" name="Column14980"/>
    <tableColumn id="14986" xr3:uid="{D4C8A855-3148-4988-A1CB-C5518E0D3800}" name="Column14981"/>
    <tableColumn id="14987" xr3:uid="{55FA578C-E5E6-4A44-BA39-2F49A58699F2}" name="Column14982"/>
    <tableColumn id="14988" xr3:uid="{74FD5F68-06AB-4D74-A96A-625D4564C0CC}" name="Column14983"/>
    <tableColumn id="14989" xr3:uid="{20962AAA-40FA-4D86-8863-CBD919C792D8}" name="Column14984"/>
    <tableColumn id="14990" xr3:uid="{989275EC-88B6-4F43-B5D4-ACB795F39ECE}" name="Column14985"/>
    <tableColumn id="14991" xr3:uid="{4A572B50-4AD1-4E1E-B98A-D0BEFF51548A}" name="Column14986"/>
    <tableColumn id="14992" xr3:uid="{802973AD-16B1-4571-ABA9-BCE33FE1479D}" name="Column14987"/>
    <tableColumn id="14993" xr3:uid="{5B959009-E875-4377-9E19-8534903C7363}" name="Column14988"/>
    <tableColumn id="14994" xr3:uid="{05149336-AF30-4CDF-9416-A757F4EAB9E3}" name="Column14989"/>
    <tableColumn id="14995" xr3:uid="{77E12FD9-0181-4BE8-8AD6-CAD895E0B09E}" name="Column14990"/>
    <tableColumn id="14996" xr3:uid="{F79F26BE-F24B-4F82-B995-1A18506CD933}" name="Column14991"/>
    <tableColumn id="14997" xr3:uid="{582BF89B-2FB3-4C14-8D30-C4DFA8BEC333}" name="Column14992"/>
    <tableColumn id="14998" xr3:uid="{34DBE2C1-CA47-425A-A29D-7EFA0EC0C13B}" name="Column14993"/>
    <tableColumn id="14999" xr3:uid="{3DAB5518-AEB6-4489-8D69-D3B0024A26F0}" name="Column14994"/>
    <tableColumn id="15000" xr3:uid="{444834E2-B7D4-494E-A285-EB1A177D1641}" name="Column14995"/>
    <tableColumn id="15001" xr3:uid="{5E1BAD8D-29E3-4109-9FD4-0A3BD4B143DF}" name="Column14996"/>
    <tableColumn id="15002" xr3:uid="{648E38D0-972A-4159-8D40-3E3EDEE96CBC}" name="Column14997"/>
    <tableColumn id="15003" xr3:uid="{3A05A232-283D-4AFA-843A-98DDBB373275}" name="Column14998"/>
    <tableColumn id="15004" xr3:uid="{54CCCE49-A5FE-4CE5-AACD-A081CECCDC1C}" name="Column14999"/>
    <tableColumn id="15005" xr3:uid="{EEFE1D8B-59B7-4245-B4ED-3D167F355240}" name="Column15000"/>
    <tableColumn id="15006" xr3:uid="{E2CD9B89-C6F6-4C7B-B9A9-E6B5C70C79D1}" name="Column15001"/>
    <tableColumn id="15007" xr3:uid="{5F2EFCCC-0E74-4932-A4D1-D3427292C3AC}" name="Column15002"/>
    <tableColumn id="15008" xr3:uid="{3E07827D-56F5-47B2-97EB-89E181341E16}" name="Column15003"/>
    <tableColumn id="15009" xr3:uid="{BC9F6507-8E14-4D13-BF61-909BE2D270A6}" name="Column15004"/>
    <tableColumn id="15010" xr3:uid="{D91FCD30-BE05-49D5-8216-7B92A37E23A3}" name="Column15005"/>
    <tableColumn id="15011" xr3:uid="{14C5A413-E132-45EE-9DB2-A1C3241AA41E}" name="Column15006"/>
    <tableColumn id="15012" xr3:uid="{D3F7C6EE-5793-4BB3-9D86-4CE583DC3CA5}" name="Column15007"/>
    <tableColumn id="15013" xr3:uid="{50C25972-7AEB-46CA-9BD3-F1183AE93708}" name="Column15008"/>
    <tableColumn id="15014" xr3:uid="{481F7682-44D4-4C72-B278-10D3BB82377A}" name="Column15009"/>
    <tableColumn id="15015" xr3:uid="{31BE651F-D2A7-4315-9724-D3F97DA93993}" name="Column15010"/>
    <tableColumn id="15016" xr3:uid="{95F0C30B-9F2F-44F5-9794-CDD8CFFFECFF}" name="Column15011"/>
    <tableColumn id="15017" xr3:uid="{72313621-93F5-466A-B6E3-FDAF1A8BB0C9}" name="Column15012"/>
    <tableColumn id="15018" xr3:uid="{ACA39015-1E4D-4BB8-A262-6B571471ACD7}" name="Column15013"/>
    <tableColumn id="15019" xr3:uid="{293648E4-6244-47E1-A646-B97D2891E905}" name="Column15014"/>
    <tableColumn id="15020" xr3:uid="{807FAEFA-4AB6-4B69-A345-AF1BB3460DCE}" name="Column15015"/>
    <tableColumn id="15021" xr3:uid="{439EE89A-EC5F-4180-B2BE-888FDCA02E92}" name="Column15016"/>
    <tableColumn id="15022" xr3:uid="{028C9FEB-1F4B-4B8A-8518-7493ADCBE6A2}" name="Column15017"/>
    <tableColumn id="15023" xr3:uid="{B7AB9B6D-74BB-483C-9084-52561E17C8E4}" name="Column15018"/>
    <tableColumn id="15024" xr3:uid="{63ED367C-A8C9-4C66-879B-41BB549C05EA}" name="Column15019"/>
    <tableColumn id="15025" xr3:uid="{82E61FE1-0000-4BF7-97B7-8F75DDFEE95C}" name="Column15020"/>
    <tableColumn id="15026" xr3:uid="{DCA1E1BE-A51E-4D04-A807-22CBAE80F97E}" name="Column15021"/>
    <tableColumn id="15027" xr3:uid="{9549D2CA-16B9-40D7-AD75-5D8DF3052222}" name="Column15022"/>
    <tableColumn id="15028" xr3:uid="{5D094ECA-8F3B-44D2-8B88-839A8705E47F}" name="Column15023"/>
    <tableColumn id="15029" xr3:uid="{B47C5DDA-6858-4C90-803D-0D18A6B42DB7}" name="Column15024"/>
    <tableColumn id="15030" xr3:uid="{7C187588-28AE-4645-99AC-356685822862}" name="Column15025"/>
    <tableColumn id="15031" xr3:uid="{26C1B2E0-FA98-4297-B154-2ACDC86B4970}" name="Column15026"/>
    <tableColumn id="15032" xr3:uid="{77A3AAC3-F494-4CAC-8EB8-9C4CCAB00936}" name="Column15027"/>
    <tableColumn id="15033" xr3:uid="{73BB41FD-D68C-4035-9A62-C5FAD5CE8731}" name="Column15028"/>
    <tableColumn id="15034" xr3:uid="{0EF34D51-F434-4680-9A39-FF8E4F0E15CF}" name="Column15029"/>
    <tableColumn id="15035" xr3:uid="{2B0B4878-82EF-4F31-939B-70CEA7254F95}" name="Column15030"/>
    <tableColumn id="15036" xr3:uid="{1D33DFE9-5482-491C-B066-0B65ACEE015F}" name="Column15031"/>
    <tableColumn id="15037" xr3:uid="{ED1FEF07-A67A-4588-9B79-BFECC50F3AEA}" name="Column15032"/>
    <tableColumn id="15038" xr3:uid="{1F869BD6-5A55-4FA0-BCBE-FB6C6DDD6A5E}" name="Column15033"/>
    <tableColumn id="15039" xr3:uid="{8752D58A-2588-4E03-A48F-517481A04AF4}" name="Column15034"/>
    <tableColumn id="15040" xr3:uid="{08C72219-65C0-4550-A1CA-4956F0C52508}" name="Column15035"/>
    <tableColumn id="15041" xr3:uid="{DC750823-9F85-48EF-8134-1C6172289842}" name="Column15036"/>
    <tableColumn id="15042" xr3:uid="{20335A66-6C07-41DB-9FCC-52FAABD4EE5B}" name="Column15037"/>
    <tableColumn id="15043" xr3:uid="{EFE141F4-C92D-45B7-9719-1FDD6F339F90}" name="Column15038"/>
    <tableColumn id="15044" xr3:uid="{7660869B-7D72-4D2E-B397-C5031D7D2371}" name="Column15039"/>
    <tableColumn id="15045" xr3:uid="{B0675048-9073-4A29-88C2-6990770BFC41}" name="Column15040"/>
    <tableColumn id="15046" xr3:uid="{2670F568-7023-477D-B754-3EB122276F87}" name="Column15041"/>
    <tableColumn id="15047" xr3:uid="{F9BA3454-3A09-4153-A4B4-E721084343CD}" name="Column15042"/>
    <tableColumn id="15048" xr3:uid="{86D8898B-88DC-44B6-9009-647B6A397B15}" name="Column15043"/>
    <tableColumn id="15049" xr3:uid="{F8518CAB-0BD4-43B9-B511-3097AF24B57A}" name="Column15044"/>
    <tableColumn id="15050" xr3:uid="{DF2ABB03-21DA-4381-92E6-4562AF60F9CF}" name="Column15045"/>
    <tableColumn id="15051" xr3:uid="{20D0A689-648F-47C2-A3E6-85F379606C1A}" name="Column15046"/>
    <tableColumn id="15052" xr3:uid="{097557DE-9EBD-470E-A385-4E0B0B7BFADE}" name="Column15047"/>
    <tableColumn id="15053" xr3:uid="{981362E8-646C-4685-BA54-35AD7FB9406F}" name="Column15048"/>
    <tableColumn id="15054" xr3:uid="{261D0B12-ECD7-4912-AD4B-DE91BDACA3C6}" name="Column15049"/>
    <tableColumn id="15055" xr3:uid="{0F46A5A9-C756-4DC2-95CA-7B83C93865ED}" name="Column15050"/>
    <tableColumn id="15056" xr3:uid="{E23C43CF-37EA-4AD6-A009-BE9B264C5DFE}" name="Column15051"/>
    <tableColumn id="15057" xr3:uid="{50D5E956-DA61-488A-A0BF-8F2C39E650C8}" name="Column15052"/>
    <tableColumn id="15058" xr3:uid="{AA0FC4B1-0F9F-4C54-96CB-949BB91EDE39}" name="Column15053"/>
    <tableColumn id="15059" xr3:uid="{D988402D-59BF-411C-8725-450082FC0284}" name="Column15054"/>
    <tableColumn id="15060" xr3:uid="{D029873A-F49A-480A-8758-F5E8A4502122}" name="Column15055"/>
    <tableColumn id="15061" xr3:uid="{1EF1E748-6799-4DC9-846C-8E59EA2AF82F}" name="Column15056"/>
    <tableColumn id="15062" xr3:uid="{A68A7EE1-6572-4252-98C7-FC15568CE1A1}" name="Column15057"/>
    <tableColumn id="15063" xr3:uid="{A7ECB673-602B-4BFD-A97C-7696FB7D691A}" name="Column15058"/>
    <tableColumn id="15064" xr3:uid="{5B9C1B7F-C9D7-41B8-968F-F832C08F0036}" name="Column15059"/>
    <tableColumn id="15065" xr3:uid="{79B99F8E-2756-4627-A4EE-C36B05D036A1}" name="Column15060"/>
    <tableColumn id="15066" xr3:uid="{AACD75D4-E2CB-4FA7-9B5D-7428B241A865}" name="Column15061"/>
    <tableColumn id="15067" xr3:uid="{57F58847-CB02-44E7-A4D3-5806B3D11367}" name="Column15062"/>
    <tableColumn id="15068" xr3:uid="{8604A1B8-E253-45FD-ABB7-6A7607145AFC}" name="Column15063"/>
    <tableColumn id="15069" xr3:uid="{5BC25641-7E8F-4196-8C61-70C2B07AB453}" name="Column15064"/>
    <tableColumn id="15070" xr3:uid="{06E41468-684E-4173-8827-4F7A007FC329}" name="Column15065"/>
    <tableColumn id="15071" xr3:uid="{90D304B9-65D7-487B-AD68-89033ACE1B7F}" name="Column15066"/>
    <tableColumn id="15072" xr3:uid="{791E1636-2643-469F-9626-2921BD98F4A4}" name="Column15067"/>
    <tableColumn id="15073" xr3:uid="{7A8FD30C-CF5E-46CD-A4D9-DF1C61CE89D8}" name="Column15068"/>
    <tableColumn id="15074" xr3:uid="{2804534E-44BD-4A58-9951-B0A7A501A9CD}" name="Column15069"/>
    <tableColumn id="15075" xr3:uid="{15AC2990-EB34-457B-9942-F1496D018A1A}" name="Column15070"/>
    <tableColumn id="15076" xr3:uid="{13E7B58F-C8B4-4C05-B7A3-332EE901B8DB}" name="Column15071"/>
    <tableColumn id="15077" xr3:uid="{6BA22EB6-8195-4660-BEDC-9A0E75759A96}" name="Column15072"/>
    <tableColumn id="15078" xr3:uid="{784CDE31-C441-4B6C-854B-E2A3151AD324}" name="Column15073"/>
    <tableColumn id="15079" xr3:uid="{3EAC01FF-FA70-4B3D-B6CC-EE3D06AC4AC6}" name="Column15074"/>
    <tableColumn id="15080" xr3:uid="{D00A0CDB-778D-4E76-914D-2E33A0836E30}" name="Column15075"/>
    <tableColumn id="15081" xr3:uid="{98E715F0-05C9-48F3-85A2-84810A5EF197}" name="Column15076"/>
    <tableColumn id="15082" xr3:uid="{17F3B440-08A4-48E3-B821-B5F93E5348E7}" name="Column15077"/>
    <tableColumn id="15083" xr3:uid="{49133956-D7F0-498A-B676-EEB0FDA208B5}" name="Column15078"/>
    <tableColumn id="15084" xr3:uid="{31279EF8-9DE6-47AA-88EF-81A237CC6FD0}" name="Column15079"/>
    <tableColumn id="15085" xr3:uid="{5E34417B-FC3A-4037-8766-F096DB75D3B3}" name="Column15080"/>
    <tableColumn id="15086" xr3:uid="{7415AC2B-9ED0-4CE3-805C-67F8C179DAF0}" name="Column15081"/>
    <tableColumn id="15087" xr3:uid="{77FF0115-F648-4D06-BF87-A5E8EE523D71}" name="Column15082"/>
    <tableColumn id="15088" xr3:uid="{2A5DF7C3-BC3D-416E-9CC2-1B4043DCF463}" name="Column15083"/>
    <tableColumn id="15089" xr3:uid="{090215C8-CC2E-4217-AE73-DA92D5820EA3}" name="Column15084"/>
    <tableColumn id="15090" xr3:uid="{D37D3E6C-5134-4831-8E5E-5DA1CADB3549}" name="Column15085"/>
    <tableColumn id="15091" xr3:uid="{8E86BD60-76B4-48F8-9274-40F471B9377D}" name="Column15086"/>
    <tableColumn id="15092" xr3:uid="{8B013CEF-CEAE-402D-8A4F-B7B396488504}" name="Column15087"/>
    <tableColumn id="15093" xr3:uid="{4869C505-194B-44C6-A6FE-E4886E88A2E7}" name="Column15088"/>
    <tableColumn id="15094" xr3:uid="{F9FAE4FF-6906-4319-8F67-CBA4646C4141}" name="Column15089"/>
    <tableColumn id="15095" xr3:uid="{BC484B17-1E76-40AA-B614-A5277B726600}" name="Column15090"/>
    <tableColumn id="15096" xr3:uid="{C489560E-CC2D-4CC5-A63B-F2F44C969E55}" name="Column15091"/>
    <tableColumn id="15097" xr3:uid="{F96A06A9-628D-4E3D-B470-6EE52946B500}" name="Column15092"/>
    <tableColumn id="15098" xr3:uid="{72E8DA6D-7677-4988-ADF0-33F8018FC27A}" name="Column15093"/>
    <tableColumn id="15099" xr3:uid="{129D77E8-83E5-43D6-B689-CE8C706D15B5}" name="Column15094"/>
    <tableColumn id="15100" xr3:uid="{C8BD1916-6AEF-46F9-A296-4F036D1EF083}" name="Column15095"/>
    <tableColumn id="15101" xr3:uid="{04CDDFB5-B559-44C2-8F6A-A32516C6B3E7}" name="Column15096"/>
    <tableColumn id="15102" xr3:uid="{7A0AB43F-206D-4DB2-B9CB-EB8618677897}" name="Column15097"/>
    <tableColumn id="15103" xr3:uid="{C7AB9C5D-27B6-4578-A4AE-DDE2F6458451}" name="Column15098"/>
    <tableColumn id="15104" xr3:uid="{5C19BF97-4385-4CD1-A7FB-5505922BA7EE}" name="Column15099"/>
    <tableColumn id="15105" xr3:uid="{FC25C0F9-02DE-44FE-8DD4-D7BC459B0EA7}" name="Column15100"/>
    <tableColumn id="15106" xr3:uid="{12891D60-33EA-4C73-B933-7AC9155A326E}" name="Column15101"/>
    <tableColumn id="15107" xr3:uid="{6B4EFDF7-D790-40E6-BDC2-E715004CA803}" name="Column15102"/>
    <tableColumn id="15108" xr3:uid="{7E7B714D-D420-4916-84A8-6EC15FF60793}" name="Column15103"/>
    <tableColumn id="15109" xr3:uid="{C2074938-8B06-43AD-82C1-900D8A238BAA}" name="Column15104"/>
    <tableColumn id="15110" xr3:uid="{853C4F92-84B7-48AC-8B1A-AFC29BC919EC}" name="Column15105"/>
    <tableColumn id="15111" xr3:uid="{2C2C4336-7F06-47F9-B4A9-F26148FD2267}" name="Column15106"/>
    <tableColumn id="15112" xr3:uid="{F6332BE7-29DE-43F2-B98E-2BC2AF9AB2B2}" name="Column15107"/>
    <tableColumn id="15113" xr3:uid="{E0ACFBA0-4591-4606-8839-6A62BBDD7029}" name="Column15108"/>
    <tableColumn id="15114" xr3:uid="{763BD144-09B4-4B21-AC0F-30ACBF3CF85C}" name="Column15109"/>
    <tableColumn id="15115" xr3:uid="{6ACD832B-3CD9-4735-9CBD-27627D61BBC3}" name="Column15110"/>
    <tableColumn id="15116" xr3:uid="{46DB6557-69F2-4AAD-885E-A42815C3BE52}" name="Column15111"/>
    <tableColumn id="15117" xr3:uid="{A1449409-4279-4A67-B468-2A6ACAB14D0E}" name="Column15112"/>
    <tableColumn id="15118" xr3:uid="{BD2BE619-AF03-40A1-8F71-B25E099FBD5A}" name="Column15113"/>
    <tableColumn id="15119" xr3:uid="{5E6C4239-E1F8-4D61-9202-685B76391CC2}" name="Column15114"/>
    <tableColumn id="15120" xr3:uid="{835A67DA-8D15-46F0-9780-E58C4AD82015}" name="Column15115"/>
    <tableColumn id="15121" xr3:uid="{D3450A6A-811A-4C5E-930B-98160B9C0BE5}" name="Column15116"/>
    <tableColumn id="15122" xr3:uid="{ECCD38AF-3C05-41EA-9B5F-7000A4DF8007}" name="Column15117"/>
    <tableColumn id="15123" xr3:uid="{A31A5D19-6699-4EDD-914B-C795DCA28C6D}" name="Column15118"/>
    <tableColumn id="15124" xr3:uid="{67AE7334-DEA5-4F48-9713-FB8398D8C374}" name="Column15119"/>
    <tableColumn id="15125" xr3:uid="{8546259F-B600-45BF-89F5-492AA522BA5E}" name="Column15120"/>
    <tableColumn id="15126" xr3:uid="{2A9EECE7-004B-4D8A-B5C8-570DFC1673D3}" name="Column15121"/>
    <tableColumn id="15127" xr3:uid="{03562D2F-54A9-4A8B-BFA1-859F3071EFEC}" name="Column15122"/>
    <tableColumn id="15128" xr3:uid="{CEAD343E-0C75-4060-8F93-E9D2B376EAEC}" name="Column15123"/>
    <tableColumn id="15129" xr3:uid="{284968B9-06CA-40A0-A79C-66E735941FC8}" name="Column15124"/>
    <tableColumn id="15130" xr3:uid="{4BF6C5CE-A4F5-49F5-9B4F-8116FCE96ECC}" name="Column15125"/>
    <tableColumn id="15131" xr3:uid="{CAEFD1E3-E08F-4429-B01F-B4B70314AAA4}" name="Column15126"/>
    <tableColumn id="15132" xr3:uid="{DD2D25BF-34A3-4447-9171-BA01453272BE}" name="Column15127"/>
    <tableColumn id="15133" xr3:uid="{D21802C0-AA2E-4620-A487-6EB2D8F7F4BD}" name="Column15128"/>
    <tableColumn id="15134" xr3:uid="{4ED7BE53-EE31-4B1B-9116-6F9E626B95D7}" name="Column15129"/>
    <tableColumn id="15135" xr3:uid="{0186810B-820E-486A-8D87-B4A8EF9D59C6}" name="Column15130"/>
    <tableColumn id="15136" xr3:uid="{880A274C-F9EB-407D-8BA9-AD76F92EB365}" name="Column15131"/>
    <tableColumn id="15137" xr3:uid="{BDAEC0CC-D0FD-4BD8-959B-B8978CC36A03}" name="Column15132"/>
    <tableColumn id="15138" xr3:uid="{BC260113-1C98-4984-95A9-20B764F733B8}" name="Column15133"/>
    <tableColumn id="15139" xr3:uid="{C087CE6A-104F-478D-BA38-0F84A14FBA5F}" name="Column15134"/>
    <tableColumn id="15140" xr3:uid="{DBECC69D-B097-408F-91C5-E3BFEB2EF85C}" name="Column15135"/>
    <tableColumn id="15141" xr3:uid="{2E7879E2-8D57-4F83-B4B9-F327C790B3A3}" name="Column15136"/>
    <tableColumn id="15142" xr3:uid="{0A2CFFE6-896C-45DB-BC01-FCA0BB7BF050}" name="Column15137"/>
    <tableColumn id="15143" xr3:uid="{1BA18DF8-28E8-4706-AAC2-3904B4391B53}" name="Column15138"/>
    <tableColumn id="15144" xr3:uid="{D64855EA-5D84-489A-A265-D7B64F093A50}" name="Column15139"/>
    <tableColumn id="15145" xr3:uid="{D7B7AC7A-D0A8-4BF4-86C1-717D561A02F0}" name="Column15140"/>
    <tableColumn id="15146" xr3:uid="{51D31EB8-4A33-4491-82A2-4CC362059284}" name="Column15141"/>
    <tableColumn id="15147" xr3:uid="{61ADAA29-2C12-405B-A272-BD5C5EBFB72B}" name="Column15142"/>
    <tableColumn id="15148" xr3:uid="{49A444BC-98AA-48BC-AA61-25C2C9271F0F}" name="Column15143"/>
    <tableColumn id="15149" xr3:uid="{5F71BB3E-9337-43A1-A58E-B6B9421C34FC}" name="Column15144"/>
    <tableColumn id="15150" xr3:uid="{E3537365-D9CC-48BE-9D9B-C1A6A6CD8D66}" name="Column15145"/>
    <tableColumn id="15151" xr3:uid="{4703932A-FE67-4F70-BC15-F3E74C433DE1}" name="Column15146"/>
    <tableColumn id="15152" xr3:uid="{9E0DF520-F15B-4451-857E-D03670C274DB}" name="Column15147"/>
    <tableColumn id="15153" xr3:uid="{D542FD47-F5E9-461E-8433-695035C80239}" name="Column15148"/>
    <tableColumn id="15154" xr3:uid="{11300201-AC53-4AAB-8906-FA9EEA2601CA}" name="Column15149"/>
    <tableColumn id="15155" xr3:uid="{ED12C1CC-6B54-4AED-B5FB-FB8C9C5D0E40}" name="Column15150"/>
    <tableColumn id="15156" xr3:uid="{DB02407A-C612-4FD3-9260-C363AB5C06B8}" name="Column15151"/>
    <tableColumn id="15157" xr3:uid="{F26A46A4-FE89-42B7-AECB-37B2BFEA98B2}" name="Column15152"/>
    <tableColumn id="15158" xr3:uid="{6F0999B0-0FDA-4752-A818-E9E5D735C788}" name="Column15153"/>
    <tableColumn id="15159" xr3:uid="{B0A562FF-0BA0-46BB-8B8A-68B4B0164CF9}" name="Column15154"/>
    <tableColumn id="15160" xr3:uid="{0E3C103B-4F53-43EE-AB01-04C16E0093CD}" name="Column15155"/>
    <tableColumn id="15161" xr3:uid="{34D0D874-522A-4CEA-B6B0-8B6AA9011A45}" name="Column15156"/>
    <tableColumn id="15162" xr3:uid="{47B52016-BE63-4DD6-8E60-677F9E92C0DA}" name="Column15157"/>
    <tableColumn id="15163" xr3:uid="{69657BD0-1D51-4578-90A0-854C889AFF7B}" name="Column15158"/>
    <tableColumn id="15164" xr3:uid="{CA50A45D-02FF-4662-B41A-876AF8A4B255}" name="Column15159"/>
    <tableColumn id="15165" xr3:uid="{D37455FF-1DAB-4B1F-9DF1-6B31F8847941}" name="Column15160"/>
    <tableColumn id="15166" xr3:uid="{9DE1E957-E91C-4FA9-98FB-9ABE4EF65755}" name="Column15161"/>
    <tableColumn id="15167" xr3:uid="{142FF1F6-3BE5-42FF-BE8E-2C05A0BECAFC}" name="Column15162"/>
    <tableColumn id="15168" xr3:uid="{5B27A702-3FA2-4C9D-A7A1-6B6874605E00}" name="Column15163"/>
    <tableColumn id="15169" xr3:uid="{0B01F2D6-6334-44A8-8A5E-7607D9D508CA}" name="Column15164"/>
    <tableColumn id="15170" xr3:uid="{121123B3-92D4-4371-A23A-CD217C531BF9}" name="Column15165"/>
    <tableColumn id="15171" xr3:uid="{9EF1C0A5-D25B-46EB-A327-EB85B76D7B88}" name="Column15166"/>
    <tableColumn id="15172" xr3:uid="{8739E6FF-AC32-424F-8006-55F8229021D8}" name="Column15167"/>
    <tableColumn id="15173" xr3:uid="{5D74014B-A82A-4268-8185-4D2477C89629}" name="Column15168"/>
    <tableColumn id="15174" xr3:uid="{D904B845-0F4A-4ECB-88CC-1A1FE556EE36}" name="Column15169"/>
    <tableColumn id="15175" xr3:uid="{4BDE35A7-C889-4209-88BE-481AFFE8007E}" name="Column15170"/>
    <tableColumn id="15176" xr3:uid="{A0EDDBF0-03B2-45D0-AD35-9EEE528F3EF4}" name="Column15171"/>
    <tableColumn id="15177" xr3:uid="{02AF0D4F-9FC2-4F91-BAAE-9649261561D1}" name="Column15172"/>
    <tableColumn id="15178" xr3:uid="{1D8506C0-BC5C-47BC-B1A9-21FDC636AFF1}" name="Column15173"/>
    <tableColumn id="15179" xr3:uid="{1B8A1F18-4967-48D7-AF32-788BA587DF6B}" name="Column15174"/>
    <tableColumn id="15180" xr3:uid="{54717584-0B65-4D97-85C9-BFB67EEA711A}" name="Column15175"/>
    <tableColumn id="15181" xr3:uid="{CACAA865-CD13-4ED7-AEFC-3056DDF1E112}" name="Column15176"/>
    <tableColumn id="15182" xr3:uid="{BF911BA2-6273-4677-9985-590335259160}" name="Column15177"/>
    <tableColumn id="15183" xr3:uid="{353EE512-00CE-48FE-A876-86AC8D80D1BD}" name="Column15178"/>
    <tableColumn id="15184" xr3:uid="{8734062F-3BE2-4B8A-8A79-2ECBAE6668DC}" name="Column15179"/>
    <tableColumn id="15185" xr3:uid="{78B6C232-DC28-4F7F-9E20-CDD19F8CD778}" name="Column15180"/>
    <tableColumn id="15186" xr3:uid="{DD37F069-168F-44C5-97B2-9877DBC3B305}" name="Column15181"/>
    <tableColumn id="15187" xr3:uid="{23023603-9A79-41CA-9C16-334E8542EB36}" name="Column15182"/>
    <tableColumn id="15188" xr3:uid="{54BA763F-76C8-494E-98C0-BA5610FCA0F9}" name="Column15183"/>
    <tableColumn id="15189" xr3:uid="{27C3CD74-6F15-49D8-9B4E-6190A5944829}" name="Column15184"/>
    <tableColumn id="15190" xr3:uid="{60BB31AE-AE72-49EC-B085-F346B0FEF283}" name="Column15185"/>
    <tableColumn id="15191" xr3:uid="{CD786B2D-3C10-4E9C-9762-B5F3D721EE9D}" name="Column15186"/>
    <tableColumn id="15192" xr3:uid="{A6E0B4D8-94DF-4176-A77F-BBB9E7AFADAA}" name="Column15187"/>
    <tableColumn id="15193" xr3:uid="{AC6E8745-BBB1-4DDA-9B3A-400C3E604215}" name="Column15188"/>
    <tableColumn id="15194" xr3:uid="{401D9572-9C1B-4AA7-A922-A30D07D74399}" name="Column15189"/>
    <tableColumn id="15195" xr3:uid="{1CF376F8-7F27-44E8-954F-94038E1B2CC3}" name="Column15190"/>
    <tableColumn id="15196" xr3:uid="{93373283-E2BC-4D91-ACC0-84CC3C195224}" name="Column15191"/>
    <tableColumn id="15197" xr3:uid="{11D902A1-F1E9-462D-82B6-10B2CC8E90F1}" name="Column15192"/>
    <tableColumn id="15198" xr3:uid="{BD0CFDCB-AE80-445C-AF22-89258A9CCE73}" name="Column15193"/>
    <tableColumn id="15199" xr3:uid="{DADB3AF5-B121-41A2-B743-00A2198B6B5E}" name="Column15194"/>
    <tableColumn id="15200" xr3:uid="{92EF3196-6B61-400C-9A70-CF41680DC860}" name="Column15195"/>
    <tableColumn id="15201" xr3:uid="{B0F46EB7-0FE8-4923-8B68-EA562EF3EFE1}" name="Column15196"/>
    <tableColumn id="15202" xr3:uid="{E117885C-1E52-4AA7-9D95-8089F9BA2492}" name="Column15197"/>
    <tableColumn id="15203" xr3:uid="{493D5727-5259-4461-A4F1-5F8CFA80EAB9}" name="Column15198"/>
    <tableColumn id="15204" xr3:uid="{DE1973B4-784D-4151-AD74-CC61A85B3EAF}" name="Column15199"/>
    <tableColumn id="15205" xr3:uid="{0E6D08C1-9041-4F6A-8AFC-F8746DFBDC81}" name="Column15200"/>
    <tableColumn id="15206" xr3:uid="{1BD42AB2-3A5A-4A62-8095-E4938615D4EC}" name="Column15201"/>
    <tableColumn id="15207" xr3:uid="{647778FC-08E4-4811-8F23-403EC74586FE}" name="Column15202"/>
    <tableColumn id="15208" xr3:uid="{4DCF6F2E-84C0-47B5-A9BD-8D5EA364588D}" name="Column15203"/>
    <tableColumn id="15209" xr3:uid="{C2BD7591-55CB-4B89-9673-D989E34B0F72}" name="Column15204"/>
    <tableColumn id="15210" xr3:uid="{6C2B1960-5BCA-430A-9FE7-55981F052BB4}" name="Column15205"/>
    <tableColumn id="15211" xr3:uid="{488745F5-4CC2-4495-9696-295D453E0896}" name="Column15206"/>
    <tableColumn id="15212" xr3:uid="{C8AD6B00-2189-4A59-9962-71A47B8DCD88}" name="Column15207"/>
    <tableColumn id="15213" xr3:uid="{17EC3F77-00CD-4176-A793-518A3DCA1FC4}" name="Column15208"/>
    <tableColumn id="15214" xr3:uid="{FEB5788A-8D48-4B96-BB2B-D20B16194F5E}" name="Column15209"/>
    <tableColumn id="15215" xr3:uid="{686C75F6-3FA3-411A-B5D5-6EFFC5DA00CC}" name="Column15210"/>
    <tableColumn id="15216" xr3:uid="{F395B6D4-FBF0-4983-92AD-CC710E9B2FC0}" name="Column15211"/>
    <tableColumn id="15217" xr3:uid="{B087F488-F26D-4F09-B0A0-FFF9F6966DBC}" name="Column15212"/>
    <tableColumn id="15218" xr3:uid="{3FC46BAB-E46B-4B0C-BA2E-3092B2AFE8F9}" name="Column15213"/>
    <tableColumn id="15219" xr3:uid="{372D7BAF-C710-4CBE-8D61-CD8CFAA64658}" name="Column15214"/>
    <tableColumn id="15220" xr3:uid="{4197E554-878A-4AE5-8552-78231C66942A}" name="Column15215"/>
    <tableColumn id="15221" xr3:uid="{B9B8FC9F-0FC0-487C-BF85-22EA4C4046AA}" name="Column15216"/>
    <tableColumn id="15222" xr3:uid="{45AFBAEF-E6A1-45D3-B17D-EF23244AC62B}" name="Column15217"/>
    <tableColumn id="15223" xr3:uid="{0EC63133-2BA4-4276-8064-5085C6619F52}" name="Column15218"/>
    <tableColumn id="15224" xr3:uid="{173947AD-C9E2-4777-A286-95DB0F505976}" name="Column15219"/>
    <tableColumn id="15225" xr3:uid="{1EEBD168-DA28-40DA-A491-92C2C5CC3EB0}" name="Column15220"/>
    <tableColumn id="15226" xr3:uid="{5CA3FFA2-58AA-45DF-A4BC-9D07CC85BE9A}" name="Column15221"/>
    <tableColumn id="15227" xr3:uid="{0D7BC25B-558F-457F-8637-91B005F798A7}" name="Column15222"/>
    <tableColumn id="15228" xr3:uid="{A2678FA2-DC90-4883-8EB2-756779119E7A}" name="Column15223"/>
    <tableColumn id="15229" xr3:uid="{DB6780A4-E52D-4052-82BC-0D0D27570F76}" name="Column15224"/>
    <tableColumn id="15230" xr3:uid="{04ADC3C4-3DFE-410A-BDA4-8F38D9A9C889}" name="Column15225"/>
    <tableColumn id="15231" xr3:uid="{23657C5F-DA8C-4C68-95CC-70077C2C0DD2}" name="Column15226"/>
    <tableColumn id="15232" xr3:uid="{43FB96C9-0761-4241-B5BF-EDAAC3B13F4D}" name="Column15227"/>
    <tableColumn id="15233" xr3:uid="{F204AF1A-6296-4448-BF56-C03CF2C1E5EB}" name="Column15228"/>
    <tableColumn id="15234" xr3:uid="{E6258FF7-0795-4B8F-BB2A-5FFDFA76D2B0}" name="Column15229"/>
    <tableColumn id="15235" xr3:uid="{F74D80ED-E651-4096-8084-89B7F95F8FF7}" name="Column15230"/>
    <tableColumn id="15236" xr3:uid="{3D87380B-4CDB-4FB5-ADB8-3CD512097FC0}" name="Column15231"/>
    <tableColumn id="15237" xr3:uid="{ADB91F71-51BD-4BD8-9E77-123D16C99A3A}" name="Column15232"/>
    <tableColumn id="15238" xr3:uid="{80A171A2-FEAA-49CE-9D71-32DB12D53BDC}" name="Column15233"/>
    <tableColumn id="15239" xr3:uid="{BDD7F6B5-B80F-48F3-BCCA-D4AE20FC36E6}" name="Column15234"/>
    <tableColumn id="15240" xr3:uid="{DD464525-A205-49F6-BE2E-2405A8E416FF}" name="Column15235"/>
    <tableColumn id="15241" xr3:uid="{24BB24C9-4BA9-4C52-86CF-43F0E2A3DDE1}" name="Column15236"/>
    <tableColumn id="15242" xr3:uid="{F7DD4CF9-331A-4104-A992-01562D3A2851}" name="Column15237"/>
    <tableColumn id="15243" xr3:uid="{CB39FAE9-E1D9-4D1D-BBB3-7B21E8691140}" name="Column15238"/>
    <tableColumn id="15244" xr3:uid="{180F7F32-A3B1-4103-807D-F02E77E03CF1}" name="Column15239"/>
    <tableColumn id="15245" xr3:uid="{1AB3471C-2A51-441C-A5C6-10743E37564C}" name="Column15240"/>
    <tableColumn id="15246" xr3:uid="{E905B262-26F9-4CE3-9818-9F79A6199881}" name="Column15241"/>
    <tableColumn id="15247" xr3:uid="{5B5285DC-0D2A-48DC-8388-74E1C1D33C5A}" name="Column15242"/>
    <tableColumn id="15248" xr3:uid="{233C7548-31F9-476A-A0F2-E8A6253695D8}" name="Column15243"/>
    <tableColumn id="15249" xr3:uid="{0A61C337-11D4-40F0-AC0F-FACD07A54BE1}" name="Column15244"/>
    <tableColumn id="15250" xr3:uid="{23B437B3-21BC-4796-B712-EFA3DAD6BAE2}" name="Column15245"/>
    <tableColumn id="15251" xr3:uid="{17DBE8CA-80C7-4F7B-8B73-A87128B91AB1}" name="Column15246"/>
    <tableColumn id="15252" xr3:uid="{D06059B9-02F5-4306-970A-B71BA6148892}" name="Column15247"/>
    <tableColumn id="15253" xr3:uid="{FB6BC137-8BB1-4CA5-9399-64D150C318E2}" name="Column15248"/>
    <tableColumn id="15254" xr3:uid="{3F6C0A1B-5F5D-4C6F-9169-C6A8278657C0}" name="Column15249"/>
    <tableColumn id="15255" xr3:uid="{38B7FD25-29FC-4B12-8A36-5DBD866F3B2F}" name="Column15250"/>
    <tableColumn id="15256" xr3:uid="{0BF1B724-B926-41B8-82EE-D18930BC41CE}" name="Column15251"/>
    <tableColumn id="15257" xr3:uid="{783A2FF3-920B-4DE8-8B92-F4D82610BC49}" name="Column15252"/>
    <tableColumn id="15258" xr3:uid="{BD774712-005D-4371-A44C-81013CA3AD64}" name="Column15253"/>
    <tableColumn id="15259" xr3:uid="{837CEAE2-99EE-404C-8EA0-81BF0B52F340}" name="Column15254"/>
    <tableColumn id="15260" xr3:uid="{3D476193-CD6D-46CF-85D5-F751E111E9AA}" name="Column15255"/>
    <tableColumn id="15261" xr3:uid="{57CD0756-7EC0-4E8F-8E42-09EEF3D4145F}" name="Column15256"/>
    <tableColumn id="15262" xr3:uid="{B8C37A92-C40A-41D9-8D13-3813D1CA2AAE}" name="Column15257"/>
    <tableColumn id="15263" xr3:uid="{E68FD34B-4C0F-4963-BA7D-85730EC093CC}" name="Column15258"/>
    <tableColumn id="15264" xr3:uid="{A40445EE-B240-452C-BA30-2B36BDE58C93}" name="Column15259"/>
    <tableColumn id="15265" xr3:uid="{E158C8DB-0808-4F53-9E3F-7273B6480DC9}" name="Column15260"/>
    <tableColumn id="15266" xr3:uid="{5889E0BF-B5FF-4F8D-86AD-9CD89FE59109}" name="Column15261"/>
    <tableColumn id="15267" xr3:uid="{1A4C76FB-D7CC-462E-A71E-A06F33BBBCCD}" name="Column15262"/>
    <tableColumn id="15268" xr3:uid="{F5BAEF2F-9B15-4B2C-9F76-4A582A171A50}" name="Column15263"/>
    <tableColumn id="15269" xr3:uid="{3D1EC5E0-0DAE-40E7-A90D-A429962E212B}" name="Column15264"/>
    <tableColumn id="15270" xr3:uid="{F48485C1-04FF-4B39-B75C-CF4C473243AA}" name="Column15265"/>
    <tableColumn id="15271" xr3:uid="{27557589-A677-46A8-AD98-C577B07436F9}" name="Column15266"/>
    <tableColumn id="15272" xr3:uid="{7BC44D99-505D-4B4F-BBC4-1C267CAC1E03}" name="Column15267"/>
    <tableColumn id="15273" xr3:uid="{5260E600-8CE7-47B0-AC76-2CA9DE3975FC}" name="Column15268"/>
    <tableColumn id="15274" xr3:uid="{CE77D1C7-6573-4815-97F9-880A626719A8}" name="Column15269"/>
    <tableColumn id="15275" xr3:uid="{00F356B4-848A-4301-9E6B-AC907B549281}" name="Column15270"/>
    <tableColumn id="15276" xr3:uid="{C6F9C27E-BD2E-4F33-AA95-CDAA7001F94F}" name="Column15271"/>
    <tableColumn id="15277" xr3:uid="{F70F23C5-8FBA-45DE-92E8-E8150E165A71}" name="Column15272"/>
    <tableColumn id="15278" xr3:uid="{6D7CD590-47F9-4EF9-9273-B747A78BB96E}" name="Column15273"/>
    <tableColumn id="15279" xr3:uid="{62D8796E-9004-41FF-867B-8DE0BFABB43C}" name="Column15274"/>
    <tableColumn id="15280" xr3:uid="{BD37D778-E6F2-47D6-9D53-86ED0345EA63}" name="Column15275"/>
    <tableColumn id="15281" xr3:uid="{B8984E78-5DD8-477F-9347-A7B29B141B56}" name="Column15276"/>
    <tableColumn id="15282" xr3:uid="{F17A6E6C-6EB8-4A23-B6A2-A27049038C2D}" name="Column15277"/>
    <tableColumn id="15283" xr3:uid="{E9F42222-A929-41D1-84D5-B48C4BA8C9A0}" name="Column15278"/>
    <tableColumn id="15284" xr3:uid="{07B5CCC5-FE25-4007-8E97-496FD8661E47}" name="Column15279"/>
    <tableColumn id="15285" xr3:uid="{2FD315D5-5B7D-484C-BB63-FBAB101F4D95}" name="Column15280"/>
    <tableColumn id="15286" xr3:uid="{C14CCF36-3AEE-49EB-8A1F-AA9AB92C19BE}" name="Column15281"/>
    <tableColumn id="15287" xr3:uid="{570D73F3-6BBC-4FA0-85B0-6390FBFF0A73}" name="Column15282"/>
    <tableColumn id="15288" xr3:uid="{DC0CF81F-D038-4034-B5FE-17C7E9FF15DD}" name="Column15283"/>
    <tableColumn id="15289" xr3:uid="{AFF54326-00ED-4F8B-91DF-BE061A972306}" name="Column15284"/>
    <tableColumn id="15290" xr3:uid="{C59C11E7-2072-41AE-8CC0-2F628B0F64A2}" name="Column15285"/>
    <tableColumn id="15291" xr3:uid="{F4C5F680-1761-4B22-B631-EF30E1A99207}" name="Column15286"/>
    <tableColumn id="15292" xr3:uid="{62A45040-3BEB-4C12-A551-7B32782ED86C}" name="Column15287"/>
    <tableColumn id="15293" xr3:uid="{12ADDBF1-9B9E-48B5-B896-925DA8C912DE}" name="Column15288"/>
    <tableColumn id="15294" xr3:uid="{932751BF-616A-43BA-8968-9A1584FD7497}" name="Column15289"/>
    <tableColumn id="15295" xr3:uid="{6DC0D035-5DE7-4286-990C-17E212039181}" name="Column15290"/>
    <tableColumn id="15296" xr3:uid="{D9A3F109-BAC9-43C5-9910-3045F6FD33B9}" name="Column15291"/>
    <tableColumn id="15297" xr3:uid="{A9818BAC-CEDB-4521-AA63-4EA47690F086}" name="Column15292"/>
    <tableColumn id="15298" xr3:uid="{92EB1C14-1C61-4B5E-98F3-D3E7B863B1F9}" name="Column15293"/>
    <tableColumn id="15299" xr3:uid="{1973271D-B0DE-402C-BC34-9118A27D8228}" name="Column15294"/>
    <tableColumn id="15300" xr3:uid="{6D872166-06F5-4CCC-9A05-84EF076D3258}" name="Column15295"/>
    <tableColumn id="15301" xr3:uid="{F9CEF32D-3025-48CC-946E-A8BEA60603CE}" name="Column15296"/>
    <tableColumn id="15302" xr3:uid="{0B813F8E-ACCE-4CE3-A718-FB6329EF798E}" name="Column15297"/>
    <tableColumn id="15303" xr3:uid="{DC5B4C4F-33C2-471E-BB3B-B16E3F540EA2}" name="Column15298"/>
    <tableColumn id="15304" xr3:uid="{C0B0DFEF-5707-4E44-A1A8-AA0375B91A7A}" name="Column15299"/>
    <tableColumn id="15305" xr3:uid="{D4F8B60B-8D6D-4B77-A75F-BD4F99DA79B9}" name="Column15300"/>
    <tableColumn id="15306" xr3:uid="{75DFCBEC-1D5A-401E-B709-75DAEE01E86A}" name="Column15301"/>
    <tableColumn id="15307" xr3:uid="{38BB49B0-46E2-46B1-AFC5-FFEFFECB80AF}" name="Column15302"/>
    <tableColumn id="15308" xr3:uid="{8F80E751-00A6-46B0-842F-4E73D746FFCE}" name="Column15303"/>
    <tableColumn id="15309" xr3:uid="{21C25BFB-0C76-4898-800B-956E4E46D183}" name="Column15304"/>
    <tableColumn id="15310" xr3:uid="{8CBD27CF-6884-47C9-9F4B-9466D0488E03}" name="Column15305"/>
    <tableColumn id="15311" xr3:uid="{289B2047-65DF-4B4E-A779-C4507D018FEF}" name="Column15306"/>
    <tableColumn id="15312" xr3:uid="{3697C9FB-762F-4F29-AF7B-1C48585025ED}" name="Column15307"/>
    <tableColumn id="15313" xr3:uid="{9D7975FD-695D-4A51-8CBD-5E0CC72341A6}" name="Column15308"/>
    <tableColumn id="15314" xr3:uid="{D672FCAA-89B4-41AF-8467-A24A77CF04AD}" name="Column15309"/>
    <tableColumn id="15315" xr3:uid="{5E7BD4D2-DDAD-49E8-9954-53017FAFB4A2}" name="Column15310"/>
    <tableColumn id="15316" xr3:uid="{E96602F4-C209-40E5-8864-D575DDA10EA7}" name="Column15311"/>
    <tableColumn id="15317" xr3:uid="{5A14640C-9975-4D95-84D9-9080878704C6}" name="Column15312"/>
    <tableColumn id="15318" xr3:uid="{CF23374C-80CE-4105-8C1E-2BEB1D90F535}" name="Column15313"/>
    <tableColumn id="15319" xr3:uid="{8AC2D886-ADAF-4F84-A72F-5220FB0BFD95}" name="Column15314"/>
    <tableColumn id="15320" xr3:uid="{1C1A65D9-F7C6-4AEA-8AAE-DAEFA844B15F}" name="Column15315"/>
    <tableColumn id="15321" xr3:uid="{52E0358B-1BF2-4FA1-BCB8-AAA844F55CFF}" name="Column15316"/>
    <tableColumn id="15322" xr3:uid="{DFD99274-C29D-41B2-A02E-3910B66241C6}" name="Column15317"/>
    <tableColumn id="15323" xr3:uid="{F87EC314-EDAB-48C6-AB8A-C9CC1405DAFF}" name="Column15318"/>
    <tableColumn id="15324" xr3:uid="{CD0D2DA9-CF3E-46E5-92A7-CACE3657ED71}" name="Column15319"/>
    <tableColumn id="15325" xr3:uid="{16602DBB-657C-465E-9B90-6F4E4D935450}" name="Column15320"/>
    <tableColumn id="15326" xr3:uid="{49FE516A-9CB4-4617-ADD9-6425E959DBA4}" name="Column15321"/>
    <tableColumn id="15327" xr3:uid="{E84A12FE-5BB9-4E1D-9511-25B45FE13D0B}" name="Column15322"/>
    <tableColumn id="15328" xr3:uid="{C6111AC5-0CE4-4A3A-BDEB-21B78DEB3B2A}" name="Column15323"/>
    <tableColumn id="15329" xr3:uid="{F97B6D64-DC37-4FE8-99BD-B07B6A8684A1}" name="Column15324"/>
    <tableColumn id="15330" xr3:uid="{C077772B-1786-4F3C-B90F-AB97DF6F679C}" name="Column15325"/>
    <tableColumn id="15331" xr3:uid="{45C21448-5A04-4830-8579-2353BAAABCE4}" name="Column15326"/>
    <tableColumn id="15332" xr3:uid="{98AF835E-CC43-4E72-802B-CE4D80A2DF0A}" name="Column15327"/>
    <tableColumn id="15333" xr3:uid="{145749A5-486A-4A73-9E9A-31C9A291D03C}" name="Column15328"/>
    <tableColumn id="15334" xr3:uid="{A2EE0172-9A5C-4D7E-8DBA-1DDA68D25B5F}" name="Column15329"/>
    <tableColumn id="15335" xr3:uid="{3F85C7E3-9A68-4618-BE7D-01D7C6068F91}" name="Column15330"/>
    <tableColumn id="15336" xr3:uid="{B8C76CF5-E997-4DF0-B69C-4782A1F83E36}" name="Column15331"/>
    <tableColumn id="15337" xr3:uid="{0DC0DEA6-2575-4C03-BF39-8E8D142DE3FB}" name="Column15332"/>
    <tableColumn id="15338" xr3:uid="{BA5101C3-9D90-4DBB-A78F-9995C14747DA}" name="Column15333"/>
    <tableColumn id="15339" xr3:uid="{4B246EA8-719C-4F07-9E22-605BAFFE5842}" name="Column15334"/>
    <tableColumn id="15340" xr3:uid="{1F649318-6F2E-45EA-A11B-3AA75585D146}" name="Column15335"/>
    <tableColumn id="15341" xr3:uid="{81052A1A-9208-4B9C-822B-3CE2C4B97A51}" name="Column15336"/>
    <tableColumn id="15342" xr3:uid="{D34EBC1C-3261-403E-A654-C7A3AEFB2109}" name="Column15337"/>
    <tableColumn id="15343" xr3:uid="{0D9DF147-2836-479D-846A-D563C63E10F0}" name="Column15338"/>
    <tableColumn id="15344" xr3:uid="{CA7FEC1D-D85C-4E24-8F5D-1B8B4FD6F0FD}" name="Column15339"/>
    <tableColumn id="15345" xr3:uid="{4BBE48AC-6229-49B5-AF67-66DE63B991B1}" name="Column15340"/>
    <tableColumn id="15346" xr3:uid="{A9CD4915-F548-444B-868A-516CCDBFC45D}" name="Column15341"/>
    <tableColumn id="15347" xr3:uid="{5CE8F190-8E33-4C23-823E-7E279DA31FBF}" name="Column15342"/>
    <tableColumn id="15348" xr3:uid="{97C91C82-B796-4CE4-923A-B207ACBCFE94}" name="Column15343"/>
    <tableColumn id="15349" xr3:uid="{A05916F5-444A-4757-A4C6-25213B1121F6}" name="Column15344"/>
    <tableColumn id="15350" xr3:uid="{5C342C62-4AC8-428E-B59C-5CD285685791}" name="Column15345"/>
    <tableColumn id="15351" xr3:uid="{C9C14C32-8809-492D-8D63-AEEE2005D973}" name="Column15346"/>
    <tableColumn id="15352" xr3:uid="{56DE86BD-D0D5-4B9C-A713-9B5C0E0D4784}" name="Column15347"/>
    <tableColumn id="15353" xr3:uid="{9C77B4BA-940D-4388-881C-EA7AB3A35479}" name="Column15348"/>
    <tableColumn id="15354" xr3:uid="{80E4C31E-B56B-4ED4-951E-4E1087ECA048}" name="Column15349"/>
    <tableColumn id="15355" xr3:uid="{12DD2FC3-17AE-4C44-94E3-EAEE71306BB7}" name="Column15350"/>
    <tableColumn id="15356" xr3:uid="{69AB8334-BDAB-40DA-AD45-7CB339BDD88D}" name="Column15351"/>
    <tableColumn id="15357" xr3:uid="{D25D3589-41A9-4E9D-946C-8AEE3CD30D97}" name="Column15352"/>
    <tableColumn id="15358" xr3:uid="{1AB8DC35-101A-4B41-866F-0F0910E76231}" name="Column15353"/>
    <tableColumn id="15359" xr3:uid="{A9E4AEC2-5639-4438-9638-450858850D93}" name="Column15354"/>
    <tableColumn id="15360" xr3:uid="{4B16D11D-84B7-43A8-A5DE-E019818074D4}" name="Column15355"/>
    <tableColumn id="15361" xr3:uid="{A93E5545-B5B4-4AC8-934B-32D2CC1CEE88}" name="Column15356"/>
    <tableColumn id="15362" xr3:uid="{C1FFCEB2-31C6-416B-A6E5-E1AAEBFC4491}" name="Column15357"/>
    <tableColumn id="15363" xr3:uid="{20BDFDD6-382B-4258-8C12-3B82F63C0F2C}" name="Column15358"/>
    <tableColumn id="15364" xr3:uid="{4E24125F-0F95-40B3-8818-D16AA1ED3E68}" name="Column15359"/>
    <tableColumn id="15365" xr3:uid="{E753F386-3F67-4629-BFDE-4E1F8C8B50E0}" name="Column15360"/>
    <tableColumn id="15366" xr3:uid="{A416E4DE-69DD-4731-AA7F-3A5BCE475303}" name="Column15361"/>
    <tableColumn id="15367" xr3:uid="{D539FE44-110A-4E85-B7BD-52199C427E34}" name="Column15362"/>
    <tableColumn id="15368" xr3:uid="{1CDCECD9-3F58-42A1-8079-3BCB0FBC7A0C}" name="Column15363"/>
    <tableColumn id="15369" xr3:uid="{7053ADBF-72BD-4CB7-81A1-22949E1ED03E}" name="Column15364"/>
    <tableColumn id="15370" xr3:uid="{F990C640-A863-48B8-A32D-39757E7556F5}" name="Column15365"/>
    <tableColumn id="15371" xr3:uid="{DB4F69EA-AFEF-4906-B7F4-A01BB30C78FC}" name="Column15366"/>
    <tableColumn id="15372" xr3:uid="{B02EB055-D083-4E36-BF4F-7E17520EF5FA}" name="Column15367"/>
    <tableColumn id="15373" xr3:uid="{CCDA6300-64F3-4697-867E-98D5FA4B6C41}" name="Column15368"/>
    <tableColumn id="15374" xr3:uid="{D5B1831A-4492-4F18-B9D3-F5FD7A4F7EF6}" name="Column15369"/>
    <tableColumn id="15375" xr3:uid="{145D0AB2-721E-4C61-AE18-FF58B7FDE121}" name="Column15370"/>
    <tableColumn id="15376" xr3:uid="{3547F11A-F96D-4BDA-B6CE-FE5CC35DB5DE}" name="Column15371"/>
    <tableColumn id="15377" xr3:uid="{F73B6226-4DA2-44F5-BB1C-F95AB3BD91CB}" name="Column15372"/>
    <tableColumn id="15378" xr3:uid="{DEFA9101-2C98-4785-8ED4-AB9693EE575D}" name="Column15373"/>
    <tableColumn id="15379" xr3:uid="{DA8F4FD8-DB3A-4343-8FB0-9DC91DC80D85}" name="Column15374"/>
    <tableColumn id="15380" xr3:uid="{A761C04E-DD26-4A6E-A9FD-DB8893F9EB72}" name="Column15375"/>
    <tableColumn id="15381" xr3:uid="{60C002BB-3797-4CE7-BA84-C4EDCD2E55CF}" name="Column15376"/>
    <tableColumn id="15382" xr3:uid="{CB82C28C-D39F-4C3D-AE22-AE1FA6990342}" name="Column15377"/>
    <tableColumn id="15383" xr3:uid="{D43EDAED-0820-4857-AECA-E9908BC03466}" name="Column15378"/>
    <tableColumn id="15384" xr3:uid="{149F6B20-F2BC-4DD6-979F-88D771522409}" name="Column15379"/>
    <tableColumn id="15385" xr3:uid="{E97BE39B-08FD-4AD3-99A9-8F100EB885DE}" name="Column15380"/>
    <tableColumn id="15386" xr3:uid="{D2321C77-AB68-4BD0-9CD2-4D5F8B1CA56A}" name="Column15381"/>
    <tableColumn id="15387" xr3:uid="{D1361F52-57ED-44C2-8498-7F36ED683C5F}" name="Column15382"/>
    <tableColumn id="15388" xr3:uid="{A4EDAE91-38F5-4FAE-B46D-D33641D1383D}" name="Column15383"/>
    <tableColumn id="15389" xr3:uid="{6D553E1F-9E24-421D-98D7-748FA7D4232A}" name="Column15384"/>
    <tableColumn id="15390" xr3:uid="{0AFB446F-ADED-4BD3-BB20-C4BBB4C2739A}" name="Column15385"/>
    <tableColumn id="15391" xr3:uid="{70AF8B8E-17D5-40FF-A8F2-FE3B41DE71DB}" name="Column15386"/>
    <tableColumn id="15392" xr3:uid="{031633CA-9439-447B-9C9E-88BC12DA70DB}" name="Column15387"/>
    <tableColumn id="15393" xr3:uid="{7F3D78EF-26DD-4E4E-8F76-EC315EE33D5C}" name="Column15388"/>
    <tableColumn id="15394" xr3:uid="{35703F7A-1528-4C12-B8CF-F02A2CF97329}" name="Column15389"/>
    <tableColumn id="15395" xr3:uid="{032E35B9-C67D-4F93-BF1F-ABB381FFA1D4}" name="Column15390"/>
    <tableColumn id="15396" xr3:uid="{8D8AC275-C398-4EDE-9B0E-8D9880AA82D3}" name="Column15391"/>
    <tableColumn id="15397" xr3:uid="{67FE2B72-FFDC-4129-8781-1E3D74B4F29D}" name="Column15392"/>
    <tableColumn id="15398" xr3:uid="{F99F6DFC-77BA-41C5-B86B-E0C48431F883}" name="Column15393"/>
    <tableColumn id="15399" xr3:uid="{E100528D-D2D8-4EBC-921E-BE6EDD30D61D}" name="Column15394"/>
    <tableColumn id="15400" xr3:uid="{AE235CEF-71CC-46F1-8F3F-6DF6203B16AA}" name="Column15395"/>
    <tableColumn id="15401" xr3:uid="{574B93B1-7126-4886-A828-F937FD0F428E}" name="Column15396"/>
    <tableColumn id="15402" xr3:uid="{C766BE27-412D-449A-8B0E-7E178A294C22}" name="Column15397"/>
    <tableColumn id="15403" xr3:uid="{48851A40-5FF4-46D6-88A2-14CB115E7C4D}" name="Column15398"/>
    <tableColumn id="15404" xr3:uid="{15C9A530-EF9F-42D7-8F5F-A30CC3343DF1}" name="Column15399"/>
    <tableColumn id="15405" xr3:uid="{AEB53BC9-8A93-4F28-8187-75B1C3CB3DED}" name="Column15400"/>
    <tableColumn id="15406" xr3:uid="{D084DFC4-C968-4CB6-A61D-3BD003BAB2DD}" name="Column15401"/>
    <tableColumn id="15407" xr3:uid="{899608D9-65AD-48EF-847E-1E2CEDA9413C}" name="Column15402"/>
    <tableColumn id="15408" xr3:uid="{00740C47-595D-4121-B5F4-23689916E6FB}" name="Column15403"/>
    <tableColumn id="15409" xr3:uid="{9FBC4E89-2250-41AF-BC50-771B3F77D6B6}" name="Column15404"/>
    <tableColumn id="15410" xr3:uid="{29AB9AD5-7995-4CCF-8F44-704BE4166322}" name="Column15405"/>
    <tableColumn id="15411" xr3:uid="{8568CDFF-1ED6-4834-96CB-DBE58DEC9D57}" name="Column15406"/>
    <tableColumn id="15412" xr3:uid="{EDB0A1D7-659E-4913-96DD-49B0B4F1090E}" name="Column15407"/>
    <tableColumn id="15413" xr3:uid="{EA231523-77C8-4FEB-BC1F-072FE68E9BB2}" name="Column15408"/>
    <tableColumn id="15414" xr3:uid="{F3103F6A-9D73-484D-812D-CAB70214F320}" name="Column15409"/>
    <tableColumn id="15415" xr3:uid="{DFDE7C91-5EAB-4725-A016-89289AAB0AB4}" name="Column15410"/>
    <tableColumn id="15416" xr3:uid="{5D8DC64C-F423-4B7C-9DA6-C572B65600C5}" name="Column15411"/>
    <tableColumn id="15417" xr3:uid="{2053548F-F1B0-414A-B63E-BA0E16869DDA}" name="Column15412"/>
    <tableColumn id="15418" xr3:uid="{3CA1865D-12E7-450F-AEF2-AEC51F4EF14E}" name="Column15413"/>
    <tableColumn id="15419" xr3:uid="{17610E94-321D-4BD6-9263-8571AFE4631F}" name="Column15414"/>
    <tableColumn id="15420" xr3:uid="{296B1530-4E4C-40B7-83BC-0950FA31FCAD}" name="Column15415"/>
    <tableColumn id="15421" xr3:uid="{8B811843-9525-4291-A98F-1F86D905EEDF}" name="Column15416"/>
    <tableColumn id="15422" xr3:uid="{AE97925A-2639-43B8-81D6-B4DC0F0FB715}" name="Column15417"/>
    <tableColumn id="15423" xr3:uid="{7C3365C4-9362-4B00-8641-77E1D01256F1}" name="Column15418"/>
    <tableColumn id="15424" xr3:uid="{F5F75416-B481-427A-A93D-744DF61FC35D}" name="Column15419"/>
    <tableColumn id="15425" xr3:uid="{E01B565F-02FD-4E81-B2C3-5021C75A5F9A}" name="Column15420"/>
    <tableColumn id="15426" xr3:uid="{C752C03D-D9E9-45DC-951B-4EF13CA023A3}" name="Column15421"/>
    <tableColumn id="15427" xr3:uid="{B7C257A6-D093-42B3-AE81-B1D3450657B3}" name="Column15422"/>
    <tableColumn id="15428" xr3:uid="{FD894AE9-D685-43AD-9994-F464AAA4EA03}" name="Column15423"/>
    <tableColumn id="15429" xr3:uid="{0D154B11-53C7-4D7D-9AF3-FAEBAF49783A}" name="Column15424"/>
    <tableColumn id="15430" xr3:uid="{9BCB705C-A480-4F35-B337-780B97B6106A}" name="Column15425"/>
    <tableColumn id="15431" xr3:uid="{235235E8-C74E-41A3-B9F5-6010500641E9}" name="Column15426"/>
    <tableColumn id="15432" xr3:uid="{DF9340E7-C046-42C6-95E3-047F6B4AB0AC}" name="Column15427"/>
    <tableColumn id="15433" xr3:uid="{07CAC28C-3495-4924-B132-010B4A826FD4}" name="Column15428"/>
    <tableColumn id="15434" xr3:uid="{401AB68A-6413-4F28-9756-5EED39CBAF15}" name="Column15429"/>
    <tableColumn id="15435" xr3:uid="{EA7D43E8-68B0-4A74-AFDB-68E85D794F96}" name="Column15430"/>
    <tableColumn id="15436" xr3:uid="{F1AA5667-8B33-4BB9-B06D-037F00D8837D}" name="Column15431"/>
    <tableColumn id="15437" xr3:uid="{1ED1531F-3C8E-4ED5-9C7D-C09B7D6B9EBA}" name="Column15432"/>
    <tableColumn id="15438" xr3:uid="{B80B5391-847B-4DF7-A98A-293395AEB849}" name="Column15433"/>
    <tableColumn id="15439" xr3:uid="{27E31B4E-9EE5-4953-90CA-8C5EC68020B9}" name="Column15434"/>
    <tableColumn id="15440" xr3:uid="{50C2CD4C-A954-4E8C-809E-AA8E52BC5BEC}" name="Column15435"/>
    <tableColumn id="15441" xr3:uid="{4D1C6186-88E4-4F64-9FBE-951132EB2486}" name="Column15436"/>
    <tableColumn id="15442" xr3:uid="{3E5B6E84-8B9D-4181-A991-7D97356200D5}" name="Column15437"/>
    <tableColumn id="15443" xr3:uid="{ACF85AE8-A478-4E91-B767-6CE73DE5A242}" name="Column15438"/>
    <tableColumn id="15444" xr3:uid="{44BAABFD-0AA1-4F7E-A3B4-591B7DA25B28}" name="Column15439"/>
    <tableColumn id="15445" xr3:uid="{87B3864C-ED19-4227-854C-3C710E8EAEE3}" name="Column15440"/>
    <tableColumn id="15446" xr3:uid="{447DF8D8-E7C8-4A51-9034-11DD0C599EA4}" name="Column15441"/>
    <tableColumn id="15447" xr3:uid="{9B5919DA-1CA0-4469-8F94-5E8C52EB3A1D}" name="Column15442"/>
    <tableColumn id="15448" xr3:uid="{4D3A629A-79EB-4F1B-85DC-B772626598B3}" name="Column15443"/>
    <tableColumn id="15449" xr3:uid="{F3A16C29-F0B9-46B8-A90A-63A1356BDB28}" name="Column15444"/>
    <tableColumn id="15450" xr3:uid="{75057F27-5E06-4F19-BBD4-B9BA7D41270B}" name="Column15445"/>
    <tableColumn id="15451" xr3:uid="{A859CE4B-3D89-4D2B-BA2F-F9622F8F02A7}" name="Column15446"/>
    <tableColumn id="15452" xr3:uid="{0AF86023-7E9F-4451-99B6-2F538B684D7D}" name="Column15447"/>
    <tableColumn id="15453" xr3:uid="{341216D3-E875-43BE-9E54-E76DE51865AD}" name="Column15448"/>
    <tableColumn id="15454" xr3:uid="{49C62CC8-5BEF-4A02-8029-84C1921D63A6}" name="Column15449"/>
    <tableColumn id="15455" xr3:uid="{75CB85B7-094C-4189-A665-93D919977E91}" name="Column15450"/>
    <tableColumn id="15456" xr3:uid="{0641BB2E-4D23-400C-B175-F667212F90FE}" name="Column15451"/>
    <tableColumn id="15457" xr3:uid="{8EDD8DB3-2416-4803-8610-FDDCC20C2C5E}" name="Column15452"/>
    <tableColumn id="15458" xr3:uid="{E51BF564-0636-4AB3-9779-7E7513FFE2AC}" name="Column15453"/>
    <tableColumn id="15459" xr3:uid="{01679CC0-8AAE-47BE-A84A-5972A4C0210B}" name="Column15454"/>
    <tableColumn id="15460" xr3:uid="{20039EB0-1EF2-45C2-8519-37DE8F79CC69}" name="Column15455"/>
    <tableColumn id="15461" xr3:uid="{F8BD3627-11B9-4783-BB04-D02E8D70EA82}" name="Column15456"/>
    <tableColumn id="15462" xr3:uid="{C6A928A8-F200-490B-B482-C545D16C7A5C}" name="Column15457"/>
    <tableColumn id="15463" xr3:uid="{DDF26908-555C-4501-A1CA-D8659B16F195}" name="Column15458"/>
    <tableColumn id="15464" xr3:uid="{CF2A42C6-9056-40AA-B055-2A240CCE503C}" name="Column15459"/>
    <tableColumn id="15465" xr3:uid="{B8946A42-05DF-4F18-B4BB-39E72398C1D9}" name="Column15460"/>
    <tableColumn id="15466" xr3:uid="{C68B8C83-93D8-49CC-AB20-323ACC153983}" name="Column15461"/>
    <tableColumn id="15467" xr3:uid="{1478A827-3202-460C-BD52-4738B81398AA}" name="Column15462"/>
    <tableColumn id="15468" xr3:uid="{E212B1EE-3BE0-48A9-BDCB-83208A78B449}" name="Column15463"/>
    <tableColumn id="15469" xr3:uid="{EDABD5B0-0BCE-4747-947A-3C6D36F1EA16}" name="Column15464"/>
    <tableColumn id="15470" xr3:uid="{10EC7B54-DBA6-44C3-BC05-6427FC761E07}" name="Column15465"/>
    <tableColumn id="15471" xr3:uid="{C4AFC037-7622-4CCB-ADC9-376F374736E5}" name="Column15466"/>
    <tableColumn id="15472" xr3:uid="{13095C0F-E28E-4FB6-A436-AB2FDBA6C4ED}" name="Column15467"/>
    <tableColumn id="15473" xr3:uid="{85C2F479-746C-4A80-BEF3-DD71217918AD}" name="Column15468"/>
    <tableColumn id="15474" xr3:uid="{C814B2CB-3A1E-402A-989C-9132D7A7EABA}" name="Column15469"/>
    <tableColumn id="15475" xr3:uid="{2CCBCEB8-FB47-448A-AD7C-4A0E1C4E1226}" name="Column15470"/>
    <tableColumn id="15476" xr3:uid="{D63F76AD-ED9E-4270-956C-0A9E16418AB4}" name="Column15471"/>
    <tableColumn id="15477" xr3:uid="{9E3DB3DB-04FF-4FD9-BE3E-D3573AED39FE}" name="Column15472"/>
    <tableColumn id="15478" xr3:uid="{0510BA88-B157-4143-AA44-45679F9D3D04}" name="Column15473"/>
    <tableColumn id="15479" xr3:uid="{992ADCA8-664A-4D5E-9083-70D054D36547}" name="Column15474"/>
    <tableColumn id="15480" xr3:uid="{7AB94007-4F01-4797-B400-6C59C98A9A5D}" name="Column15475"/>
    <tableColumn id="15481" xr3:uid="{5335C1CA-EC00-4B09-BC27-F52BD694E781}" name="Column15476"/>
    <tableColumn id="15482" xr3:uid="{FDBE4015-4DD2-41D3-B953-2CF9256DA201}" name="Column15477"/>
    <tableColumn id="15483" xr3:uid="{916A6429-74D8-49AB-8641-4B99ECC5C9AB}" name="Column15478"/>
    <tableColumn id="15484" xr3:uid="{46F2AFE0-9A8D-45A7-877C-8F8D97125AF2}" name="Column15479"/>
    <tableColumn id="15485" xr3:uid="{CBF6F9BB-E12F-43BB-B485-E922FDF06BD9}" name="Column15480"/>
    <tableColumn id="15486" xr3:uid="{53B0F441-D37D-4E76-8789-737C8CA5D4A1}" name="Column15481"/>
    <tableColumn id="15487" xr3:uid="{554E7A8C-681E-41CA-B9C1-1F9983872466}" name="Column15482"/>
    <tableColumn id="15488" xr3:uid="{07B41A3D-27AE-44A5-BF7E-E909053FC469}" name="Column15483"/>
    <tableColumn id="15489" xr3:uid="{24ECE48F-49FD-43B2-889C-C7F1992AC037}" name="Column15484"/>
    <tableColumn id="15490" xr3:uid="{5245CCB3-17A6-471D-A8BF-3F23E8C95579}" name="Column15485"/>
    <tableColumn id="15491" xr3:uid="{EEDB3488-EE3F-4C04-88A1-ACD623E40E1B}" name="Column15486"/>
    <tableColumn id="15492" xr3:uid="{538C24FC-57FB-4EFD-8F83-8B62249F9C06}" name="Column15487"/>
    <tableColumn id="15493" xr3:uid="{013F78FC-1066-4380-BA5A-FAB31E0EC7CB}" name="Column15488"/>
    <tableColumn id="15494" xr3:uid="{679CDC71-AA54-4BE3-AACB-D4FA0EE217BE}" name="Column15489"/>
    <tableColumn id="15495" xr3:uid="{9C06170F-19FD-41BB-98C4-815E4429AF52}" name="Column15490"/>
    <tableColumn id="15496" xr3:uid="{3086FA1F-B342-4A8B-86A2-B5631BAE7316}" name="Column15491"/>
    <tableColumn id="15497" xr3:uid="{3E90D055-A738-4432-ACC5-2283B639FC2A}" name="Column15492"/>
    <tableColumn id="15498" xr3:uid="{07284335-8DC2-457A-BE47-443B75130A11}" name="Column15493"/>
    <tableColumn id="15499" xr3:uid="{AAB563B8-62B4-4434-B152-A201E56533A2}" name="Column15494"/>
    <tableColumn id="15500" xr3:uid="{784CA035-943E-49A2-B4E4-13491E4180A0}" name="Column15495"/>
    <tableColumn id="15501" xr3:uid="{88E29DF5-01CC-4B4E-916F-2BA9005D05FD}" name="Column15496"/>
    <tableColumn id="15502" xr3:uid="{D8510442-1E98-44D3-8EF4-A6E2E489D449}" name="Column15497"/>
    <tableColumn id="15503" xr3:uid="{E5EE54C7-62D4-45E1-80B6-05BF41E9ABB5}" name="Column15498"/>
    <tableColumn id="15504" xr3:uid="{1960B185-762A-41C4-9BC0-A490F348F496}" name="Column15499"/>
    <tableColumn id="15505" xr3:uid="{74D8D201-7B7D-44D8-BB75-EC82FF29AC7F}" name="Column15500"/>
    <tableColumn id="15506" xr3:uid="{9A3E35AD-E382-413B-B0D4-0C983883CD75}" name="Column15501"/>
    <tableColumn id="15507" xr3:uid="{547299CA-8C75-467B-B54B-044AFA1C5934}" name="Column15502"/>
    <tableColumn id="15508" xr3:uid="{59D2AEBF-EE3A-46FE-9627-F94D1BEF9B5B}" name="Column15503"/>
    <tableColumn id="15509" xr3:uid="{1561F2EF-BFE9-4E91-8282-76E5DE9972D3}" name="Column15504"/>
    <tableColumn id="15510" xr3:uid="{BDFE8BE7-813B-47C4-8E4C-E9FB3117DAFD}" name="Column15505"/>
    <tableColumn id="15511" xr3:uid="{2C0F61DD-A353-4D82-A698-49678B484A08}" name="Column15506"/>
    <tableColumn id="15512" xr3:uid="{C540353D-33F4-47D2-8BBA-1177B99388EE}" name="Column15507"/>
    <tableColumn id="15513" xr3:uid="{E4EAD620-82A4-4F60-A8E8-53E318633847}" name="Column15508"/>
    <tableColumn id="15514" xr3:uid="{394189CC-E8DE-4FE9-A9A2-A92B5BDC31D8}" name="Column15509"/>
    <tableColumn id="15515" xr3:uid="{F87600D0-C674-4D61-AB46-2F96C7F6B112}" name="Column15510"/>
    <tableColumn id="15516" xr3:uid="{2BA464D2-9B69-4175-9498-6B14989432D5}" name="Column15511"/>
    <tableColumn id="15517" xr3:uid="{FCDAB0D9-FD2C-4C2B-A897-FF61C02A3055}" name="Column15512"/>
    <tableColumn id="15518" xr3:uid="{CCB79372-91A3-4DC3-B538-E9B50A486445}" name="Column15513"/>
    <tableColumn id="15519" xr3:uid="{DF7B3F47-9EE6-458B-A777-BB8D2F03990C}" name="Column15514"/>
    <tableColumn id="15520" xr3:uid="{1028F8EC-F91E-462E-A967-4049F7AD24A5}" name="Column15515"/>
    <tableColumn id="15521" xr3:uid="{CF22CD50-DD0D-4B83-AE84-D9DA9853E1CE}" name="Column15516"/>
    <tableColumn id="15522" xr3:uid="{2B877871-C5BE-49A6-874B-4F6B79F5F53D}" name="Column15517"/>
    <tableColumn id="15523" xr3:uid="{EA5EE50F-5028-4B9E-AD51-C389C9B9BA6A}" name="Column15518"/>
    <tableColumn id="15524" xr3:uid="{88C21620-5C01-46C5-BEF6-88265F1C320E}" name="Column15519"/>
    <tableColumn id="15525" xr3:uid="{89041483-327A-41E2-9C60-748F506A6EF7}" name="Column15520"/>
    <tableColumn id="15526" xr3:uid="{63432FCC-A9E1-44C8-9340-5BA3E0C20602}" name="Column15521"/>
    <tableColumn id="15527" xr3:uid="{7BC0F9AF-EDAF-4581-9B72-750A2C1958AD}" name="Column15522"/>
    <tableColumn id="15528" xr3:uid="{96BB5F79-646E-4514-9F06-D76FF560E0B0}" name="Column15523"/>
    <tableColumn id="15529" xr3:uid="{7CEDD72A-7B88-47A2-8851-B28E19B52592}" name="Column15524"/>
    <tableColumn id="15530" xr3:uid="{C054E9CD-7AB7-4577-960A-BCB340659F47}" name="Column15525"/>
    <tableColumn id="15531" xr3:uid="{F22B43AB-6FE5-40E8-836A-E49983C00A60}" name="Column15526"/>
    <tableColumn id="15532" xr3:uid="{88D431BE-FA0A-4432-8138-EB224F4BE8AA}" name="Column15527"/>
    <tableColumn id="15533" xr3:uid="{BA536922-DBDA-4E8C-8FEC-546785B2CD1C}" name="Column15528"/>
    <tableColumn id="15534" xr3:uid="{54C720DD-4F80-4BF6-B0B7-F754710315F6}" name="Column15529"/>
    <tableColumn id="15535" xr3:uid="{49586777-00B2-4E0F-B960-AF2BA13EED31}" name="Column15530"/>
    <tableColumn id="15536" xr3:uid="{A34C597C-AB5F-40EE-B7AF-1478901E2F8B}" name="Column15531"/>
    <tableColumn id="15537" xr3:uid="{D126C1C6-D0B9-4214-8136-7E645BF04958}" name="Column15532"/>
    <tableColumn id="15538" xr3:uid="{FEB843BC-4F7E-49EA-A58E-ECBD6B519352}" name="Column15533"/>
    <tableColumn id="15539" xr3:uid="{74502C9F-A599-4C22-B52B-E29EC7585E06}" name="Column15534"/>
    <tableColumn id="15540" xr3:uid="{EA931602-8D59-4F70-B133-427CEEDFF0D5}" name="Column15535"/>
    <tableColumn id="15541" xr3:uid="{A38D774A-23CD-4434-916C-C317D724D09F}" name="Column15536"/>
    <tableColumn id="15542" xr3:uid="{ECC708D6-B6F6-4232-80D9-526EEEDB39E3}" name="Column15537"/>
    <tableColumn id="15543" xr3:uid="{E47725A5-A3AC-40A4-9B51-E620C8287852}" name="Column15538"/>
    <tableColumn id="15544" xr3:uid="{FB33D793-C5BF-496A-9745-3F878CCE8065}" name="Column15539"/>
    <tableColumn id="15545" xr3:uid="{D8B868B1-D2A7-4F72-95AD-FB4FA508A1AE}" name="Column15540"/>
    <tableColumn id="15546" xr3:uid="{4904C16A-2877-41AB-A1B2-44884613B46B}" name="Column15541"/>
    <tableColumn id="15547" xr3:uid="{747A5D54-53BA-451E-8AE7-D049F5DA0010}" name="Column15542"/>
    <tableColumn id="15548" xr3:uid="{7F4FFFD2-B035-4CCF-9195-CA8CA69B50A4}" name="Column15543"/>
    <tableColumn id="15549" xr3:uid="{B51FACA2-15C0-4184-9311-869496AC68D2}" name="Column15544"/>
    <tableColumn id="15550" xr3:uid="{C271C6F2-428D-4ED7-9148-957178B6CDAC}" name="Column15545"/>
    <tableColumn id="15551" xr3:uid="{F8C84032-5598-4817-8DAD-AC001165C2C6}" name="Column15546"/>
    <tableColumn id="15552" xr3:uid="{ED21DB3D-8A56-478D-89E9-6D75B28BF366}" name="Column15547"/>
    <tableColumn id="15553" xr3:uid="{740EB580-03D0-45D6-BEA9-DAA6A470F3C1}" name="Column15548"/>
    <tableColumn id="15554" xr3:uid="{B003181C-2302-4EAD-975D-6C11949E51C5}" name="Column15549"/>
    <tableColumn id="15555" xr3:uid="{E7F4FC2B-12CF-4F8D-BC87-FCD09DABDF0C}" name="Column15550"/>
    <tableColumn id="15556" xr3:uid="{9BEEA5E0-D9D0-4B71-84E0-3D86EAB50692}" name="Column15551"/>
    <tableColumn id="15557" xr3:uid="{B9F9A07A-751C-4F6E-95D0-C84E05ED46F8}" name="Column15552"/>
    <tableColumn id="15558" xr3:uid="{2407817A-2F54-45F8-9DD4-DA94C4A9372D}" name="Column15553"/>
    <tableColumn id="15559" xr3:uid="{A714D300-5AE7-45DF-99C4-18E2CC812C45}" name="Column15554"/>
    <tableColumn id="15560" xr3:uid="{EFB402FF-522B-419E-BA9C-B5E45DE12A10}" name="Column15555"/>
    <tableColumn id="15561" xr3:uid="{ACBF3274-ADDF-43D2-A30A-761B0F40C378}" name="Column15556"/>
    <tableColumn id="15562" xr3:uid="{430F6DA2-474E-4564-865D-791530352383}" name="Column15557"/>
    <tableColumn id="15563" xr3:uid="{AD0F1ABF-A8CB-4C8C-8CDD-E03CD0A02D6A}" name="Column15558"/>
    <tableColumn id="15564" xr3:uid="{6FE66EF7-75ED-49D9-95E3-5CB0270C4BBF}" name="Column15559"/>
    <tableColumn id="15565" xr3:uid="{6398728F-0773-4F03-9759-CCDC84BEE5A6}" name="Column15560"/>
    <tableColumn id="15566" xr3:uid="{DAD4B33D-6964-4BBC-90A8-43CF41DA2601}" name="Column15561"/>
    <tableColumn id="15567" xr3:uid="{A9B02305-D11F-48AF-9FF5-E347ACB80A4C}" name="Column15562"/>
    <tableColumn id="15568" xr3:uid="{F9B10530-8B1B-410E-8BBD-23E80F08EB74}" name="Column15563"/>
    <tableColumn id="15569" xr3:uid="{F6F58C06-9E7F-4D2A-A381-1846E2D4C434}" name="Column15564"/>
    <tableColumn id="15570" xr3:uid="{36BC3660-F59A-4806-BBE7-2DAE8BFD8B36}" name="Column15565"/>
    <tableColumn id="15571" xr3:uid="{98F1D2E3-9F88-4349-9AA2-7735AD371A58}" name="Column15566"/>
    <tableColumn id="15572" xr3:uid="{1B0F96CE-9A06-42BD-A7BA-CBCF34CEF407}" name="Column15567"/>
    <tableColumn id="15573" xr3:uid="{715C27D8-3DB8-4650-B2A2-9311E2506C16}" name="Column15568"/>
    <tableColumn id="15574" xr3:uid="{3977ED1B-F6FF-4ED2-8DB8-1A382AB02797}" name="Column15569"/>
    <tableColumn id="15575" xr3:uid="{141E5BAB-5EE2-413A-98F5-58ED47B23FD0}" name="Column15570"/>
    <tableColumn id="15576" xr3:uid="{09BD2E75-CE66-4D18-994F-7F39D1192A3B}" name="Column15571"/>
    <tableColumn id="15577" xr3:uid="{23F5710A-C81F-4241-9245-3F5218975FE8}" name="Column15572"/>
    <tableColumn id="15578" xr3:uid="{7CEBA327-FCE8-40BC-A2E9-C6F0032D82B1}" name="Column15573"/>
    <tableColumn id="15579" xr3:uid="{1AA36FCA-A77C-401E-9A8C-30FCDBAFA62D}" name="Column15574"/>
    <tableColumn id="15580" xr3:uid="{AF6393F2-CAD2-4E51-9E75-DE479D0A8CC3}" name="Column15575"/>
    <tableColumn id="15581" xr3:uid="{BD632686-781F-4C72-A097-DD2A9FA8EA31}" name="Column15576"/>
    <tableColumn id="15582" xr3:uid="{673C09C4-F3E4-425D-B7A7-0FA90AAEBA8A}" name="Column15577"/>
    <tableColumn id="15583" xr3:uid="{EFD71492-C4B8-47C1-9EFF-BC04BDFB5EC2}" name="Column15578"/>
    <tableColumn id="15584" xr3:uid="{5DD5BDA7-A133-4B6D-94A7-0DF366FAA9A1}" name="Column15579"/>
    <tableColumn id="15585" xr3:uid="{F7473994-4F23-4964-986B-DAF4E096F634}" name="Column15580"/>
    <tableColumn id="15586" xr3:uid="{F9956953-D7FE-44F9-A3FC-CDCABEB1362C}" name="Column15581"/>
    <tableColumn id="15587" xr3:uid="{E110304F-BD72-4693-AF66-B49CDFD478B7}" name="Column15582"/>
    <tableColumn id="15588" xr3:uid="{CBF03C97-87C9-4C96-8009-5D428A2B0F11}" name="Column15583"/>
    <tableColumn id="15589" xr3:uid="{23AAF998-0622-420E-9D38-900D3EA73659}" name="Column15584"/>
    <tableColumn id="15590" xr3:uid="{EE2054F0-6F75-4B62-8A08-3BD75A8754A2}" name="Column15585"/>
    <tableColumn id="15591" xr3:uid="{C4EB3239-3739-444C-85B7-6D9CDA9DD5CB}" name="Column15586"/>
    <tableColumn id="15592" xr3:uid="{7D808841-B7C8-4B74-830B-08D3492E79F8}" name="Column15587"/>
    <tableColumn id="15593" xr3:uid="{4BFFEFE9-E874-4349-A828-D5F274FFF7AB}" name="Column15588"/>
    <tableColumn id="15594" xr3:uid="{B99891A7-C55F-4D87-A0B0-1BB3315E7B38}" name="Column15589"/>
    <tableColumn id="15595" xr3:uid="{4A154C57-13A5-40FC-B825-89A8DD758105}" name="Column15590"/>
    <tableColumn id="15596" xr3:uid="{DA44C1B1-77B2-4964-A324-E84B55BE0EC3}" name="Column15591"/>
    <tableColumn id="15597" xr3:uid="{56A51D3B-431E-47F3-BFC4-D0EC81230398}" name="Column15592"/>
    <tableColumn id="15598" xr3:uid="{98924546-E814-4378-AFF1-4E7CDCD8A3A6}" name="Column15593"/>
    <tableColumn id="15599" xr3:uid="{3F013CCD-107E-4F8F-AB48-172F87307204}" name="Column15594"/>
    <tableColumn id="15600" xr3:uid="{96B7DBB3-ED2D-487B-B481-EFF260D437E8}" name="Column15595"/>
    <tableColumn id="15601" xr3:uid="{14687ED8-CC0C-4A56-B197-1EBF8FC7567F}" name="Column15596"/>
    <tableColumn id="15602" xr3:uid="{ECE629C3-6286-47B1-9297-0837C92035C6}" name="Column15597"/>
    <tableColumn id="15603" xr3:uid="{F07CDF5B-56DF-4FEC-8BF7-33509BBC190A}" name="Column15598"/>
    <tableColumn id="15604" xr3:uid="{5E489C4E-39CF-4EAD-A58C-7FF99DB86903}" name="Column15599"/>
    <tableColumn id="15605" xr3:uid="{74BDD61C-940B-49FE-90C2-458EB21C369C}" name="Column15600"/>
    <tableColumn id="15606" xr3:uid="{E546CA08-021F-45EC-8978-78A2035ABDCD}" name="Column15601"/>
    <tableColumn id="15607" xr3:uid="{71549823-4A9F-47E5-B657-E5D0A635CBC6}" name="Column15602"/>
    <tableColumn id="15608" xr3:uid="{1A66E5B4-F472-422F-AC2D-C9558E145FA9}" name="Column15603"/>
    <tableColumn id="15609" xr3:uid="{2C7F1927-C1A9-4229-A73A-4CC713D5D033}" name="Column15604"/>
    <tableColumn id="15610" xr3:uid="{C77934D2-8A1A-4845-A7A9-57CFB78401A1}" name="Column15605"/>
    <tableColumn id="15611" xr3:uid="{85D180E6-BFF9-485A-AC64-E0BB65CC193D}" name="Column15606"/>
    <tableColumn id="15612" xr3:uid="{0337860B-52FF-4940-A84C-1252E60F1ECB}" name="Column15607"/>
    <tableColumn id="15613" xr3:uid="{02FE973B-E65E-428E-9C4A-1BC9CB1BBED8}" name="Column15608"/>
    <tableColumn id="15614" xr3:uid="{F812C15B-7C07-4FE6-AC67-19EB1DEEFB0B}" name="Column15609"/>
    <tableColumn id="15615" xr3:uid="{E46D1878-11E2-451F-86E6-AA8434B76E1D}" name="Column15610"/>
    <tableColumn id="15616" xr3:uid="{9DBF8635-F084-4C59-949D-1FDFBC071FB9}" name="Column15611"/>
    <tableColumn id="15617" xr3:uid="{9473822B-A4D2-4F4F-844A-4718BC05839F}" name="Column15612"/>
    <tableColumn id="15618" xr3:uid="{7135D3BC-87C0-4788-94B5-105AF3E21B84}" name="Column15613"/>
    <tableColumn id="15619" xr3:uid="{E2FAB9B3-EBC5-44D5-9BFE-DBF6F61EA747}" name="Column15614"/>
    <tableColumn id="15620" xr3:uid="{48C3434F-F7A5-44F8-A3DB-28F3A52E9B14}" name="Column15615"/>
    <tableColumn id="15621" xr3:uid="{9088BA4E-F14D-481C-9D0F-FB40F76DEAB3}" name="Column15616"/>
    <tableColumn id="15622" xr3:uid="{B4ED12C6-BDEB-4AB2-B85A-4134EAFF3627}" name="Column15617"/>
    <tableColumn id="15623" xr3:uid="{1C8F2E1C-1908-45CE-9BD2-812ED0319BD8}" name="Column15618"/>
    <tableColumn id="15624" xr3:uid="{B1DD7382-F6A1-4AC5-8117-1F04EAF61B43}" name="Column15619"/>
    <tableColumn id="15625" xr3:uid="{F225C85F-EEF6-4F2A-A3FF-D96FA1B09849}" name="Column15620"/>
    <tableColumn id="15626" xr3:uid="{D8E4EB52-972E-42A2-AB09-C09832CF296A}" name="Column15621"/>
    <tableColumn id="15627" xr3:uid="{A7C993C7-06AB-488B-9D9D-701B132275CF}" name="Column15622"/>
    <tableColumn id="15628" xr3:uid="{AAB6F85E-0332-4A9E-9D1B-0814EAFF1849}" name="Column15623"/>
    <tableColumn id="15629" xr3:uid="{38B38019-6132-4C63-BF13-B38F826E7C43}" name="Column15624"/>
    <tableColumn id="15630" xr3:uid="{76A8AB00-180C-47C2-A32A-22A19386F80A}" name="Column15625"/>
    <tableColumn id="15631" xr3:uid="{57B5A35F-1E25-476E-A6BE-28D917B498CD}" name="Column15626"/>
    <tableColumn id="15632" xr3:uid="{26071FD8-8D83-4D07-822F-4E7EC3EB5D96}" name="Column15627"/>
    <tableColumn id="15633" xr3:uid="{F3CE849B-FBAD-4E83-8D26-4C822690C782}" name="Column15628"/>
    <tableColumn id="15634" xr3:uid="{8EC25817-3A10-4E3A-BBAF-C3792891CC6D}" name="Column15629"/>
    <tableColumn id="15635" xr3:uid="{E4672E97-D1D6-461E-803D-019F04952757}" name="Column15630"/>
    <tableColumn id="15636" xr3:uid="{A1809258-48E6-4B44-94D2-EE0F939EB95D}" name="Column15631"/>
    <tableColumn id="15637" xr3:uid="{CDCFDEAF-D38E-4AF5-9890-564C5DCEAE02}" name="Column15632"/>
    <tableColumn id="15638" xr3:uid="{DB84C897-296F-4D00-BF2B-72EC197050D7}" name="Column15633"/>
    <tableColumn id="15639" xr3:uid="{49B2ABC2-3DE2-4846-ACFF-BA9204935C04}" name="Column15634"/>
    <tableColumn id="15640" xr3:uid="{F1CA7A22-32D6-4599-A86F-49B06DAF5207}" name="Column15635"/>
    <tableColumn id="15641" xr3:uid="{EC771B50-FCD5-47D6-91FD-9BF1A9B59736}" name="Column15636"/>
    <tableColumn id="15642" xr3:uid="{D1C7278A-1663-4FE3-B2D0-22B1DAE56953}" name="Column15637"/>
    <tableColumn id="15643" xr3:uid="{F70380B2-12EA-43C8-A6CE-100357AD9DA2}" name="Column15638"/>
    <tableColumn id="15644" xr3:uid="{85E3ACB5-F624-4E5D-812E-F38A1EBC0C81}" name="Column15639"/>
    <tableColumn id="15645" xr3:uid="{3654A232-D01F-4903-B6DE-1A7E0349F78F}" name="Column15640"/>
    <tableColumn id="15646" xr3:uid="{28914469-4A80-4184-AF8A-52208DBAA695}" name="Column15641"/>
    <tableColumn id="15647" xr3:uid="{0593E755-FE75-4A67-BDC3-C2C450BCE200}" name="Column15642"/>
    <tableColumn id="15648" xr3:uid="{092B09CF-6135-4B35-8628-41B548A6B745}" name="Column15643"/>
    <tableColumn id="15649" xr3:uid="{68BCBDE2-6B64-4622-B20B-5E35411F55B3}" name="Column15644"/>
    <tableColumn id="15650" xr3:uid="{646CCE41-D045-4002-877C-E88F1DDCB83C}" name="Column15645"/>
    <tableColumn id="15651" xr3:uid="{46FB2306-39C2-4015-A305-10E9E002CE2C}" name="Column15646"/>
    <tableColumn id="15652" xr3:uid="{F3D2321B-E623-44FF-AF71-CAE6E1EAA319}" name="Column15647"/>
    <tableColumn id="15653" xr3:uid="{7C05C9F6-1938-4429-B8D2-689ADC4D3157}" name="Column15648"/>
    <tableColumn id="15654" xr3:uid="{5C76E982-9268-4A32-A39F-40F6E0064504}" name="Column15649"/>
    <tableColumn id="15655" xr3:uid="{89812562-E667-4524-AA8C-38D3CD8DDF4E}" name="Column15650"/>
    <tableColumn id="15656" xr3:uid="{4190F9C8-9C97-4094-9BE5-70F84AA7671A}" name="Column15651"/>
    <tableColumn id="15657" xr3:uid="{71DA4B92-649E-4422-BC28-3A42C1ED024A}" name="Column15652"/>
    <tableColumn id="15658" xr3:uid="{490CAA28-F437-4F94-92C9-F2BCC0384689}" name="Column15653"/>
    <tableColumn id="15659" xr3:uid="{1B9C4F0E-DAEC-4BEF-B403-233F10D426D3}" name="Column15654"/>
    <tableColumn id="15660" xr3:uid="{97588494-7FBC-475E-8B5F-2C3D1249FD33}" name="Column15655"/>
    <tableColumn id="15661" xr3:uid="{E314E525-1FCF-4CA1-8061-7B3828F4FFF6}" name="Column15656"/>
    <tableColumn id="15662" xr3:uid="{A9E6879B-E1D9-4D57-A458-6DA322032184}" name="Column15657"/>
    <tableColumn id="15663" xr3:uid="{946E8A7F-A4B3-4A50-8AD6-50824A52BED2}" name="Column15658"/>
    <tableColumn id="15664" xr3:uid="{2DD5BF80-0876-4150-A176-E2BA186293F9}" name="Column15659"/>
    <tableColumn id="15665" xr3:uid="{D8605A10-7B57-48D9-9F8C-45C8AA8A71A1}" name="Column15660"/>
    <tableColumn id="15666" xr3:uid="{715AEC6A-C413-4C36-96E5-9DDF29AC3C92}" name="Column15661"/>
    <tableColumn id="15667" xr3:uid="{C4463F29-0045-4012-B05C-6463D1435729}" name="Column15662"/>
    <tableColumn id="15668" xr3:uid="{96F82BFE-DBF2-4788-BADC-14FD9B1CF570}" name="Column15663"/>
    <tableColumn id="15669" xr3:uid="{E49FEF64-8081-4729-BAC3-D483840EB188}" name="Column15664"/>
    <tableColumn id="15670" xr3:uid="{E644965D-8F05-4F14-987D-9A537DF3775F}" name="Column15665"/>
    <tableColumn id="15671" xr3:uid="{263D1603-5528-421C-B03B-83C38F90CF00}" name="Column15666"/>
    <tableColumn id="15672" xr3:uid="{43B4ABAF-1E73-49C0-B15B-8FEEED811E19}" name="Column15667"/>
    <tableColumn id="15673" xr3:uid="{DF32B68D-22E4-4902-A2E2-98127FFF18B8}" name="Column15668"/>
    <tableColumn id="15674" xr3:uid="{0B41A713-D3F5-44A2-BE81-DC828F712C75}" name="Column15669"/>
    <tableColumn id="15675" xr3:uid="{8F02FB42-300A-4C8A-8358-017508BF5DA3}" name="Column15670"/>
    <tableColumn id="15676" xr3:uid="{8B68C5DA-9793-4EC9-97CD-4FEB0E880E8E}" name="Column15671"/>
    <tableColumn id="15677" xr3:uid="{562C7B21-EE50-4DE6-93E1-88B101E19A95}" name="Column15672"/>
    <tableColumn id="15678" xr3:uid="{16768C96-3948-496E-B50E-14C5CAC5D367}" name="Column15673"/>
    <tableColumn id="15679" xr3:uid="{15C66A3C-F6E8-4878-8A82-D0E6E7A58ADF}" name="Column15674"/>
    <tableColumn id="15680" xr3:uid="{91030F36-8EB5-4A1F-8383-C8F0E4E5F0DA}" name="Column15675"/>
    <tableColumn id="15681" xr3:uid="{BF05E214-CD28-4D6F-B2A3-C6CA3F21C816}" name="Column15676"/>
    <tableColumn id="15682" xr3:uid="{9911C714-43DA-40E6-9B2F-E87C0AFAD358}" name="Column15677"/>
    <tableColumn id="15683" xr3:uid="{382F7517-7402-463F-B8BD-EFA6DFFA4D7A}" name="Column15678"/>
    <tableColumn id="15684" xr3:uid="{F2F41450-E2FD-48DF-A515-EAC7B7A818D5}" name="Column15679"/>
    <tableColumn id="15685" xr3:uid="{52E8FD58-9EE6-4D9D-8AE5-A292E2B59D2F}" name="Column15680"/>
    <tableColumn id="15686" xr3:uid="{2F3BED8E-435B-429F-B61D-EC14E3FC5427}" name="Column15681"/>
    <tableColumn id="15687" xr3:uid="{9EFF972C-F401-468F-9925-97280D660E4B}" name="Column15682"/>
    <tableColumn id="15688" xr3:uid="{52F97876-EF97-444D-87C9-0F4510B4CD23}" name="Column15683"/>
    <tableColumn id="15689" xr3:uid="{EF87A90A-44E7-4C75-A344-0D95E41211DA}" name="Column15684"/>
    <tableColumn id="15690" xr3:uid="{4C077AA5-E9CD-46CD-9193-55557886D2B7}" name="Column15685"/>
    <tableColumn id="15691" xr3:uid="{41D04FC3-53F8-4926-9F83-0C23FBCB0C4F}" name="Column15686"/>
    <tableColumn id="15692" xr3:uid="{926D2362-F999-4F00-91BA-F9193B4F4F95}" name="Column15687"/>
    <tableColumn id="15693" xr3:uid="{7CA144A7-F968-44C9-BD85-C89F3A1B80F1}" name="Column15688"/>
    <tableColumn id="15694" xr3:uid="{CBABA1C5-A1CE-47CE-B20F-F993D6253DA6}" name="Column15689"/>
    <tableColumn id="15695" xr3:uid="{395006F0-394A-48D8-A2DF-91DF106231F6}" name="Column15690"/>
    <tableColumn id="15696" xr3:uid="{5A797B4F-3296-44B8-9794-ADD437BF8C76}" name="Column15691"/>
    <tableColumn id="15697" xr3:uid="{B33FFCF4-2F67-465E-B08C-765901323251}" name="Column15692"/>
    <tableColumn id="15698" xr3:uid="{1295DBE5-9FCF-41E3-9144-58B7A5A5EC69}" name="Column15693"/>
    <tableColumn id="15699" xr3:uid="{C13B02D7-C8DD-472D-B0EE-4EE8B4C8FE72}" name="Column15694"/>
    <tableColumn id="15700" xr3:uid="{7B7E17D5-4F97-4ABE-8BD0-203F388DFD1A}" name="Column15695"/>
    <tableColumn id="15701" xr3:uid="{ABA67792-6431-4F68-91ED-F8634D0A47AA}" name="Column15696"/>
    <tableColumn id="15702" xr3:uid="{AE89ADC7-5D6B-4524-B145-374B2C72E662}" name="Column15697"/>
    <tableColumn id="15703" xr3:uid="{03B4832A-5A17-4136-A2E3-219B3088E509}" name="Column15698"/>
    <tableColumn id="15704" xr3:uid="{D2663A28-4C0E-438A-AC1A-4BCFE0698171}" name="Column15699"/>
    <tableColumn id="15705" xr3:uid="{8137D82A-527B-4949-ABD3-1AAB1AF2C0E5}" name="Column15700"/>
    <tableColumn id="15706" xr3:uid="{EF66DEC9-30C1-44EF-A3D0-DE2D04098761}" name="Column15701"/>
    <tableColumn id="15707" xr3:uid="{91BEF23E-42AD-43D5-8083-0B66A9FA695A}" name="Column15702"/>
    <tableColumn id="15708" xr3:uid="{8FDAD552-B5ED-4370-949F-A47079981B03}" name="Column15703"/>
    <tableColumn id="15709" xr3:uid="{882715C0-EA8C-4C75-A046-B9FBCC613420}" name="Column15704"/>
    <tableColumn id="15710" xr3:uid="{91E76A28-4551-474D-BE75-9F559E9789E0}" name="Column15705"/>
    <tableColumn id="15711" xr3:uid="{F590EBAD-DD8C-4B2E-B992-65B2D0992653}" name="Column15706"/>
    <tableColumn id="15712" xr3:uid="{2CFD3192-BA0A-4642-BA72-41C648E69B2A}" name="Column15707"/>
    <tableColumn id="15713" xr3:uid="{3D49954A-378D-42A3-8276-9B81E8577ABA}" name="Column15708"/>
    <tableColumn id="15714" xr3:uid="{2F4EBC15-DF8F-43F8-8860-85AF90FF7D37}" name="Column15709"/>
    <tableColumn id="15715" xr3:uid="{71414930-231A-4045-B565-127BD77D287F}" name="Column15710"/>
    <tableColumn id="15716" xr3:uid="{51891218-04AF-4148-B220-F7563B4588ED}" name="Column15711"/>
    <tableColumn id="15717" xr3:uid="{2206D092-44FC-4E7B-B209-0606B101A557}" name="Column15712"/>
    <tableColumn id="15718" xr3:uid="{B4C66845-8BA4-4B6F-9FBE-4E8C17472003}" name="Column15713"/>
    <tableColumn id="15719" xr3:uid="{14582654-A201-4AEE-9B76-8B3376F2C637}" name="Column15714"/>
    <tableColumn id="15720" xr3:uid="{EB7A3678-2D78-4471-BE29-747F633AE16A}" name="Column15715"/>
    <tableColumn id="15721" xr3:uid="{D9BCFF58-1DE2-4B05-9C68-866C74BCDCB5}" name="Column15716"/>
    <tableColumn id="15722" xr3:uid="{0E8DA991-6713-4C0F-8422-CA87E819D320}" name="Column15717"/>
    <tableColumn id="15723" xr3:uid="{A458E7DE-5F4B-4663-ACDB-E94C777C3694}" name="Column15718"/>
    <tableColumn id="15724" xr3:uid="{C1F2648B-1E11-40D1-9307-C24547FB6599}" name="Column15719"/>
    <tableColumn id="15725" xr3:uid="{FE2DD5C1-EC16-4C6E-9742-CAF8EB5071C8}" name="Column15720"/>
    <tableColumn id="15726" xr3:uid="{5B9A31B2-01A7-4DB4-8AEB-0F5C427DBC17}" name="Column15721"/>
    <tableColumn id="15727" xr3:uid="{2247F73C-57C3-49E6-ADFC-34AD1BD338EA}" name="Column15722"/>
    <tableColumn id="15728" xr3:uid="{AE6B0C7F-E674-48BC-894F-818C44F5BA52}" name="Column15723"/>
    <tableColumn id="15729" xr3:uid="{B457D84D-0127-4492-8916-5EA6932147D3}" name="Column15724"/>
    <tableColumn id="15730" xr3:uid="{A0520CE2-A550-4BAB-969B-1A6EA0AE2DFE}" name="Column15725"/>
    <tableColumn id="15731" xr3:uid="{8F2DDF55-8A34-4032-801C-547B328F6DF6}" name="Column15726"/>
    <tableColumn id="15732" xr3:uid="{DDA2A1D7-245A-46C5-AC5C-0B9D205C2141}" name="Column15727"/>
    <tableColumn id="15733" xr3:uid="{F89E6C6D-6241-410F-BB52-0510616CCEB3}" name="Column15728"/>
    <tableColumn id="15734" xr3:uid="{C064FAE7-5F5A-4349-B591-42510A818EBE}" name="Column15729"/>
    <tableColumn id="15735" xr3:uid="{ECA50173-27AD-4479-B68D-6F948B3BF988}" name="Column15730"/>
    <tableColumn id="15736" xr3:uid="{16E3E4F0-E155-4CDB-BCE0-B8B52FAC4414}" name="Column15731"/>
    <tableColumn id="15737" xr3:uid="{1045814D-F60E-44EF-B56C-8E6D03254139}" name="Column15732"/>
    <tableColumn id="15738" xr3:uid="{1B98B093-E967-4488-AAAF-2AD742F12A7F}" name="Column15733"/>
    <tableColumn id="15739" xr3:uid="{4F841436-7391-4025-87D8-A4BE6DF55E0D}" name="Column15734"/>
    <tableColumn id="15740" xr3:uid="{1CA5AE9A-D444-4642-B196-BD43EBCB8997}" name="Column15735"/>
    <tableColumn id="15741" xr3:uid="{57579124-02DE-4E57-8349-C50ED562C6B8}" name="Column15736"/>
    <tableColumn id="15742" xr3:uid="{C4605B4D-6EFC-48B0-B8C8-6FA2D43D03D9}" name="Column15737"/>
    <tableColumn id="15743" xr3:uid="{171719A3-4A8B-4417-9810-E90039583D4D}" name="Column15738"/>
    <tableColumn id="15744" xr3:uid="{E1DCAFCC-0908-4478-A873-DB8F8E205DF0}" name="Column15739"/>
    <tableColumn id="15745" xr3:uid="{0BACA6C0-ACF4-490E-8D4D-6B617A49362C}" name="Column15740"/>
    <tableColumn id="15746" xr3:uid="{4F5D50DA-3070-4EF6-AA80-357F774B31A3}" name="Column15741"/>
    <tableColumn id="15747" xr3:uid="{FE0975EF-3724-4032-9522-654D4F4702F5}" name="Column15742"/>
    <tableColumn id="15748" xr3:uid="{FE55F3B1-9C3C-4FAE-A587-7113CE2390A4}" name="Column15743"/>
    <tableColumn id="15749" xr3:uid="{707C6954-912E-4C17-9C20-155D7B0B3362}" name="Column15744"/>
    <tableColumn id="15750" xr3:uid="{0C09FC04-5659-468D-BAE8-365398212D80}" name="Column15745"/>
    <tableColumn id="15751" xr3:uid="{B492FB2A-A26E-47D0-899A-C548AEE04F96}" name="Column15746"/>
    <tableColumn id="15752" xr3:uid="{68A8D519-EFB2-49E1-8A0E-8A263F24E36B}" name="Column15747"/>
    <tableColumn id="15753" xr3:uid="{AE228288-800D-4FFA-9C3B-EB15EC599CDF}" name="Column15748"/>
    <tableColumn id="15754" xr3:uid="{BDB007F8-D8C1-4A1E-935C-D229DC1F7DBB}" name="Column15749"/>
    <tableColumn id="15755" xr3:uid="{73F4CC24-6BDC-45DF-BBF4-28624FB5DDDE}" name="Column15750"/>
    <tableColumn id="15756" xr3:uid="{14AAD266-A348-4C27-9E0E-024843AB2033}" name="Column15751"/>
    <tableColumn id="15757" xr3:uid="{4617000A-A6EB-4D13-A0AC-FB73E21CFF21}" name="Column15752"/>
    <tableColumn id="15758" xr3:uid="{A0FFCD0D-987C-4E3D-918B-0A725B83749F}" name="Column15753"/>
    <tableColumn id="15759" xr3:uid="{261A501C-D87A-4E3D-8483-DAC6C9F3D5D6}" name="Column15754"/>
    <tableColumn id="15760" xr3:uid="{BD08A6ED-D0CA-4CF1-AE19-4F37C9AE1D52}" name="Column15755"/>
    <tableColumn id="15761" xr3:uid="{F0B99F21-EDFF-440B-8CE1-1ECFE17ED3B8}" name="Column15756"/>
    <tableColumn id="15762" xr3:uid="{2541CF39-6BED-4513-9800-05BD0ADA461F}" name="Column15757"/>
    <tableColumn id="15763" xr3:uid="{D8503ECC-D8A2-454C-A956-D5397B8BBF9E}" name="Column15758"/>
    <tableColumn id="15764" xr3:uid="{AA2DB751-1769-4331-B63E-7F0ADD79082A}" name="Column15759"/>
    <tableColumn id="15765" xr3:uid="{13C7EEE8-E2CA-408F-9162-3955BD113E2F}" name="Column15760"/>
    <tableColumn id="15766" xr3:uid="{D78A315A-F159-43B0-8FEC-F0B3BD02E368}" name="Column15761"/>
    <tableColumn id="15767" xr3:uid="{A3E5404A-4BEB-44AB-BA35-987A352400CA}" name="Column15762"/>
    <tableColumn id="15768" xr3:uid="{F051D04D-33F5-42B9-B718-8497D918ED1B}" name="Column15763"/>
    <tableColumn id="15769" xr3:uid="{BEF26344-9E5F-4787-9469-64D29BA795FB}" name="Column15764"/>
    <tableColumn id="15770" xr3:uid="{0F741481-AB1F-4FE9-ACA9-4455AD4D432E}" name="Column15765"/>
    <tableColumn id="15771" xr3:uid="{C8D36042-538C-42D5-8420-56029EDDFAD4}" name="Column15766"/>
    <tableColumn id="15772" xr3:uid="{ED6DB77F-4FA4-4D02-A015-C94077E1956E}" name="Column15767"/>
    <tableColumn id="15773" xr3:uid="{C56FAABB-C0F8-49DB-8668-9897E1474220}" name="Column15768"/>
    <tableColumn id="15774" xr3:uid="{F045F25A-EAD7-4CED-BCF4-F2FC6568742F}" name="Column15769"/>
    <tableColumn id="15775" xr3:uid="{F3C2ED32-F72D-42A3-95BD-B4A9DF950801}" name="Column15770"/>
    <tableColumn id="15776" xr3:uid="{DDC6350D-491C-4B98-9EC5-7C9D74C38EBB}" name="Column15771"/>
    <tableColumn id="15777" xr3:uid="{4CEFE77F-E991-4167-B32C-1417020DF8B0}" name="Column15772"/>
    <tableColumn id="15778" xr3:uid="{913F334A-FFB7-4A9C-A974-E94154062B13}" name="Column15773"/>
    <tableColumn id="15779" xr3:uid="{0D5884EE-C3E8-480F-8497-A64205447517}" name="Column15774"/>
    <tableColumn id="15780" xr3:uid="{4D862EA4-E90B-47C6-8A12-571AB4B0BF25}" name="Column15775"/>
    <tableColumn id="15781" xr3:uid="{AA728740-B4F9-4AD3-8D2F-72323E79DB02}" name="Column15776"/>
    <tableColumn id="15782" xr3:uid="{83CCF6E5-199B-43F9-AD55-1A5CB3C3F79C}" name="Column15777"/>
    <tableColumn id="15783" xr3:uid="{57174150-4CE2-498C-9219-E1D61EE6FD80}" name="Column15778"/>
    <tableColumn id="15784" xr3:uid="{716AA6F6-AD90-4DC9-9E47-E9F0ACE935A8}" name="Column15779"/>
    <tableColumn id="15785" xr3:uid="{D4E072AD-665F-4E2C-A0AA-4EF45433945C}" name="Column15780"/>
    <tableColumn id="15786" xr3:uid="{3936D450-B890-434F-BE66-0D3A31A5E08C}" name="Column15781"/>
    <tableColumn id="15787" xr3:uid="{C2EB4DAB-90DF-48E9-B553-B388B24C6260}" name="Column15782"/>
    <tableColumn id="15788" xr3:uid="{B8AA9412-F91B-476B-9FB7-DED5856D4016}" name="Column15783"/>
    <tableColumn id="15789" xr3:uid="{407AFDF5-EAF2-4C5D-AC1C-164321496412}" name="Column15784"/>
    <tableColumn id="15790" xr3:uid="{55D3DD1D-7BED-42DF-9482-7A413C366898}" name="Column15785"/>
    <tableColumn id="15791" xr3:uid="{770AEC84-ECB3-4F35-A326-CBF5FACBDD8A}" name="Column15786"/>
    <tableColumn id="15792" xr3:uid="{A08116C9-1B58-4E11-A30C-2671B8E79F47}" name="Column15787"/>
    <tableColumn id="15793" xr3:uid="{81919295-38F6-4BBC-9506-3571EB2F2F20}" name="Column15788"/>
    <tableColumn id="15794" xr3:uid="{0F9D89EA-E12F-4891-855C-DD245A1AEBEA}" name="Column15789"/>
    <tableColumn id="15795" xr3:uid="{09DEF30F-DE5B-4742-9DE9-3FAB69E2392D}" name="Column15790"/>
    <tableColumn id="15796" xr3:uid="{F72F2EF8-3EB2-4D53-BE5A-97C767BAA5EF}" name="Column15791"/>
    <tableColumn id="15797" xr3:uid="{86928C8B-9A3F-48C4-B682-B13C6366E595}" name="Column15792"/>
    <tableColumn id="15798" xr3:uid="{98F146BD-8C5E-4747-97AF-A237FD9DEEEF}" name="Column15793"/>
    <tableColumn id="15799" xr3:uid="{BFB3A95A-A962-4E5F-A6D3-27EEE8B464CE}" name="Column15794"/>
    <tableColumn id="15800" xr3:uid="{9BD52513-1D79-4707-8945-AA2BC3937442}" name="Column15795"/>
    <tableColumn id="15801" xr3:uid="{4C61252B-5E67-4472-B746-2971952D138B}" name="Column15796"/>
    <tableColumn id="15802" xr3:uid="{D6C66106-5835-445B-820F-6E23DA1D1DBC}" name="Column15797"/>
    <tableColumn id="15803" xr3:uid="{675F11EA-8C14-44B2-BCBE-4BDFAEF978CB}" name="Column15798"/>
    <tableColumn id="15804" xr3:uid="{C54CF660-C571-4204-9A78-E23AD26A03D8}" name="Column15799"/>
    <tableColumn id="15805" xr3:uid="{514D7CA3-1CCA-449E-82FC-3A17080308B3}" name="Column15800"/>
    <tableColumn id="15806" xr3:uid="{EAE97C03-8303-4B3C-8368-A68DC837FF28}" name="Column15801"/>
    <tableColumn id="15807" xr3:uid="{496C1CD0-27AA-4DE5-88FE-BBF954AEEA8F}" name="Column15802"/>
    <tableColumn id="15808" xr3:uid="{24FCC973-CF2F-4A7C-8269-F3E626EE92D0}" name="Column15803"/>
    <tableColumn id="15809" xr3:uid="{BCD0D2D2-4293-4527-B40C-CD108EE7DBCA}" name="Column15804"/>
    <tableColumn id="15810" xr3:uid="{4AC314CB-2FAD-4663-8A67-AF904C9D253E}" name="Column15805"/>
    <tableColumn id="15811" xr3:uid="{BB1AC45E-9CA5-43A0-943D-13A636141C2B}" name="Column15806"/>
    <tableColumn id="15812" xr3:uid="{21772793-C5B2-4A88-A601-79FF66BA74B0}" name="Column15807"/>
    <tableColumn id="15813" xr3:uid="{23CE3652-DF78-4048-9DCF-2645CF84DE3F}" name="Column15808"/>
    <tableColumn id="15814" xr3:uid="{64EAAFEF-7D3C-461D-8CAE-428C70121524}" name="Column15809"/>
    <tableColumn id="15815" xr3:uid="{4A574CD3-DD28-4793-ABE8-14123A0306E1}" name="Column15810"/>
    <tableColumn id="15816" xr3:uid="{A6CBE5FC-3413-46DE-8B1F-1BB13128B7F7}" name="Column15811"/>
    <tableColumn id="15817" xr3:uid="{27F9F969-2FCD-4834-B11C-2220570A139E}" name="Column15812"/>
    <tableColumn id="15818" xr3:uid="{6D0D5CEE-D068-4C58-895B-C1F9520DD864}" name="Column15813"/>
    <tableColumn id="15819" xr3:uid="{660A7435-1AC6-42C9-A067-C9540FA29134}" name="Column15814"/>
    <tableColumn id="15820" xr3:uid="{40A1D8D6-6922-4630-8325-DCCD0E709FBE}" name="Column15815"/>
    <tableColumn id="15821" xr3:uid="{FB368A86-2389-4A74-96DB-C4EC9D27A26C}" name="Column15816"/>
    <tableColumn id="15822" xr3:uid="{6094F08E-5872-4196-B257-40CBDB758584}" name="Column15817"/>
    <tableColumn id="15823" xr3:uid="{CFBA571F-BEE6-4895-8DA6-11393605621F}" name="Column15818"/>
    <tableColumn id="15824" xr3:uid="{D0AFB81F-F13E-4C0A-B758-641555E4512D}" name="Column15819"/>
    <tableColumn id="15825" xr3:uid="{EE09EDFE-0AB4-4078-9D84-C643D0720F67}" name="Column15820"/>
    <tableColumn id="15826" xr3:uid="{E84BE5FF-3DE8-45C6-B2BD-AA538B2732A4}" name="Column15821"/>
    <tableColumn id="15827" xr3:uid="{B9BEA8A2-60FF-4B14-874F-246EAC19B457}" name="Column15822"/>
    <tableColumn id="15828" xr3:uid="{A4B19553-5DAF-4FD6-A826-0915AB2F0C54}" name="Column15823"/>
    <tableColumn id="15829" xr3:uid="{CE3C1D75-2B06-429E-8786-C3FF811825BF}" name="Column15824"/>
    <tableColumn id="15830" xr3:uid="{7566184E-6EBA-4F0A-8914-BC2067DF9156}" name="Column15825"/>
    <tableColumn id="15831" xr3:uid="{E0798B69-994B-4425-BE87-97F06709E3A8}" name="Column15826"/>
    <tableColumn id="15832" xr3:uid="{B0B5CC9A-15CE-4D4B-9A5F-04ACDE335C91}" name="Column15827"/>
    <tableColumn id="15833" xr3:uid="{FE73B05A-E7B3-4604-903C-9AEF30ADD02F}" name="Column15828"/>
    <tableColumn id="15834" xr3:uid="{4E09D2E0-0665-492F-9067-7114A74743D8}" name="Column15829"/>
    <tableColumn id="15835" xr3:uid="{7F58515F-3C0F-42C0-A67C-233FDC8B989B}" name="Column15830"/>
    <tableColumn id="15836" xr3:uid="{B27C46E7-6567-434F-A606-0FA2A0F0029B}" name="Column15831"/>
    <tableColumn id="15837" xr3:uid="{77D4D4FB-9F78-4655-80C0-95F151583312}" name="Column15832"/>
    <tableColumn id="15838" xr3:uid="{2F345C90-3EBC-409B-BD67-B7AA3200969D}" name="Column15833"/>
    <tableColumn id="15839" xr3:uid="{452F4F1B-5E21-4364-8E18-8FBB6792C5EF}" name="Column15834"/>
    <tableColumn id="15840" xr3:uid="{CE51C07A-9767-4F41-B6EB-3436FBEA19E8}" name="Column15835"/>
    <tableColumn id="15841" xr3:uid="{0D7B7051-3F8E-4703-9524-C933CC391080}" name="Column15836"/>
    <tableColumn id="15842" xr3:uid="{F506DB5F-48F7-42E5-ABF0-D981B2C9F16B}" name="Column15837"/>
    <tableColumn id="15843" xr3:uid="{BEEB9690-83BC-42B9-A4C1-8937E90644E6}" name="Column15838"/>
    <tableColumn id="15844" xr3:uid="{2E005251-08C7-46F5-A9B2-B845DB7C9CB1}" name="Column15839"/>
    <tableColumn id="15845" xr3:uid="{AE039312-4974-4E54-B24B-F19D3A1D7F84}" name="Column15840"/>
    <tableColumn id="15846" xr3:uid="{C50BEC80-159E-456B-B025-39B604CF6F6A}" name="Column15841"/>
    <tableColumn id="15847" xr3:uid="{EF59AF66-071E-4E18-B2C4-40089B17AAAA}" name="Column15842"/>
    <tableColumn id="15848" xr3:uid="{F3841082-4EEE-4675-879E-5A266780CC81}" name="Column15843"/>
    <tableColumn id="15849" xr3:uid="{1D0269DE-D33B-4E64-A336-A3ECD49EB3C7}" name="Column15844"/>
    <tableColumn id="15850" xr3:uid="{42A9FDA4-73E1-4BC1-BAE8-7F3EECE702AB}" name="Column15845"/>
    <tableColumn id="15851" xr3:uid="{6D6CCCA1-37D9-47D6-9849-837430A65C29}" name="Column15846"/>
    <tableColumn id="15852" xr3:uid="{AD97B382-78A8-4634-B3B5-AA6E1B7F979B}" name="Column15847"/>
    <tableColumn id="15853" xr3:uid="{083347A0-AF36-400D-8777-7936079FDDCC}" name="Column15848"/>
    <tableColumn id="15854" xr3:uid="{A3716EB6-B263-4C02-89FD-8E4F355F5DB4}" name="Column15849"/>
    <tableColumn id="15855" xr3:uid="{94533400-0782-4873-8B17-7CDA492EDA0A}" name="Column15850"/>
    <tableColumn id="15856" xr3:uid="{58712E06-80DD-4739-A275-46D986C07810}" name="Column15851"/>
    <tableColumn id="15857" xr3:uid="{AEC36FE6-40A1-4556-BFB6-60AE26726951}" name="Column15852"/>
    <tableColumn id="15858" xr3:uid="{D182078B-271C-41B3-8862-C13F6F39284C}" name="Column15853"/>
    <tableColumn id="15859" xr3:uid="{7BEBEFA4-49D0-4474-81FC-89396792B772}" name="Column15854"/>
    <tableColumn id="15860" xr3:uid="{0CFA05A8-FE67-4883-9CFE-62B3F93DC3FE}" name="Column15855"/>
    <tableColumn id="15861" xr3:uid="{1DC576B4-A0BB-4DA5-8D7F-F54E29499994}" name="Column15856"/>
    <tableColumn id="15862" xr3:uid="{454819D5-F105-4E33-AA12-46E0390EA447}" name="Column15857"/>
    <tableColumn id="15863" xr3:uid="{34E27F68-D47E-4CB6-9485-4641F8A6658F}" name="Column15858"/>
    <tableColumn id="15864" xr3:uid="{CB1C750D-7729-49F4-9B77-328FD469D1CE}" name="Column15859"/>
    <tableColumn id="15865" xr3:uid="{D3A02556-44F4-451D-B4CB-846D6787ECE8}" name="Column15860"/>
    <tableColumn id="15866" xr3:uid="{DB2468B3-BF9F-4C5A-8D3D-AE1857197FB0}" name="Column15861"/>
    <tableColumn id="15867" xr3:uid="{DC03261C-2A3B-454D-B92E-0396B5F2656D}" name="Column15862"/>
    <tableColumn id="15868" xr3:uid="{0AD0A06E-8D08-4290-922F-327D29B73112}" name="Column15863"/>
    <tableColumn id="15869" xr3:uid="{49A5A9BD-CF21-468B-B42D-F088F9A4210A}" name="Column15864"/>
    <tableColumn id="15870" xr3:uid="{B361AA87-2CF3-4CCC-BE32-1052E08AC123}" name="Column15865"/>
    <tableColumn id="15871" xr3:uid="{FAA6F0BD-07E3-40DE-8F88-416B21AAE76E}" name="Column15866"/>
    <tableColumn id="15872" xr3:uid="{4EC88AAC-3508-48B7-897E-FB231A07FC52}" name="Column15867"/>
    <tableColumn id="15873" xr3:uid="{945DAF51-15CD-4537-9139-0304BA7151A1}" name="Column15868"/>
    <tableColumn id="15874" xr3:uid="{CADAA56C-4B90-4D09-A2E1-88B32BC02BDD}" name="Column15869"/>
    <tableColumn id="15875" xr3:uid="{FDBA6816-17C3-4279-9527-90FC305B0DAA}" name="Column15870"/>
    <tableColumn id="15876" xr3:uid="{7001FF0A-5E70-4E22-812D-2BDD1D58C353}" name="Column15871"/>
    <tableColumn id="15877" xr3:uid="{81A8DA6C-D13E-4914-B1E1-BB65426B2B3C}" name="Column15872"/>
    <tableColumn id="15878" xr3:uid="{02B64B50-157C-4299-8DCE-90E2CCAB2CDB}" name="Column15873"/>
    <tableColumn id="15879" xr3:uid="{70C25C29-5921-41FB-8AEE-2FFD2881E178}" name="Column15874"/>
    <tableColumn id="15880" xr3:uid="{21F684A4-974B-4CA0-8114-ECD7AD1F99BE}" name="Column15875"/>
    <tableColumn id="15881" xr3:uid="{30E45D67-A729-41B7-81AF-BFD3BF07893C}" name="Column15876"/>
    <tableColumn id="15882" xr3:uid="{360D7A9D-BF33-43AA-8614-600C55595FEA}" name="Column15877"/>
    <tableColumn id="15883" xr3:uid="{85A3228F-5F0C-405B-BC03-7738D9D31D28}" name="Column15878"/>
    <tableColumn id="15884" xr3:uid="{DAC49987-880F-4CB8-85EC-46EA5385DB93}" name="Column15879"/>
    <tableColumn id="15885" xr3:uid="{0A3A941A-22EB-4408-9DFA-7512E1190ABE}" name="Column15880"/>
    <tableColumn id="15886" xr3:uid="{611A13B3-1A9A-4BFE-AAD4-CDC314B8A15C}" name="Column15881"/>
    <tableColumn id="15887" xr3:uid="{D63FC53E-AC9F-410A-B519-CF5FB7E770D7}" name="Column15882"/>
    <tableColumn id="15888" xr3:uid="{484C448D-D01B-4B08-9E50-DF167DF3E4C5}" name="Column15883"/>
    <tableColumn id="15889" xr3:uid="{CBB82143-9C44-41DD-8787-AB1E0DD4CF93}" name="Column15884"/>
    <tableColumn id="15890" xr3:uid="{FEE32F1B-C822-4E33-8B5D-D4E5F8E0BE0C}" name="Column15885"/>
    <tableColumn id="15891" xr3:uid="{B51779C2-43C6-40BD-A753-A5317D8725D7}" name="Column15886"/>
    <tableColumn id="15892" xr3:uid="{622847A6-C77E-45E5-87D5-FBA517B78CC0}" name="Column15887"/>
    <tableColumn id="15893" xr3:uid="{E40F35DA-D81F-4EC5-A730-4B55987F31D0}" name="Column15888"/>
    <tableColumn id="15894" xr3:uid="{70C5E2F7-AAAD-402B-8FEC-BB65AE1C8D93}" name="Column15889"/>
    <tableColumn id="15895" xr3:uid="{C2515249-E30D-4081-9CCB-3126533F0E2D}" name="Column15890"/>
    <tableColumn id="15896" xr3:uid="{751DD781-5437-4ED8-8F00-D682E7658D5B}" name="Column15891"/>
    <tableColumn id="15897" xr3:uid="{3DAB1FC0-359B-4610-827C-2F44F9515398}" name="Column15892"/>
    <tableColumn id="15898" xr3:uid="{F763DCAB-3905-41A0-B219-F384536AEDDD}" name="Column15893"/>
    <tableColumn id="15899" xr3:uid="{D220BB3B-EDAA-4FD4-9CCE-FAF2C9ECB18E}" name="Column15894"/>
    <tableColumn id="15900" xr3:uid="{E99BAF48-14EA-4595-8E6F-E22C8CEE7CF7}" name="Column15895"/>
    <tableColumn id="15901" xr3:uid="{A3FC10E3-681D-4D50-A8CD-970C0C349B85}" name="Column15896"/>
    <tableColumn id="15902" xr3:uid="{6062B601-0EC6-4082-A820-DA7101879DA3}" name="Column15897"/>
    <tableColumn id="15903" xr3:uid="{6C79AAB5-6D8A-4DF9-9161-A3E9C5895C1B}" name="Column15898"/>
    <tableColumn id="15904" xr3:uid="{4DB96FA4-B065-42BF-9D7D-C8E16CEF0888}" name="Column15899"/>
    <tableColumn id="15905" xr3:uid="{99465F29-324A-4A30-93F5-867E7D7F6D24}" name="Column15900"/>
    <tableColumn id="15906" xr3:uid="{90BBCBA0-3140-4F0B-8A45-1F15E0510ED0}" name="Column15901"/>
    <tableColumn id="15907" xr3:uid="{3234581A-CBD5-465F-8D9A-402D223B78DD}" name="Column15902"/>
    <tableColumn id="15908" xr3:uid="{2C898ACD-D020-4F5A-8B36-34DA0B00ADD2}" name="Column15903"/>
    <tableColumn id="15909" xr3:uid="{682772D7-C4F0-481C-B49B-3AE0A2D40414}" name="Column15904"/>
    <tableColumn id="15910" xr3:uid="{3971DB7D-8B93-40BE-B538-C21E54587471}" name="Column15905"/>
    <tableColumn id="15911" xr3:uid="{DAFA47F1-14CF-4A22-9BAE-F179D1A80AD3}" name="Column15906"/>
    <tableColumn id="15912" xr3:uid="{6800172C-0173-498D-A056-E58A8D2AF8DE}" name="Column15907"/>
    <tableColumn id="15913" xr3:uid="{1D579849-532F-4608-A35F-AF86A1F5EAD6}" name="Column15908"/>
    <tableColumn id="15914" xr3:uid="{F513A2BE-58FD-4644-9D5E-08DD0CB017D9}" name="Column15909"/>
    <tableColumn id="15915" xr3:uid="{7CEF2E77-AFFD-4AF0-80BD-FBD981BE1F45}" name="Column15910"/>
    <tableColumn id="15916" xr3:uid="{B9D1FC2F-A8FF-4CD3-9C85-3A0EFFF956C4}" name="Column15911"/>
    <tableColumn id="15917" xr3:uid="{195E5722-616E-4B7A-89E6-1F4FE2FF0AC1}" name="Column15912"/>
    <tableColumn id="15918" xr3:uid="{EA36072C-D5DA-49F7-B45F-5AED7B077BED}" name="Column15913"/>
    <tableColumn id="15919" xr3:uid="{AAA7002F-9D48-4B0C-8CF6-99F111ED7A47}" name="Column15914"/>
    <tableColumn id="15920" xr3:uid="{8D44FABB-928E-46C1-984B-3E8D8CBB717E}" name="Column15915"/>
    <tableColumn id="15921" xr3:uid="{82A51F8F-9FE7-4235-B448-A72CFC4E9BD0}" name="Column15916"/>
    <tableColumn id="15922" xr3:uid="{BA21A83B-4877-4EAE-9C37-98C7D04FF6BD}" name="Column15917"/>
    <tableColumn id="15923" xr3:uid="{CEA806CA-34D6-41FF-9A5E-82BD0CCFC945}" name="Column15918"/>
    <tableColumn id="15924" xr3:uid="{AD2831C2-0A82-4A9C-9D55-9A099F81FC66}" name="Column15919"/>
    <tableColumn id="15925" xr3:uid="{C8871648-A5BA-4244-9F51-7CA76B414948}" name="Column15920"/>
    <tableColumn id="15926" xr3:uid="{57FB467A-6FBD-4E33-AB09-91BF2A58CA05}" name="Column15921"/>
    <tableColumn id="15927" xr3:uid="{C8AA6CE3-1148-40E3-8711-6156D5814353}" name="Column15922"/>
    <tableColumn id="15928" xr3:uid="{CE9EB2BD-2A3F-4358-B5B4-E0A499C29C61}" name="Column15923"/>
    <tableColumn id="15929" xr3:uid="{0CBB2F81-37D0-46E1-8EB3-310CF66CB6A8}" name="Column15924"/>
    <tableColumn id="15930" xr3:uid="{87046078-F626-40F2-9FB4-0E5C13638417}" name="Column15925"/>
    <tableColumn id="15931" xr3:uid="{58823126-565C-4EB6-A151-DFC1B0F49440}" name="Column15926"/>
    <tableColumn id="15932" xr3:uid="{C936DA3D-1667-4601-B2FE-D5BC904FE45C}" name="Column15927"/>
    <tableColumn id="15933" xr3:uid="{1B97998C-C6CF-4D0A-9D3F-E013FCB79BF8}" name="Column15928"/>
    <tableColumn id="15934" xr3:uid="{DFB48DD6-0AA9-4AEF-98AA-82293687C5AA}" name="Column15929"/>
    <tableColumn id="15935" xr3:uid="{474E6F83-5850-4872-AEC4-4244DC24D167}" name="Column15930"/>
    <tableColumn id="15936" xr3:uid="{FE33051A-D60A-4D0C-9E51-31757A24D1B1}" name="Column15931"/>
    <tableColumn id="15937" xr3:uid="{F0EE607E-C41F-4502-8435-CF254B64ED11}" name="Column15932"/>
    <tableColumn id="15938" xr3:uid="{6F153F3C-649E-4A72-A0CD-447B3A031968}" name="Column15933"/>
    <tableColumn id="15939" xr3:uid="{9F29571E-1EEB-4833-A1E7-4884EF3D2EE2}" name="Column15934"/>
    <tableColumn id="15940" xr3:uid="{E131E0A1-CD66-4D91-8CF3-9B070259262D}" name="Column15935"/>
    <tableColumn id="15941" xr3:uid="{89E275B2-0469-4DFE-8171-11C2202543FE}" name="Column15936"/>
    <tableColumn id="15942" xr3:uid="{10AA87AE-CC61-431B-A83E-A453E04B4C03}" name="Column15937"/>
    <tableColumn id="15943" xr3:uid="{51F9E895-C010-4D87-A51B-85D898356FC4}" name="Column15938"/>
    <tableColumn id="15944" xr3:uid="{C6D7D234-616C-446B-B76E-10AB48173608}" name="Column15939"/>
    <tableColumn id="15945" xr3:uid="{A2EA2BAF-3D9E-49C0-955F-D2AFD5DF1DAE}" name="Column15940"/>
    <tableColumn id="15946" xr3:uid="{09435C35-E885-4EBB-9ACC-206C845341D3}" name="Column15941"/>
    <tableColumn id="15947" xr3:uid="{A03B43AA-46F9-4CC1-8C9A-1B55379789F1}" name="Column15942"/>
    <tableColumn id="15948" xr3:uid="{7C5FC74A-D411-40A9-B815-FA14659B9B55}" name="Column15943"/>
    <tableColumn id="15949" xr3:uid="{AA3DE9F4-15FD-42A9-8C6D-FD21376805D2}" name="Column15944"/>
    <tableColumn id="15950" xr3:uid="{4C75AC2B-3285-4427-956C-A90FE56DF83B}" name="Column15945"/>
    <tableColumn id="15951" xr3:uid="{19B1FA82-3227-42E3-86EF-8DC2BB50E165}" name="Column15946"/>
    <tableColumn id="15952" xr3:uid="{8AAFBAF0-85B7-4513-B3BA-ACD74B2A29B4}" name="Column15947"/>
    <tableColumn id="15953" xr3:uid="{FD968DE1-D3C5-46ED-8A96-8BDA57D0B128}" name="Column15948"/>
    <tableColumn id="15954" xr3:uid="{C7E2F9A4-A6FD-4194-83E3-4C725B92FEFA}" name="Column15949"/>
    <tableColumn id="15955" xr3:uid="{6C7C6E3D-64EA-4D00-ABEF-1A5FF0F1700E}" name="Column15950"/>
    <tableColumn id="15956" xr3:uid="{2144779E-B52B-484A-A52C-210E73AC3521}" name="Column15951"/>
    <tableColumn id="15957" xr3:uid="{5EB6E71D-389A-4CC3-BC85-D8EBD05273DF}" name="Column15952"/>
    <tableColumn id="15958" xr3:uid="{701ABB3F-E566-4650-8F4A-7958E01EA1E5}" name="Column15953"/>
    <tableColumn id="15959" xr3:uid="{759DB1C8-370B-41DC-A6F8-57DF2C5B9DC6}" name="Column15954"/>
    <tableColumn id="15960" xr3:uid="{77F967FE-5F1B-41A6-AEDE-B708C2027541}" name="Column15955"/>
    <tableColumn id="15961" xr3:uid="{70F1F64F-3658-4DE7-9BA9-F918108D7D4D}" name="Column15956"/>
    <tableColumn id="15962" xr3:uid="{15258019-4473-4181-9989-47DD4750CAC7}" name="Column15957"/>
    <tableColumn id="15963" xr3:uid="{28A3AC89-26FC-4FAA-8E30-0E60431CF135}" name="Column15958"/>
    <tableColumn id="15964" xr3:uid="{C2669642-D635-4614-AD4A-23B98D30CAE2}" name="Column15959"/>
    <tableColumn id="15965" xr3:uid="{884E76E7-40FB-48A7-8E05-398509F88980}" name="Column15960"/>
    <tableColumn id="15966" xr3:uid="{DAFC9505-44E9-4FBB-AA5D-44920009AAC6}" name="Column15961"/>
    <tableColumn id="15967" xr3:uid="{83279B6E-095B-435B-A067-5E1E37062DA6}" name="Column15962"/>
    <tableColumn id="15968" xr3:uid="{44464C7B-E42F-4A80-932C-6B944E4CBE1A}" name="Column15963"/>
    <tableColumn id="15969" xr3:uid="{C6C6CCA7-7155-4B2E-85C9-F1762188BF4C}" name="Column15964"/>
    <tableColumn id="15970" xr3:uid="{61CF11C6-20E8-4BB3-B1A2-28CE0BED84A9}" name="Column15965"/>
    <tableColumn id="15971" xr3:uid="{96104244-B304-4DF3-93AB-167A64B922BD}" name="Column15966"/>
    <tableColumn id="15972" xr3:uid="{7409E252-B29E-49C6-8B13-98DD44329BD8}" name="Column15967"/>
    <tableColumn id="15973" xr3:uid="{A1FE720A-F392-4C03-AF79-37071293AF5D}" name="Column15968"/>
    <tableColumn id="15974" xr3:uid="{68D71871-BBA3-4C8E-A48B-B0503150A340}" name="Column15969"/>
    <tableColumn id="15975" xr3:uid="{062A5812-B129-49A6-B01E-8FD1969BCDC0}" name="Column15970"/>
    <tableColumn id="15976" xr3:uid="{AAFE68EC-C601-47CD-91A8-4118C4736591}" name="Column15971"/>
    <tableColumn id="15977" xr3:uid="{8BB7AFBC-122E-4397-AAF9-9269D5019BF7}" name="Column15972"/>
    <tableColumn id="15978" xr3:uid="{1E3F1C04-DB79-4147-917A-521179E0CD56}" name="Column15973"/>
    <tableColumn id="15979" xr3:uid="{D1B7B796-091A-4747-B37B-705B17B5484E}" name="Column15974"/>
    <tableColumn id="15980" xr3:uid="{750A8A04-BD36-4ADE-801C-A13E9D42FE64}" name="Column15975"/>
    <tableColumn id="15981" xr3:uid="{113BC87C-A0FA-4362-807C-BEB08724F03A}" name="Column15976"/>
    <tableColumn id="15982" xr3:uid="{F2903A76-74E8-4DCC-9F4B-BED8BBBD2E2A}" name="Column15977"/>
    <tableColumn id="15983" xr3:uid="{E415D26B-5071-493B-A98B-21C77662678A}" name="Column15978"/>
    <tableColumn id="15984" xr3:uid="{71703DB6-EBE0-4A56-9756-29B9C29C146C}" name="Column15979"/>
    <tableColumn id="15985" xr3:uid="{1100DDD9-ACEF-4259-9621-7AD336762D3E}" name="Column15980"/>
    <tableColumn id="15986" xr3:uid="{BA89B623-168D-4BFE-B7FE-22EA08FAADAB}" name="Column15981"/>
    <tableColumn id="15987" xr3:uid="{ABE0464D-DC92-49FE-868A-9D0BC0848146}" name="Column15982"/>
    <tableColumn id="15988" xr3:uid="{349FE6A9-F46E-4D9E-93B4-8ABC0D331358}" name="Column15983"/>
    <tableColumn id="15989" xr3:uid="{D315AF44-E5A3-4AA5-ABCF-7251796DB82A}" name="Column15984"/>
    <tableColumn id="15990" xr3:uid="{6A38EE84-ED5D-4C6A-9FAF-DCF0538C6E91}" name="Column15985"/>
    <tableColumn id="15991" xr3:uid="{DCF5F68E-899C-4ADC-9078-E3AC014150F1}" name="Column15986"/>
    <tableColumn id="15992" xr3:uid="{670842C3-E20C-4C93-B28C-C0039189C047}" name="Column15987"/>
    <tableColumn id="15993" xr3:uid="{67EE3F8E-F265-4B58-8A74-B1608B6EB07D}" name="Column15988"/>
    <tableColumn id="15994" xr3:uid="{A751BC3B-84E8-42B1-A002-40F25DDFAB99}" name="Column15989"/>
    <tableColumn id="15995" xr3:uid="{B578BF2D-0285-45B8-A691-D5815290D17E}" name="Column15990"/>
    <tableColumn id="15996" xr3:uid="{23EC74CD-A4EC-434F-BB76-1BC8DC1FFDA7}" name="Column15991"/>
    <tableColumn id="15997" xr3:uid="{C1FE6B03-C135-43A2-90E9-10B5859C064A}" name="Column15992"/>
    <tableColumn id="15998" xr3:uid="{93D7C242-6734-44ED-9385-8AC3B3462489}" name="Column15993"/>
    <tableColumn id="15999" xr3:uid="{A8E55F40-9FE2-4E13-B2EC-A2B79F749839}" name="Column15994"/>
    <tableColumn id="16000" xr3:uid="{75C757A7-4D1B-46C4-91B4-DDE3F0A65C44}" name="Column15995"/>
    <tableColumn id="16001" xr3:uid="{0AE6FDBB-C919-4212-95AB-C5D34A730B75}" name="Column15996"/>
    <tableColumn id="16002" xr3:uid="{AE28824B-F598-4CBF-ABAB-AEC42D88AA06}" name="Column15997"/>
    <tableColumn id="16003" xr3:uid="{AD06429A-5ED6-4106-8C49-F05C1434D13E}" name="Column15998"/>
    <tableColumn id="16004" xr3:uid="{A669169E-D861-4C99-8EB3-7EA7C8018E00}" name="Column15999"/>
    <tableColumn id="16005" xr3:uid="{FAEBD227-5B2D-411F-9CD0-99D548563A76}" name="Column16000"/>
    <tableColumn id="16006" xr3:uid="{2C7CCD9B-0DC6-4D69-92DB-530B9FE7B27A}" name="Column16001"/>
    <tableColumn id="16007" xr3:uid="{1AC4A1CA-6CCF-4B2D-89F0-F08DAF2E7171}" name="Column16002"/>
    <tableColumn id="16008" xr3:uid="{B306B8A7-A66B-40F7-8621-C77FCA45B7F0}" name="Column16003"/>
    <tableColumn id="16009" xr3:uid="{56E5C7CA-F225-4C62-A6D9-E9D9EFB9E45C}" name="Column16004"/>
    <tableColumn id="16010" xr3:uid="{5DB78883-5D43-494F-B8FD-687FDE33EA65}" name="Column16005"/>
    <tableColumn id="16011" xr3:uid="{D951BDA9-F408-4FD4-9459-61B9C5F7A263}" name="Column16006"/>
    <tableColumn id="16012" xr3:uid="{364A6A8E-82DC-46AC-8558-65BD1F17E070}" name="Column16007"/>
    <tableColumn id="16013" xr3:uid="{1E6E7CE6-47EC-4085-A2E9-26F6D06276E1}" name="Column16008"/>
    <tableColumn id="16014" xr3:uid="{7A7E41BC-BDBB-43AB-A660-CF63DC1984E3}" name="Column16009"/>
    <tableColumn id="16015" xr3:uid="{8EF990D5-DA05-4C4F-8C2E-6C05A3D57B58}" name="Column16010"/>
    <tableColumn id="16016" xr3:uid="{261D3863-B1CE-4F94-9EEF-0EA972471F70}" name="Column16011"/>
    <tableColumn id="16017" xr3:uid="{AAD78261-8DA8-48A6-82F0-7595E392F85E}" name="Column16012"/>
    <tableColumn id="16018" xr3:uid="{DD563C1B-B7FE-48CD-8BCE-52DFD6D633B4}" name="Column16013"/>
    <tableColumn id="16019" xr3:uid="{A48EF6A2-BCD8-4810-8392-7C47EA9546D6}" name="Column16014"/>
    <tableColumn id="16020" xr3:uid="{306C8BAF-90E9-4D39-BD06-D9DC1B7890E5}" name="Column16015"/>
    <tableColumn id="16021" xr3:uid="{4B0C39E3-6E92-4D01-A1BB-009FB625665E}" name="Column16016"/>
    <tableColumn id="16022" xr3:uid="{C6A1F131-7F2D-45A0-A1C2-843B6CF15B10}" name="Column16017"/>
    <tableColumn id="16023" xr3:uid="{43539C10-43A3-4A3C-84F5-F139E505486F}" name="Column16018"/>
    <tableColumn id="16024" xr3:uid="{0C65FB31-617F-43AC-A9BC-5E011FA86735}" name="Column16019"/>
    <tableColumn id="16025" xr3:uid="{66F4D2B5-D8CF-44D8-BCAC-7F82CFC8F778}" name="Column16020"/>
    <tableColumn id="16026" xr3:uid="{E6365D9C-ED9D-4989-BE7D-59DD0AD6655A}" name="Column16021"/>
    <tableColumn id="16027" xr3:uid="{1DFAB91B-9708-41F3-880E-6062E0F8E8D9}" name="Column16022"/>
    <tableColumn id="16028" xr3:uid="{B585E4D1-E249-479F-B681-041E8016274F}" name="Column16023"/>
    <tableColumn id="16029" xr3:uid="{5D659BD2-4D69-43F6-B7E6-7B7F62D3C16F}" name="Column16024"/>
    <tableColumn id="16030" xr3:uid="{11B4744B-0D52-4DBD-87FD-6195A7A492AD}" name="Column16025"/>
    <tableColumn id="16031" xr3:uid="{7EE186C7-EF8C-498C-BAF4-673D7CFC249D}" name="Column16026"/>
    <tableColumn id="16032" xr3:uid="{993DD63B-80E0-4129-B293-1F53D1458381}" name="Column16027"/>
    <tableColumn id="16033" xr3:uid="{6F57C1AE-999E-4328-B6E6-93761B85BD05}" name="Column16028"/>
    <tableColumn id="16034" xr3:uid="{C98B544E-DD2B-49B3-AF46-D26B564AA61A}" name="Column16029"/>
    <tableColumn id="16035" xr3:uid="{E2206949-8B67-4A6C-B732-1BD5A6212A19}" name="Column16030"/>
    <tableColumn id="16036" xr3:uid="{ADFAC423-37A4-4AD3-9C0B-607324AE9418}" name="Column16031"/>
    <tableColumn id="16037" xr3:uid="{82E4BF54-F66F-4C93-A3BE-1B5857A7DAB2}" name="Column16032"/>
    <tableColumn id="16038" xr3:uid="{D66AD123-0A1F-4C68-85AD-6FB60AAA10EE}" name="Column16033"/>
    <tableColumn id="16039" xr3:uid="{48F4928B-CBA0-40C1-94AE-B2625AC8EBCB}" name="Column16034"/>
    <tableColumn id="16040" xr3:uid="{F46E17BA-CB9A-4943-BFAE-2DEB19F37093}" name="Column16035"/>
    <tableColumn id="16041" xr3:uid="{927E1D77-2E5D-409A-9B3B-E06A4011A1A1}" name="Column16036"/>
    <tableColumn id="16042" xr3:uid="{8021814C-FD9D-47AA-9880-F316DDA8A247}" name="Column16037"/>
    <tableColumn id="16043" xr3:uid="{CFA7B395-EAE7-4BDC-B945-225A4F9C0956}" name="Column16038"/>
    <tableColumn id="16044" xr3:uid="{6D475BA1-197F-4211-BD06-268927711F31}" name="Column16039"/>
    <tableColumn id="16045" xr3:uid="{585A5253-E09C-4A6D-83C0-F42729E96655}" name="Column16040"/>
    <tableColumn id="16046" xr3:uid="{300D6683-DAEA-4EEF-B6AD-8AFD0E65F95A}" name="Column16041"/>
    <tableColumn id="16047" xr3:uid="{000C8461-77DB-45E9-B0DD-FF6A65D9134D}" name="Column16042"/>
    <tableColumn id="16048" xr3:uid="{E1D620BA-43B4-4AA5-9DDA-EE4A832B3A53}" name="Column16043"/>
    <tableColumn id="16049" xr3:uid="{264B4D75-15A4-487F-B50D-0E20DC500D05}" name="Column16044"/>
    <tableColumn id="16050" xr3:uid="{2EA9EF2D-0E48-4912-9A3B-BA2EC5FB048F}" name="Column16045"/>
    <tableColumn id="16051" xr3:uid="{A16B1DD6-A153-4F48-90C9-2A3A27F8AB8B}" name="Column16046"/>
    <tableColumn id="16052" xr3:uid="{F94C21D7-9A4C-481E-AAE2-F7979DDB97D8}" name="Column16047"/>
    <tableColumn id="16053" xr3:uid="{8033C5B3-D9F6-469A-94FD-56AA5B8CC90F}" name="Column16048"/>
    <tableColumn id="16054" xr3:uid="{C2DA2C6B-DFA2-40D4-A13F-A10901D44791}" name="Column16049"/>
    <tableColumn id="16055" xr3:uid="{E2DA9645-88B9-4298-93EE-FEAFECA8C50A}" name="Column16050"/>
    <tableColumn id="16056" xr3:uid="{B3C1C1D5-B4D0-4B2E-881D-EBEBBA4997ED}" name="Column16051"/>
    <tableColumn id="16057" xr3:uid="{E74FB019-1550-43C1-A5E8-6499E6FF5E3F}" name="Column16052"/>
    <tableColumn id="16058" xr3:uid="{EF71DFDD-F6C3-451B-86FF-AB4ADBEDC9FE}" name="Column16053"/>
    <tableColumn id="16059" xr3:uid="{7287B662-18F4-430C-B386-EDB4287A3556}" name="Column16054"/>
    <tableColumn id="16060" xr3:uid="{2C04EB0C-00D0-448A-A3F5-8FCE15604B70}" name="Column16055"/>
    <tableColumn id="16061" xr3:uid="{9854C103-86D9-4F22-B363-91F4D74F7B20}" name="Column16056"/>
    <tableColumn id="16062" xr3:uid="{78A82AFD-A0CD-4E28-910B-4B9DEDA6CA37}" name="Column16057"/>
    <tableColumn id="16063" xr3:uid="{ED30C91E-D723-45F8-BB8C-1C0B33493C66}" name="Column16058"/>
    <tableColumn id="16064" xr3:uid="{E07DBD14-F3BA-42A0-8B48-0B78751CE5FA}" name="Column16059"/>
    <tableColumn id="16065" xr3:uid="{D8534B9D-E34F-46D0-A460-378DA25C8F6D}" name="Column16060"/>
    <tableColumn id="16066" xr3:uid="{E60EE5F2-A2B5-4320-9E78-96706ABF78E8}" name="Column16061"/>
    <tableColumn id="16067" xr3:uid="{2845A14F-96D5-4317-8036-E9250E055438}" name="Column16062"/>
    <tableColumn id="16068" xr3:uid="{79E04AC3-9B76-4D64-9B60-8C91B528028A}" name="Column16063"/>
    <tableColumn id="16069" xr3:uid="{1B06C628-5D48-4C89-A371-734BEB0F8D54}" name="Column16064"/>
    <tableColumn id="16070" xr3:uid="{18CBA480-6F47-41A9-8C28-683044D7D6E5}" name="Column16065"/>
    <tableColumn id="16071" xr3:uid="{6B433247-9FE4-4788-B5CA-44FDA0540F80}" name="Column16066"/>
    <tableColumn id="16072" xr3:uid="{4D49B27C-52FC-49C8-A8A0-292458D27445}" name="Column16067"/>
    <tableColumn id="16073" xr3:uid="{70E985E7-1F21-4236-A11A-87F0034CCCB9}" name="Column16068"/>
    <tableColumn id="16074" xr3:uid="{466944B0-CB61-4287-BD92-CECC06D21F7A}" name="Column16069"/>
    <tableColumn id="16075" xr3:uid="{0D60841E-513F-4035-AA6F-19C2B3032A5C}" name="Column16070"/>
    <tableColumn id="16076" xr3:uid="{F2213AD2-259F-40A0-BF2B-2E266A44B343}" name="Column16071"/>
    <tableColumn id="16077" xr3:uid="{DADAC9AE-CFC0-4D0A-B2A0-C0994D881655}" name="Column16072"/>
    <tableColumn id="16078" xr3:uid="{5F0F33A4-996D-4EA6-A117-B5BA1237AFE2}" name="Column16073"/>
    <tableColumn id="16079" xr3:uid="{4D21F0B2-5EB9-4BE3-A28C-D8865A47958A}" name="Column16074"/>
    <tableColumn id="16080" xr3:uid="{8EFBFF18-8B3D-42AB-989D-BCF8FAB829F4}" name="Column16075"/>
    <tableColumn id="16081" xr3:uid="{332B87BA-4413-4EA1-A00D-18CA1F369990}" name="Column16076"/>
    <tableColumn id="16082" xr3:uid="{F580A7F3-EAC1-4A73-85A3-E855B0B70539}" name="Column16077"/>
    <tableColumn id="16083" xr3:uid="{E1C2DDCB-4155-4570-BB7A-DFB3AA57EBA7}" name="Column16078"/>
    <tableColumn id="16084" xr3:uid="{D1D866C8-5F19-4A31-A448-3B34A9C112A6}" name="Column16079"/>
    <tableColumn id="16085" xr3:uid="{780C67D4-FA5F-42EE-A703-2D02F2DFF0D3}" name="Column16080"/>
    <tableColumn id="16086" xr3:uid="{39227E1D-46AB-4449-80CA-93FAD6E37146}" name="Column16081"/>
    <tableColumn id="16087" xr3:uid="{9ADBF9F3-8FF1-4B2E-8397-FD829F22FC7C}" name="Column16082"/>
    <tableColumn id="16088" xr3:uid="{5FFBC7D1-A6F8-4CF8-AC9A-5D575A81D591}" name="Column16083"/>
    <tableColumn id="16089" xr3:uid="{ED4F5155-9D51-4006-813A-296185090A51}" name="Column16084"/>
    <tableColumn id="16090" xr3:uid="{27DACAC5-54E4-4D72-BF21-4981494AC52A}" name="Column16085"/>
    <tableColumn id="16091" xr3:uid="{A2D71129-8CE6-4536-AA93-BD9EA3123387}" name="Column16086"/>
    <tableColumn id="16092" xr3:uid="{FD9FE21E-F7E7-4E5B-9BD5-E862DED62594}" name="Column16087"/>
    <tableColumn id="16093" xr3:uid="{98440FA4-EB9D-4750-B9F1-C7BA648C7968}" name="Column16088"/>
    <tableColumn id="16094" xr3:uid="{4E393B6D-FEC0-4F89-A5CA-471AEF016438}" name="Column16089"/>
    <tableColumn id="16095" xr3:uid="{67A830B3-41EB-42EC-AF5A-AC34AC4D6823}" name="Column16090"/>
    <tableColumn id="16096" xr3:uid="{0DBDEBC7-C061-4D27-B002-C16CD02807E4}" name="Column16091"/>
    <tableColumn id="16097" xr3:uid="{38123176-296F-4BC9-90E7-D840E15A11E3}" name="Column16092"/>
    <tableColumn id="16098" xr3:uid="{FE37EBCA-2D03-4362-9604-5BC71EDC1984}" name="Column16093"/>
    <tableColumn id="16099" xr3:uid="{3996D706-3824-4586-B128-A84FAEEA0D47}" name="Column16094"/>
    <tableColumn id="16100" xr3:uid="{FA7AE3F6-F30C-4147-B38D-20B4DE402ADA}" name="Column16095"/>
    <tableColumn id="16101" xr3:uid="{FCC51F07-4A6B-4E69-A107-B6A4D1DE4ABA}" name="Column16096"/>
    <tableColumn id="16102" xr3:uid="{B95FF650-2127-4B54-A175-2F945E30790E}" name="Column16097"/>
    <tableColumn id="16103" xr3:uid="{27AE551D-DDD7-460D-AFD0-88B425150421}" name="Column16098"/>
    <tableColumn id="16104" xr3:uid="{55956847-6F3F-4FE5-934E-40C8A19CA2DD}" name="Column16099"/>
    <tableColumn id="16105" xr3:uid="{541B1C0A-DF78-48E5-AA6E-7686F261A737}" name="Column16100"/>
    <tableColumn id="16106" xr3:uid="{E9934C34-6E46-4265-923D-16C8363631BD}" name="Column16101"/>
    <tableColumn id="16107" xr3:uid="{A0FBA708-CB23-489B-A459-FAA6D8485F6F}" name="Column16102"/>
    <tableColumn id="16108" xr3:uid="{8989FABA-6F29-4DF0-B12F-3BD80422B26E}" name="Column16103"/>
    <tableColumn id="16109" xr3:uid="{81F8AC4B-4B0B-4928-88DD-280C8BD12DBC}" name="Column16104"/>
    <tableColumn id="16110" xr3:uid="{E675F4AA-5EE8-47DC-B6DD-CBF407005ED8}" name="Column16105"/>
    <tableColumn id="16111" xr3:uid="{5FEE3020-0DEB-4AAE-92E3-5D76B777D053}" name="Column16106"/>
    <tableColumn id="16112" xr3:uid="{02A6AD19-27AF-42C2-B5D0-8C5E391B3847}" name="Column16107"/>
    <tableColumn id="16113" xr3:uid="{008F7ECA-0539-4089-ADAF-42B70CC7A55F}" name="Column16108"/>
    <tableColumn id="16114" xr3:uid="{0281A2B4-A37B-459B-98B1-7E1818C2078A}" name="Column16109"/>
    <tableColumn id="16115" xr3:uid="{A4B9DE1A-61A1-41E7-A1ED-1C290591CBCC}" name="Column16110"/>
    <tableColumn id="16116" xr3:uid="{B98C6F1F-2E75-4BED-BABB-3BD8217A54C5}" name="Column16111"/>
    <tableColumn id="16117" xr3:uid="{087C907E-9797-48C0-9D69-54009CF36BB9}" name="Column16112"/>
    <tableColumn id="16118" xr3:uid="{B4D8AE75-2D56-479D-9554-2539695553B4}" name="Column16113"/>
    <tableColumn id="16119" xr3:uid="{7088CB4D-1CD3-4170-BA63-53A353DC6930}" name="Column16114"/>
    <tableColumn id="16120" xr3:uid="{B898F8B5-7760-4CFF-9BA0-A40DFE768E89}" name="Column16115"/>
    <tableColumn id="16121" xr3:uid="{FA01973F-6F2E-4934-930D-51E17987A62A}" name="Column16116"/>
    <tableColumn id="16122" xr3:uid="{7C11FAC8-05C5-4C6C-A58E-002D3D2EC066}" name="Column16117"/>
    <tableColumn id="16123" xr3:uid="{F69592F1-91F8-4B51-A550-0F9DD591A249}" name="Column16118"/>
    <tableColumn id="16124" xr3:uid="{4FF4EB0E-CCBB-4B7F-95E9-6E7F4E7F44AB}" name="Column16119"/>
    <tableColumn id="16125" xr3:uid="{964B61F2-C7D4-47E4-BD8A-AFF3A817B547}" name="Column16120"/>
    <tableColumn id="16126" xr3:uid="{B55370CD-4812-4465-A262-1E239AB6F2B4}" name="Column16121"/>
    <tableColumn id="16127" xr3:uid="{BCB1EE3C-0DCA-46E1-AF30-7B26509244B8}" name="Column16122"/>
    <tableColumn id="16128" xr3:uid="{B863B86C-A8A7-491F-B458-77905232CB8A}" name="Column16123"/>
    <tableColumn id="16129" xr3:uid="{2E48F852-589F-46B6-B08A-16D01EFF6B74}" name="Column16124"/>
    <tableColumn id="16130" xr3:uid="{7CF968DC-BC7C-485D-B020-60BA288B3E61}" name="Column16125"/>
    <tableColumn id="16131" xr3:uid="{D8B4893F-364D-47FD-A85A-ED3ED7240015}" name="Column16126"/>
    <tableColumn id="16132" xr3:uid="{EBF97E53-6069-443C-918F-4F3E7CB3FEC0}" name="Column16127"/>
    <tableColumn id="16133" xr3:uid="{CC7C3242-2C61-4495-97CE-EC4614EB171F}" name="Column16128"/>
    <tableColumn id="16134" xr3:uid="{3784C187-29CA-4F11-91D2-DFB302243DB0}" name="Column16129"/>
    <tableColumn id="16135" xr3:uid="{1CDE96C5-481A-47B5-9A51-D311506E5226}" name="Column16130"/>
    <tableColumn id="16136" xr3:uid="{FD6CC096-0732-4D8D-BD91-CB5813F360D2}" name="Column16131"/>
    <tableColumn id="16137" xr3:uid="{8FC90D05-48F8-48A0-9E1B-6A3A854B2B84}" name="Column16132"/>
    <tableColumn id="16138" xr3:uid="{929A0F58-562D-4BC5-9501-FAD07B282172}" name="Column16133"/>
    <tableColumn id="16139" xr3:uid="{E03188E6-CB4A-4D8C-AFCB-E379BFBFDD2B}" name="Column16134"/>
    <tableColumn id="16140" xr3:uid="{29C6ECA6-4F79-41A2-AF55-FAD38376ADAE}" name="Column16135"/>
    <tableColumn id="16141" xr3:uid="{13E24F59-835D-4A81-89D4-C572CD29DC1D}" name="Column16136"/>
    <tableColumn id="16142" xr3:uid="{88CA2DAC-604B-464D-946A-0CC8FAAB8251}" name="Column16137"/>
    <tableColumn id="16143" xr3:uid="{628DFC1A-9D82-445B-BEA8-507CCABDC095}" name="Column16138"/>
    <tableColumn id="16144" xr3:uid="{09076973-4669-4272-A798-9B02CB374B7E}" name="Column16139"/>
    <tableColumn id="16145" xr3:uid="{2EAB1462-CDFD-46B3-9AF0-6A8AD3B00A6B}" name="Column16140"/>
    <tableColumn id="16146" xr3:uid="{1B032268-7C53-4D3F-9172-193389603735}" name="Column16141"/>
    <tableColumn id="16147" xr3:uid="{5D2F2AAD-9188-48EE-9AD7-1B844B5C5CD6}" name="Column16142"/>
    <tableColumn id="16148" xr3:uid="{D4C76F36-ECC1-4D07-A8F2-CAEA0F3776D4}" name="Column16143"/>
    <tableColumn id="16149" xr3:uid="{C238B8E2-D587-40CD-BD2F-DDE7892BEE52}" name="Column16144"/>
    <tableColumn id="16150" xr3:uid="{4B4199EF-C548-45C0-AC49-8B9D8F134A70}" name="Column16145"/>
    <tableColumn id="16151" xr3:uid="{80231FEE-6605-46AB-9F67-818C7FF5AFC6}" name="Column16146"/>
    <tableColumn id="16152" xr3:uid="{7696328B-FAE9-4BC0-A678-F363BB4006CC}" name="Column16147"/>
    <tableColumn id="16153" xr3:uid="{88E87C89-1579-4001-B68A-1A30940B629E}" name="Column16148"/>
    <tableColumn id="16154" xr3:uid="{258B8728-89E3-4971-A222-7E5F89DCBBA5}" name="Column16149"/>
    <tableColumn id="16155" xr3:uid="{E90505B6-C152-4DF4-AF6C-CAA6E29DFDB4}" name="Column16150"/>
    <tableColumn id="16156" xr3:uid="{4EEA516A-228B-4366-A5D8-F20039A6D0B2}" name="Column16151"/>
    <tableColumn id="16157" xr3:uid="{696BA8B2-4744-404E-87E9-1814CDBF421E}" name="Column16152"/>
    <tableColumn id="16158" xr3:uid="{9C0E3686-576E-458F-A72E-D0C0DDA43CA3}" name="Column16153"/>
    <tableColumn id="16159" xr3:uid="{749DB0DE-A22B-47C7-A809-250BD4EB44B4}" name="Column16154"/>
    <tableColumn id="16160" xr3:uid="{506581D6-C317-4C71-9F85-1977A76A9D2E}" name="Column16155"/>
    <tableColumn id="16161" xr3:uid="{16ECFAE1-2798-44CC-9480-47F8BE933D74}" name="Column16156"/>
    <tableColumn id="16162" xr3:uid="{2F0EA5D8-574C-46B9-9A6D-6111E9B41FDE}" name="Column16157"/>
    <tableColumn id="16163" xr3:uid="{6C180DF1-2957-433C-B1C9-5A7F6444C864}" name="Column16158"/>
    <tableColumn id="16164" xr3:uid="{23D87D7A-38D3-4A87-BB65-3F53AA5B08BF}" name="Column16159"/>
    <tableColumn id="16165" xr3:uid="{37D9439D-EFDC-4A3A-BE87-2B36FFEBA00D}" name="Column16160"/>
    <tableColumn id="16166" xr3:uid="{CA46836B-F322-49FB-AFCD-4191617A0561}" name="Column16161"/>
    <tableColumn id="16167" xr3:uid="{037999F9-9366-440C-AD80-5103D33B0E3F}" name="Column16162"/>
    <tableColumn id="16168" xr3:uid="{9D733F3D-06D5-4BDA-B97C-3AB07638809B}" name="Column16163"/>
    <tableColumn id="16169" xr3:uid="{9F1AC39D-5F88-48EF-9EE8-496A3CCC4D45}" name="Column16164"/>
    <tableColumn id="16170" xr3:uid="{29892FF9-18CA-4180-BDC9-95AE86443B0E}" name="Column16165"/>
    <tableColumn id="16171" xr3:uid="{5785D79A-E5AF-4FBA-A615-51EE0FA722BB}" name="Column16166"/>
    <tableColumn id="16172" xr3:uid="{55B97953-22E1-4211-ABC6-277469E5B0A5}" name="Column16167"/>
    <tableColumn id="16173" xr3:uid="{8A15DC2F-4F72-4534-9389-A76C8F024972}" name="Column16168"/>
    <tableColumn id="16174" xr3:uid="{65147CA2-BB0C-4413-A840-EBE4AF3A4C81}" name="Column16169"/>
    <tableColumn id="16175" xr3:uid="{1A64C0AE-E858-4F49-BFE7-E96267A057D6}" name="Column16170"/>
    <tableColumn id="16176" xr3:uid="{52625B5E-221F-4E90-901B-198A05ABC378}" name="Column16171"/>
    <tableColumn id="16177" xr3:uid="{D3662748-5C05-47AC-907C-99B71FB3178A}" name="Column16172"/>
    <tableColumn id="16178" xr3:uid="{A579C2CF-AFBF-4498-801C-F6F5AD421C21}" name="Column16173"/>
    <tableColumn id="16179" xr3:uid="{C1A3CDB5-40CD-4553-B912-A7042A2F89C2}" name="Column16174"/>
    <tableColumn id="16180" xr3:uid="{ADB85917-7646-45AC-AD3B-EA230F04D2AB}" name="Column16175"/>
    <tableColumn id="16181" xr3:uid="{38FB3247-59A3-4959-BF41-4AFF27385E42}" name="Column16176"/>
    <tableColumn id="16182" xr3:uid="{81CA2B28-CCF0-4515-8C2A-06E43FDFB309}" name="Column16177"/>
    <tableColumn id="16183" xr3:uid="{CA972C0F-F684-49B5-AF2F-CF9E4CD26B2C}" name="Column16178"/>
    <tableColumn id="16184" xr3:uid="{2A20D78A-FECD-4AC4-834A-147CACAEEA8D}" name="Column16179"/>
    <tableColumn id="16185" xr3:uid="{CA17F88C-B4B5-4CA8-A679-17AA5CD3581D}" name="Column16180"/>
    <tableColumn id="16186" xr3:uid="{F19035E7-274D-4D82-93F5-ABA6558FF4CF}" name="Column16181"/>
    <tableColumn id="16187" xr3:uid="{7A5F844D-17D0-4AAC-A1E4-6BEA378979BA}" name="Column16182"/>
    <tableColumn id="16188" xr3:uid="{C5B7A9A4-D055-4878-8B4F-9CCC5004A86D}" name="Column16183"/>
    <tableColumn id="16189" xr3:uid="{C653379D-6CDA-401C-8709-004B35319BD1}" name="Column16184"/>
    <tableColumn id="16190" xr3:uid="{B46C4AC9-FE2F-48BA-9A36-1FE471703DAD}" name="Column16185"/>
    <tableColumn id="16191" xr3:uid="{6163DFDC-D9A5-4EEE-9AF6-17F4472E79D3}" name="Column16186"/>
    <tableColumn id="16192" xr3:uid="{42E7CD4C-3770-4709-BD65-E9D2982AC1C7}" name="Column16187"/>
    <tableColumn id="16193" xr3:uid="{B628B337-11BC-4423-9DC0-8BF9D8D15D31}" name="Column16188"/>
    <tableColumn id="16194" xr3:uid="{54B9E7E7-6AA7-479B-A361-9670960C5C04}" name="Column16189"/>
    <tableColumn id="16195" xr3:uid="{A430C88C-A7B4-49E6-A8E5-0E58E89B5AB3}" name="Column16190"/>
    <tableColumn id="16196" xr3:uid="{4574C253-595D-4B3E-8D8C-3AC4C776E928}" name="Column16191"/>
    <tableColumn id="16197" xr3:uid="{DE33B683-2AD6-481D-89DA-96CA65BA09DC}" name="Column16192"/>
    <tableColumn id="16198" xr3:uid="{854C4E51-0481-4956-8552-74B69945263E}" name="Column16193"/>
    <tableColumn id="16199" xr3:uid="{47C15632-158D-4F72-BF54-4ED44AEA3A51}" name="Column16194"/>
    <tableColumn id="16200" xr3:uid="{E533A24A-8554-47D4-9676-E28E36AF985E}" name="Column16195"/>
    <tableColumn id="16201" xr3:uid="{AD1890F3-9CC2-4EC6-A3E4-11D8BFCFC456}" name="Column16196"/>
    <tableColumn id="16202" xr3:uid="{35B7AB0D-18A6-4CB8-BD37-E996EF0C0D54}" name="Column16197"/>
    <tableColumn id="16203" xr3:uid="{AE144DF6-E9FE-4200-9B2C-C583DD817845}" name="Column16198"/>
    <tableColumn id="16204" xr3:uid="{7917616A-9C01-4261-9808-89F6EBBB6ACE}" name="Column16199"/>
    <tableColumn id="16205" xr3:uid="{8D80B0BB-110D-4EF9-89A2-AAC1DDDAAFE3}" name="Column16200"/>
    <tableColumn id="16206" xr3:uid="{C5C93318-3631-4D1C-A8CE-0A5A5FDFC68D}" name="Column16201"/>
    <tableColumn id="16207" xr3:uid="{8600A638-651C-45B7-8DC5-9778118B411A}" name="Column16202"/>
    <tableColumn id="16208" xr3:uid="{71A30B9A-A8F9-4F0F-8E6A-FDEEF3EDDAC3}" name="Column16203"/>
    <tableColumn id="16209" xr3:uid="{7E254FF9-8D62-466B-B119-AB939D2DF10F}" name="Column16204"/>
    <tableColumn id="16210" xr3:uid="{CDBA7DDA-5583-43A8-A518-90C6249274D0}" name="Column16205"/>
    <tableColumn id="16211" xr3:uid="{B42645C1-C186-4222-95D2-EFB3035EE977}" name="Column16206"/>
    <tableColumn id="16212" xr3:uid="{9C8399E0-40E8-4CAB-91AA-16A36EF85209}" name="Column16207"/>
    <tableColumn id="16213" xr3:uid="{12B8BF32-ABA6-4B69-A420-87A5E26DB805}" name="Column16208"/>
    <tableColumn id="16214" xr3:uid="{2A22770E-039A-4E65-ABDF-B5FC8FA6709B}" name="Column16209"/>
    <tableColumn id="16215" xr3:uid="{FC9FB439-4CC1-4DDF-B53A-23C45868A5A7}" name="Column16210"/>
    <tableColumn id="16216" xr3:uid="{9DB5AD0D-8EC0-447A-9904-BB3F2BE34CE4}" name="Column16211"/>
    <tableColumn id="16217" xr3:uid="{342235CE-09FF-4BE0-AED7-1A4761BAACBF}" name="Column16212"/>
    <tableColumn id="16218" xr3:uid="{EF678368-983C-4261-A27E-B15A7CDE0FB0}" name="Column16213"/>
    <tableColumn id="16219" xr3:uid="{53D654B2-67F8-46F6-A3B2-B3A189A7808B}" name="Column16214"/>
    <tableColumn id="16220" xr3:uid="{FC5C83B7-1E9E-44CA-9E7D-AD351996E705}" name="Column16215"/>
    <tableColumn id="16221" xr3:uid="{B141A2F5-347A-4B62-AB55-63A154851E50}" name="Column16216"/>
    <tableColumn id="16222" xr3:uid="{2D4022A1-E818-48FC-B90B-920DB758CCE1}" name="Column16217"/>
    <tableColumn id="16223" xr3:uid="{7D8C5E97-9D70-447B-8513-44D2021F9E71}" name="Column16218"/>
    <tableColumn id="16224" xr3:uid="{32CA73C8-00B6-4C94-BA4E-BFB8296918B8}" name="Column16219"/>
    <tableColumn id="16225" xr3:uid="{E385A70D-68BC-4BDD-91DA-C634027F16CB}" name="Column16220"/>
    <tableColumn id="16226" xr3:uid="{D917F0CE-84FE-4012-AC60-A12AAF0EFCAB}" name="Column16221"/>
    <tableColumn id="16227" xr3:uid="{7369C86F-D9C9-46F4-AB29-665346F05AC6}" name="Column16222"/>
    <tableColumn id="16228" xr3:uid="{0AA35EC2-A895-4869-84AC-A5565690CB0A}" name="Column16223"/>
    <tableColumn id="16229" xr3:uid="{5CE0C0A4-D37A-4F81-8873-0C3241ECF156}" name="Column16224"/>
    <tableColumn id="16230" xr3:uid="{113192E9-B253-47F9-8AE0-A1C2561EA6F1}" name="Column16225"/>
    <tableColumn id="16231" xr3:uid="{D4D39E72-DA68-46A1-A7DE-6C1343958A5B}" name="Column16226"/>
    <tableColumn id="16232" xr3:uid="{158A36BC-515B-401D-975B-DB39E7729A69}" name="Column16227"/>
    <tableColumn id="16233" xr3:uid="{1230B469-48D0-4C5A-88DA-8F2FDF88B570}" name="Column16228"/>
    <tableColumn id="16234" xr3:uid="{5388579B-135B-405E-A900-0C713C258628}" name="Column16229"/>
    <tableColumn id="16235" xr3:uid="{172F75A3-66D9-4601-A393-AC28ED6F7D94}" name="Column16230"/>
    <tableColumn id="16236" xr3:uid="{1D4A29E0-555E-4D64-AB41-75E34F05860F}" name="Column16231"/>
    <tableColumn id="16237" xr3:uid="{A61CB673-1941-4360-BB1D-05A7F2B53711}" name="Column16232"/>
    <tableColumn id="16238" xr3:uid="{BC0126F7-DD86-481C-900E-C7B570F53630}" name="Column16233"/>
    <tableColumn id="16239" xr3:uid="{40FC3FFC-1501-40DB-BF17-0475BC614535}" name="Column16234"/>
    <tableColumn id="16240" xr3:uid="{13C8DB02-7C83-4C47-A7B9-8E52B4DB245F}" name="Column16235"/>
    <tableColumn id="16241" xr3:uid="{20EC8F79-C940-4E97-8C64-FAF46559D6E0}" name="Column16236"/>
    <tableColumn id="16242" xr3:uid="{96C9AA75-2D04-4E70-9F6A-BCF57F668FA9}" name="Column16237"/>
    <tableColumn id="16243" xr3:uid="{3154843C-5CB7-450B-A0CB-F797D6F14176}" name="Column16238"/>
    <tableColumn id="16244" xr3:uid="{A2BDD0B0-78DB-4B30-A02A-28C26925FB2D}" name="Column16239"/>
    <tableColumn id="16245" xr3:uid="{879418CC-D82A-4AAC-AD4E-51B44A9FB585}" name="Column16240"/>
    <tableColumn id="16246" xr3:uid="{62111535-61F9-4FBD-93EA-F26C9CC6488B}" name="Column16241"/>
    <tableColumn id="16247" xr3:uid="{E3873947-832F-4D92-B7BB-6DA4BF949131}" name="Column16242"/>
    <tableColumn id="16248" xr3:uid="{15E7F41E-02AF-47DF-986E-B03159F4ECA0}" name="Column16243"/>
    <tableColumn id="16249" xr3:uid="{69C9C744-D81C-4074-BD68-A46538DBB1B5}" name="Column16244"/>
    <tableColumn id="16250" xr3:uid="{DD3A67B8-301D-481F-A550-8D578BBADC38}" name="Column16245"/>
    <tableColumn id="16251" xr3:uid="{0A79D14F-DE53-4621-85B5-E6966F3D8B33}" name="Column16246"/>
    <tableColumn id="16252" xr3:uid="{0CE17558-F21D-452E-B979-CD3FE8459048}" name="Column16247"/>
    <tableColumn id="16253" xr3:uid="{C054AE1E-378A-427E-8CE7-81E128BEC5E3}" name="Column16248"/>
    <tableColumn id="16254" xr3:uid="{240AF1DA-8923-4724-9779-752F6B16314B}" name="Column16249"/>
    <tableColumn id="16255" xr3:uid="{D590C425-01EB-4F37-8ACB-AD37141B1BF9}" name="Column16250"/>
    <tableColumn id="16256" xr3:uid="{62E21C25-3691-47D4-A345-351A5F7EC76F}" name="Column16251"/>
    <tableColumn id="16257" xr3:uid="{80A255DC-5825-420E-AF34-24C0039ADC53}" name="Column16252"/>
    <tableColumn id="16258" xr3:uid="{432D7343-A900-4886-9036-6752674E03B4}" name="Column16253"/>
    <tableColumn id="16259" xr3:uid="{C9088939-6EDA-407A-B948-5090369AF148}" name="Column16254"/>
    <tableColumn id="16260" xr3:uid="{34E75E32-98F3-45E4-82BB-B25FD6D9D710}" name="Column16255"/>
    <tableColumn id="16261" xr3:uid="{3F9DD8D2-803A-4A9B-95C6-31F4920736F9}" name="Column16256"/>
    <tableColumn id="16262" xr3:uid="{AF264AD8-AC1F-49A1-9DAC-198789C0FA5E}" name="Column16257"/>
    <tableColumn id="16263" xr3:uid="{35338EBC-88BA-478A-8299-254A7CF65325}" name="Column16258"/>
    <tableColumn id="16264" xr3:uid="{AB676832-A866-40EF-A8D3-FC6E525ACCDE}" name="Column16259"/>
    <tableColumn id="16265" xr3:uid="{2270DBBB-190A-4424-874D-23B02A244F1E}" name="Column16260"/>
    <tableColumn id="16266" xr3:uid="{E26F3597-C78E-4758-B7EA-5334D776D35B}" name="Column16261"/>
    <tableColumn id="16267" xr3:uid="{D17865F6-9DEA-492C-B220-37C0ED1245EA}" name="Column16262"/>
    <tableColumn id="16268" xr3:uid="{9946E676-734E-455B-8598-E1845C71D0B7}" name="Column16263"/>
    <tableColumn id="16269" xr3:uid="{9A8AE220-A960-4172-BD3E-D2FFDE87A383}" name="Column16264"/>
    <tableColumn id="16270" xr3:uid="{E7E13B9D-B92B-4AB0-B83D-156E1BDB157C}" name="Column16265"/>
    <tableColumn id="16271" xr3:uid="{94BE3CDC-B39A-4D1C-951D-3ED596E6BC98}" name="Column16266"/>
    <tableColumn id="16272" xr3:uid="{F230DBDB-0103-4261-B950-0835F14165C8}" name="Column16267"/>
    <tableColumn id="16273" xr3:uid="{045F30EB-0373-4026-B828-8545C99FB88B}" name="Column16268"/>
    <tableColumn id="16274" xr3:uid="{DB61BA94-106B-42EE-B9FC-14CF5CA366F2}" name="Column16269"/>
    <tableColumn id="16275" xr3:uid="{3E45A2C2-5711-4DC5-A14E-DE832FB30083}" name="Column16270"/>
    <tableColumn id="16276" xr3:uid="{8F26FFC8-0CFC-41D8-AA0E-78B383F6ED5F}" name="Column16271"/>
    <tableColumn id="16277" xr3:uid="{681FF5C7-8823-4FB1-A8D1-EF6971A14808}" name="Column16272"/>
    <tableColumn id="16278" xr3:uid="{2B8C6588-185E-4AE4-A49F-2470D1109396}" name="Column16273"/>
    <tableColumn id="16279" xr3:uid="{AECE6842-A460-4E44-BE21-5BD5BA58F54D}" name="Column16274"/>
    <tableColumn id="16280" xr3:uid="{D5D5D813-0281-41A3-9523-8D8C591F032F}" name="Column16275"/>
    <tableColumn id="16281" xr3:uid="{1A461B70-61BD-4AE4-8732-EF1FDC8DC1AE}" name="Column16276"/>
    <tableColumn id="16282" xr3:uid="{091A432C-35B4-4F93-9CE1-6923BF1A0CE9}" name="Column16277"/>
    <tableColumn id="16283" xr3:uid="{55705C85-9E28-4916-8A32-B97AF415636B}" name="Column16278"/>
    <tableColumn id="16284" xr3:uid="{27EA698C-800B-4E73-9454-2786A331D955}" name="Column16279"/>
    <tableColumn id="16285" xr3:uid="{9C8F43D3-57F2-4B1D-AB61-7BB853501B8C}" name="Column16280"/>
    <tableColumn id="16286" xr3:uid="{0960C286-90E1-40F6-93F0-B9DE99866FDB}" name="Column16281"/>
    <tableColumn id="16287" xr3:uid="{6EF04C18-6582-4B18-B9DB-4CAFD6B32CFE}" name="Column16282"/>
    <tableColumn id="16288" xr3:uid="{37C144B9-9D0B-4502-BDA1-9C8469C6CA68}" name="Column16283"/>
    <tableColumn id="16289" xr3:uid="{391EEADD-C136-456A-AF35-A6CE9902597F}" name="Column16284"/>
    <tableColumn id="16290" xr3:uid="{5E81363A-E3BD-41AC-80D4-B46129009750}" name="Column16285"/>
    <tableColumn id="16291" xr3:uid="{EA350F18-C8C7-41E2-8134-EC94EEB7C75D}" name="Column16286"/>
    <tableColumn id="16292" xr3:uid="{BB4D073F-C216-4283-83EC-2CA5495FDDD6}" name="Column16287"/>
    <tableColumn id="16293" xr3:uid="{8955DAD8-5E77-4E20-9D9C-6714F424086C}" name="Column16288"/>
    <tableColumn id="16294" xr3:uid="{BF22B83B-258D-4E6A-BC07-FF5F5D26C7C7}" name="Column16289"/>
    <tableColumn id="16295" xr3:uid="{BD59055A-538D-4E04-A702-7BE4B88579A4}" name="Column16290"/>
    <tableColumn id="16296" xr3:uid="{8576E483-272F-4853-A4F5-13930D3AB198}" name="Column16291"/>
    <tableColumn id="16297" xr3:uid="{BCBBA39C-EBA1-4615-AE33-6EAFB4AE4FCD}" name="Column16292"/>
    <tableColumn id="16298" xr3:uid="{7ADAF3E4-EFDE-4A77-BCA4-1D6A4D615950}" name="Column16293"/>
    <tableColumn id="16299" xr3:uid="{6D074FF4-8004-4365-9E8F-0155CE34CF5D}" name="Column16294"/>
    <tableColumn id="16300" xr3:uid="{22B57B71-7D76-47AF-A59F-8C3409651D29}" name="Column16295"/>
    <tableColumn id="16301" xr3:uid="{09B9F6B5-2D4F-4269-B50F-6A27DEA3B114}" name="Column16296"/>
    <tableColumn id="16302" xr3:uid="{7ABF0E9F-C517-4BF7-9A52-183E8377D2CD}" name="Column16297"/>
    <tableColumn id="16303" xr3:uid="{91BE6CC4-0224-4B05-A63D-A2E586A44BDB}" name="Column16298"/>
    <tableColumn id="16304" xr3:uid="{029AF03A-3FAC-4C08-BCDF-8A4DE6A3C36D}" name="Column16299"/>
    <tableColumn id="16305" xr3:uid="{2259FF48-2052-4D50-85E1-7A6E8FD33025}" name="Column16300"/>
    <tableColumn id="16306" xr3:uid="{F6CA1B7E-52EE-448D-9815-D08F69CB2D05}" name="Column16301"/>
    <tableColumn id="16307" xr3:uid="{AB535D2E-B067-4442-9B1C-FE68712B182B}" name="Column16302"/>
    <tableColumn id="16308" xr3:uid="{64421E1C-E7F5-46D4-9260-87B1EBE6BF73}" name="Column16303"/>
    <tableColumn id="16309" xr3:uid="{A52E1ACC-CF4F-473C-B112-60749CAE01C0}" name="Column16304"/>
    <tableColumn id="16310" xr3:uid="{AEF38CCE-FED7-44D4-A19C-405F9513A0EC}" name="Column16305"/>
    <tableColumn id="16311" xr3:uid="{491AB324-D403-4F7E-925A-6A5846717813}" name="Column16306"/>
    <tableColumn id="16312" xr3:uid="{B31C8740-FEC5-4A2F-AD77-B0AB69CAC575}" name="Column16307"/>
    <tableColumn id="16313" xr3:uid="{01D6B79B-02E5-45D3-8475-35206C3534E0}" name="Column16308"/>
    <tableColumn id="16314" xr3:uid="{6149A775-000B-491D-B03A-0FB8C24AFC52}" name="Column16309"/>
    <tableColumn id="16315" xr3:uid="{3C6005F1-FA63-4679-8D5E-F967FACCEB71}" name="Column16310"/>
    <tableColumn id="16316" xr3:uid="{42B88899-CEA3-4B54-9DE7-45C40D13F573}" name="Column16311"/>
    <tableColumn id="16317" xr3:uid="{3DB799D2-FF1D-4A94-ABDE-3171144E1F08}" name="Column16312"/>
    <tableColumn id="16318" xr3:uid="{3FE68697-8455-494B-BB13-7279856B7037}" name="Column16313"/>
    <tableColumn id="16319" xr3:uid="{428629AC-1223-472A-847E-D7541CDAE892}" name="Column16314"/>
    <tableColumn id="16320" xr3:uid="{A4881395-B194-4A8A-8007-6944744CE5A4}" name="Column16315"/>
    <tableColumn id="16321" xr3:uid="{B803AA10-60A3-4EDD-9401-9E394B87B191}" name="Column16316"/>
    <tableColumn id="16322" xr3:uid="{9B596B8F-6E29-4491-8A2D-B988E620AB17}" name="Column16317"/>
    <tableColumn id="16323" xr3:uid="{49B3C3FB-1D90-486B-919D-61BD3CF0AD33}" name="Column16318"/>
    <tableColumn id="16324" xr3:uid="{40984EA3-2535-41B1-B702-CEC9D4F6A6C7}" name="Column16319"/>
    <tableColumn id="16325" xr3:uid="{619A2468-84EE-41FE-AEDC-5D74A50497EA}" name="Column16320"/>
    <tableColumn id="16326" xr3:uid="{9E1C3945-6AC1-40B2-B639-FC5D400B39A1}" name="Column16321"/>
    <tableColumn id="16327" xr3:uid="{699E59FB-FD21-40E0-9D64-0A25AB5691F7}" name="Column16322"/>
    <tableColumn id="16328" xr3:uid="{D63BDCD1-5E5E-460E-8A53-F0998C2EF4D5}" name="Column16323"/>
    <tableColumn id="16329" xr3:uid="{5B7675CD-5FEB-4FBB-9F20-BF94D5DAFE82}" name="Column16324"/>
    <tableColumn id="16330" xr3:uid="{A6A603B8-198B-4A98-9605-850FB2E0973E}" name="Column16325"/>
    <tableColumn id="16331" xr3:uid="{D9C8E466-E09E-4693-A815-E827CD2F24FC}" name="Column16326"/>
    <tableColumn id="16332" xr3:uid="{6BDD211B-3BB1-447D-832A-742200710DF8}" name="Column16327"/>
    <tableColumn id="16333" xr3:uid="{CCEE427F-BFCA-4D5A-8324-21E6F769A0B4}" name="Column16328"/>
    <tableColumn id="16334" xr3:uid="{190925EC-11B0-48DE-A8CB-B0A43D2EDAF3}" name="Column16329"/>
    <tableColumn id="16335" xr3:uid="{3370DF8F-C2FA-4EB0-B8FC-DB3E8012CE32}" name="Column16330"/>
    <tableColumn id="16336" xr3:uid="{ED24A89B-A160-4C4B-8842-CD0477F42679}" name="Column16331"/>
    <tableColumn id="16337" xr3:uid="{48B357AF-ABE4-4805-917F-5C0C895BAF9A}" name="Column16332"/>
    <tableColumn id="16338" xr3:uid="{DF474124-2F1C-48D4-93FE-6242EEE7CE41}" name="Column16333"/>
    <tableColumn id="16339" xr3:uid="{C6F48827-FD57-4F2C-AD07-D977907DF424}" name="Column16334"/>
    <tableColumn id="16340" xr3:uid="{CFC3493C-4A4E-483F-8B1C-0B5A25F0877B}" name="Column16335"/>
    <tableColumn id="16341" xr3:uid="{6E3DE2C8-AC5E-4C83-A010-EDF74932DDD9}" name="Column16336"/>
    <tableColumn id="16342" xr3:uid="{76338C19-2D54-405D-9A3B-88EDD4BEEBE0}" name="Column16337"/>
    <tableColumn id="16343" xr3:uid="{113DDCB6-2818-43D0-A93A-DB677A33A182}" name="Column16338"/>
    <tableColumn id="16344" xr3:uid="{CFE599CB-9CFF-4924-B780-365D662C2F26}" name="Column16339"/>
    <tableColumn id="16345" xr3:uid="{CB83B58E-05BE-4DFA-9A66-A4302D2C1D22}" name="Column16340"/>
    <tableColumn id="16346" xr3:uid="{3A1689FF-E73D-4A0D-90CE-A0F58F29A8B8}" name="Column16341"/>
    <tableColumn id="16347" xr3:uid="{EB9CC5EF-8F1A-4282-A9E0-5A46276A1999}" name="Column16342"/>
    <tableColumn id="16348" xr3:uid="{A1F2533D-7694-4F87-A468-6E8A3719871A}" name="Column16343"/>
    <tableColumn id="16349" xr3:uid="{57E4089C-7C80-450C-9C89-9686A13AB3EF}" name="Column16344"/>
    <tableColumn id="16350" xr3:uid="{ED48763E-8F08-4D50-9814-216DB9AE25D1}" name="Column16345"/>
    <tableColumn id="16351" xr3:uid="{57FEE9A4-ADA3-4E4F-AFE0-BD20F3EAFA0D}" name="Column16346"/>
    <tableColumn id="16352" xr3:uid="{09E25B55-0F2D-4B31-A01E-BC580024349C}" name="Column16347"/>
    <tableColumn id="16353" xr3:uid="{447E5561-2400-42FC-A097-211B5AC46D88}" name="Column16348"/>
    <tableColumn id="16354" xr3:uid="{1EF4A1C0-F945-40D9-8D5B-F4AA83856B53}" name="Column16349"/>
    <tableColumn id="16355" xr3:uid="{D86A319B-784B-4211-A54D-3053B9B3BDD0}" name="Column16350"/>
    <tableColumn id="16356" xr3:uid="{A2B96A53-9DA7-4AC8-97B6-E13DC04C09F7}" name="Column16351"/>
    <tableColumn id="16357" xr3:uid="{67EE72AA-D631-41A9-9A51-E0AB345C2D76}" name="Column16352"/>
    <tableColumn id="16358" xr3:uid="{9AA377C4-8355-475A-940B-7A5F4ADC2FC7}" name="Column16353"/>
    <tableColumn id="16359" xr3:uid="{6AFAC906-86DD-4236-BD65-591D1CA167A3}" name="Column16354"/>
    <tableColumn id="16360" xr3:uid="{4E338CCC-1483-403B-A047-D94B29764D59}" name="Column16355"/>
    <tableColumn id="16361" xr3:uid="{F7713740-0182-46F7-B6DF-45F94C0EADB6}" name="Column16356"/>
    <tableColumn id="16362" xr3:uid="{7DBCE13D-8E8B-4048-A253-2144EEBA3E33}" name="Column16357"/>
    <tableColumn id="16363" xr3:uid="{F51D57F2-25C3-4F11-A88F-60D2BBF51FD0}" name="Column16358"/>
    <tableColumn id="16364" xr3:uid="{DA39C721-F78A-426B-9952-08B2A469BAB5}" name="Column16359"/>
    <tableColumn id="16365" xr3:uid="{5C1A3CC9-BB34-4273-AAD2-05D40E6945AB}" name="Column16360"/>
    <tableColumn id="16366" xr3:uid="{A9EE5E6D-2A47-4452-B8E3-BA635E2B02A0}" name="Column16361"/>
    <tableColumn id="16367" xr3:uid="{560466C5-AD77-4CC0-948A-1D7199ACBA91}" name="Column16362"/>
    <tableColumn id="16368" xr3:uid="{E28B2F3F-CD4C-4D4F-B81E-066BEAC76A76}" name="Column16363"/>
    <tableColumn id="16369" xr3:uid="{60FD579B-F8EB-4C87-A42C-26E852D522CF}" name="Column16364"/>
    <tableColumn id="16370" xr3:uid="{7D68FBFF-B3A5-42CD-9CDB-5B1CA9D1D4BF}" name="Column16365"/>
    <tableColumn id="16371" xr3:uid="{635F2D80-4CC9-4081-A6E3-5327BE412845}" name="Column16366"/>
    <tableColumn id="16372" xr3:uid="{B3AC0C34-A383-47B7-92D1-EE1B5F7C38EA}" name="Column16367"/>
    <tableColumn id="16373" xr3:uid="{AFAE795E-A824-4013-863F-6787946AF002}" name="Column16368"/>
    <tableColumn id="16374" xr3:uid="{2662CAA5-5992-4B11-B7E7-02D8714E6E9A}" name="Column16369"/>
    <tableColumn id="16375" xr3:uid="{86763D82-4AC3-4FBD-B9D1-BDC3ECFB341C}" name="Column16370"/>
    <tableColumn id="16376" xr3:uid="{E3B900B6-41BC-4266-8FB2-CC109AB966C0}" name="Column16371"/>
    <tableColumn id="16377" xr3:uid="{D3B7828C-B865-4332-8C20-30B8ACC0C4CB}" name="Column16372"/>
    <tableColumn id="16378" xr3:uid="{EA616A4C-5B9D-43B6-8CB2-1778359BAF50}" name="Column16373"/>
    <tableColumn id="16379" xr3:uid="{26930F1B-7A47-4186-8016-C837A16CE0C7}" name="Column16374"/>
    <tableColumn id="16380" xr3:uid="{29B7B37B-85AD-4B99-8ECE-EA67E073C40C}" name="Column16375"/>
    <tableColumn id="16381" xr3:uid="{576EBDA1-44D2-4031-B3CD-A971AFC05254}" name="Column16376"/>
    <tableColumn id="16382" xr3:uid="{148BB793-5C5F-4F83-9DB4-C2450D7ECC12}" name="Column16377"/>
    <tableColumn id="16383" xr3:uid="{90C53050-7151-460E-AE23-E813917C71CC}" name="Column16378"/>
    <tableColumn id="16384" xr3:uid="{3C934884-4CBC-400F-8673-91AAFC3E0048}" name="Column1637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0D330-C225-45B7-A8DD-DCFB7E75998B}">
  <dimension ref="A1:F116"/>
  <sheetViews>
    <sheetView tabSelected="1" workbookViewId="0">
      <selection activeCell="A13" sqref="A13"/>
    </sheetView>
  </sheetViews>
  <sheetFormatPr defaultRowHeight="15"/>
  <cols>
    <col min="1" max="1" width="81.140625" bestFit="1" customWidth="1"/>
    <col min="2" max="3" width="19.42578125" bestFit="1" customWidth="1"/>
    <col min="4" max="4" width="11.42578125" bestFit="1" customWidth="1"/>
    <col min="5" max="5" width="9.85546875" bestFit="1" customWidth="1"/>
    <col min="6" max="6" width="10.42578125" bestFit="1" customWidth="1"/>
  </cols>
  <sheetData>
    <row r="1" spans="1:6">
      <c r="A1" t="s">
        <v>0</v>
      </c>
      <c r="B1" t="s">
        <v>1</v>
      </c>
      <c r="C1" t="s">
        <v>2</v>
      </c>
      <c r="D1" t="s">
        <v>3</v>
      </c>
      <c r="E1" t="s">
        <v>4</v>
      </c>
      <c r="F1" t="s">
        <v>5</v>
      </c>
    </row>
    <row r="2" spans="1:6">
      <c r="A2" t="s">
        <v>6</v>
      </c>
      <c r="B2" t="s">
        <v>7</v>
      </c>
      <c r="C2" t="s">
        <v>8</v>
      </c>
      <c r="D2">
        <v>0.38</v>
      </c>
      <c r="E2">
        <v>-2</v>
      </c>
      <c r="F2" t="s">
        <v>9</v>
      </c>
    </row>
    <row r="3" spans="1:6">
      <c r="A3" t="s">
        <v>10</v>
      </c>
      <c r="B3" t="s">
        <v>11</v>
      </c>
      <c r="C3" t="s">
        <v>12</v>
      </c>
      <c r="D3">
        <v>0.47</v>
      </c>
      <c r="E3">
        <v>-14</v>
      </c>
      <c r="F3" t="s">
        <v>13</v>
      </c>
    </row>
    <row r="4" spans="1:6">
      <c r="A4" t="s">
        <v>14</v>
      </c>
      <c r="B4" t="s">
        <v>15</v>
      </c>
      <c r="C4" t="s">
        <v>16</v>
      </c>
      <c r="D4">
        <v>0.25</v>
      </c>
      <c r="E4">
        <v>-24</v>
      </c>
      <c r="F4" t="s">
        <v>17</v>
      </c>
    </row>
    <row r="5" spans="1:6">
      <c r="A5" t="s">
        <v>18</v>
      </c>
      <c r="B5" t="s">
        <v>19</v>
      </c>
      <c r="C5" t="s">
        <v>20</v>
      </c>
      <c r="D5">
        <v>0.37</v>
      </c>
      <c r="E5">
        <v>-7</v>
      </c>
      <c r="F5" t="s">
        <v>21</v>
      </c>
    </row>
    <row r="6" spans="1:6">
      <c r="A6" t="s">
        <v>22</v>
      </c>
      <c r="B6" t="s">
        <v>23</v>
      </c>
      <c r="C6" t="s">
        <v>24</v>
      </c>
      <c r="D6">
        <v>0.26</v>
      </c>
      <c r="E6">
        <v>-5</v>
      </c>
      <c r="F6" t="s">
        <v>25</v>
      </c>
    </row>
    <row r="7" spans="1:6">
      <c r="A7" t="s">
        <v>26</v>
      </c>
      <c r="B7" t="s">
        <v>27</v>
      </c>
      <c r="C7" t="s">
        <v>28</v>
      </c>
      <c r="D7">
        <v>0.09</v>
      </c>
      <c r="E7">
        <v>-15</v>
      </c>
      <c r="F7" t="s">
        <v>29</v>
      </c>
    </row>
    <row r="8" spans="1:6">
      <c r="A8" t="s">
        <v>30</v>
      </c>
      <c r="B8" t="s">
        <v>31</v>
      </c>
      <c r="C8" t="s">
        <v>32</v>
      </c>
      <c r="D8">
        <v>0.24</v>
      </c>
      <c r="E8">
        <v>-55</v>
      </c>
      <c r="F8" t="s">
        <v>17</v>
      </c>
    </row>
    <row r="9" spans="1:6">
      <c r="A9" t="s">
        <v>33</v>
      </c>
      <c r="B9" t="s">
        <v>34</v>
      </c>
      <c r="C9" t="s">
        <v>19</v>
      </c>
      <c r="D9">
        <v>0.37</v>
      </c>
      <c r="E9">
        <v>-2</v>
      </c>
      <c r="F9" t="s">
        <v>29</v>
      </c>
    </row>
    <row r="10" spans="1:6">
      <c r="A10" t="s">
        <v>35</v>
      </c>
      <c r="B10" t="s">
        <v>36</v>
      </c>
      <c r="C10" t="s">
        <v>37</v>
      </c>
      <c r="D10">
        <v>0.55000000000000004</v>
      </c>
      <c r="E10">
        <v>-5</v>
      </c>
      <c r="F10" t="s">
        <v>25</v>
      </c>
    </row>
    <row r="11" spans="1:6">
      <c r="A11" t="s">
        <v>38</v>
      </c>
      <c r="B11" t="s">
        <v>39</v>
      </c>
      <c r="C11" t="s">
        <v>40</v>
      </c>
      <c r="D11">
        <v>0.45</v>
      </c>
      <c r="E11">
        <v>-5</v>
      </c>
      <c r="F11" t="s">
        <v>41</v>
      </c>
    </row>
    <row r="12" spans="1:6">
      <c r="A12" t="s">
        <v>42</v>
      </c>
      <c r="B12" t="s">
        <v>43</v>
      </c>
      <c r="C12" t="s">
        <v>12</v>
      </c>
      <c r="D12">
        <v>0.2</v>
      </c>
      <c r="E12">
        <v>-12</v>
      </c>
      <c r="F12" t="s">
        <v>13</v>
      </c>
    </row>
    <row r="13" spans="1:6">
      <c r="A13" t="s">
        <v>44</v>
      </c>
      <c r="B13" t="s">
        <v>45</v>
      </c>
      <c r="C13" t="s">
        <v>46</v>
      </c>
      <c r="D13">
        <v>0.34</v>
      </c>
      <c r="E13">
        <v>-39</v>
      </c>
      <c r="F13" t="s">
        <v>21</v>
      </c>
    </row>
    <row r="14" spans="1:6">
      <c r="A14" t="s">
        <v>47</v>
      </c>
      <c r="B14" t="s">
        <v>48</v>
      </c>
      <c r="C14" t="s">
        <v>49</v>
      </c>
      <c r="D14">
        <v>0.47</v>
      </c>
      <c r="E14">
        <v>-12</v>
      </c>
      <c r="F14" t="s">
        <v>25</v>
      </c>
    </row>
    <row r="15" spans="1:6">
      <c r="A15" t="s">
        <v>50</v>
      </c>
      <c r="B15" t="s">
        <v>51</v>
      </c>
      <c r="C15" t="s">
        <v>52</v>
      </c>
      <c r="D15">
        <v>0.42</v>
      </c>
      <c r="E15">
        <v>-6</v>
      </c>
      <c r="F15" t="s">
        <v>9</v>
      </c>
    </row>
    <row r="16" spans="1:6">
      <c r="A16" t="s">
        <v>53</v>
      </c>
      <c r="B16" t="s">
        <v>54</v>
      </c>
      <c r="C16" t="s">
        <v>20</v>
      </c>
      <c r="D16">
        <v>0.33</v>
      </c>
      <c r="E16">
        <v>-9</v>
      </c>
      <c r="F16" t="s">
        <v>55</v>
      </c>
    </row>
    <row r="17" spans="1:6">
      <c r="A17" t="s">
        <v>56</v>
      </c>
      <c r="B17" t="s">
        <v>57</v>
      </c>
      <c r="C17" t="s">
        <v>58</v>
      </c>
      <c r="D17">
        <v>0.51</v>
      </c>
      <c r="E17">
        <v>-2</v>
      </c>
      <c r="F17" t="s">
        <v>59</v>
      </c>
    </row>
    <row r="18" spans="1:6">
      <c r="A18" t="s">
        <v>60</v>
      </c>
      <c r="B18" t="s">
        <v>61</v>
      </c>
      <c r="C18" t="s">
        <v>62</v>
      </c>
      <c r="D18">
        <v>0.46</v>
      </c>
      <c r="E18">
        <v>-2</v>
      </c>
      <c r="F18" t="s">
        <v>59</v>
      </c>
    </row>
    <row r="19" spans="1:6">
      <c r="A19" t="s">
        <v>63</v>
      </c>
      <c r="B19" t="s">
        <v>64</v>
      </c>
      <c r="C19" t="s">
        <v>65</v>
      </c>
      <c r="D19">
        <v>0.49</v>
      </c>
      <c r="E19">
        <v>-3</v>
      </c>
      <c r="F19" t="s">
        <v>59</v>
      </c>
    </row>
    <row r="20" spans="1:6">
      <c r="A20" t="s">
        <v>66</v>
      </c>
      <c r="B20" t="s">
        <v>27</v>
      </c>
      <c r="C20" t="s">
        <v>67</v>
      </c>
      <c r="D20">
        <v>0.19</v>
      </c>
      <c r="E20">
        <v>-5</v>
      </c>
      <c r="F20" t="s">
        <v>17</v>
      </c>
    </row>
    <row r="21" spans="1:6">
      <c r="A21" t="s">
        <v>68</v>
      </c>
      <c r="B21" t="s">
        <v>69</v>
      </c>
      <c r="C21" t="s">
        <v>70</v>
      </c>
      <c r="D21">
        <v>0.49</v>
      </c>
      <c r="E21">
        <v>-44</v>
      </c>
      <c r="F21" t="s">
        <v>17</v>
      </c>
    </row>
    <row r="22" spans="1:6">
      <c r="A22" t="s">
        <v>71</v>
      </c>
      <c r="B22" t="s">
        <v>72</v>
      </c>
      <c r="C22" t="s">
        <v>73</v>
      </c>
      <c r="D22">
        <v>0.53</v>
      </c>
      <c r="E22">
        <v>-13</v>
      </c>
      <c r="F22" t="s">
        <v>74</v>
      </c>
    </row>
    <row r="23" spans="1:6">
      <c r="A23" t="s">
        <v>75</v>
      </c>
      <c r="B23" t="s">
        <v>76</v>
      </c>
      <c r="C23" t="s">
        <v>77</v>
      </c>
      <c r="D23">
        <v>0.42</v>
      </c>
      <c r="F23" t="s">
        <v>78</v>
      </c>
    </row>
    <row r="24" spans="1:6">
      <c r="A24" t="s">
        <v>79</v>
      </c>
      <c r="B24" t="s">
        <v>80</v>
      </c>
      <c r="C24" t="s">
        <v>81</v>
      </c>
      <c r="D24">
        <v>0.35</v>
      </c>
      <c r="E24">
        <v>-6</v>
      </c>
      <c r="F24" t="s">
        <v>29</v>
      </c>
    </row>
    <row r="25" spans="1:6">
      <c r="A25" t="s">
        <v>82</v>
      </c>
      <c r="B25" t="s">
        <v>83</v>
      </c>
      <c r="C25" t="s">
        <v>84</v>
      </c>
      <c r="D25">
        <v>0.23</v>
      </c>
      <c r="E25">
        <v>-14</v>
      </c>
      <c r="F25" t="s">
        <v>85</v>
      </c>
    </row>
    <row r="26" spans="1:6">
      <c r="A26" t="s">
        <v>86</v>
      </c>
      <c r="B26" t="s">
        <v>87</v>
      </c>
      <c r="C26" t="s">
        <v>88</v>
      </c>
      <c r="D26">
        <v>0.54</v>
      </c>
      <c r="E26">
        <v>-7</v>
      </c>
      <c r="F26" t="s">
        <v>89</v>
      </c>
    </row>
    <row r="27" spans="1:6">
      <c r="A27" t="s">
        <v>90</v>
      </c>
      <c r="B27" t="s">
        <v>91</v>
      </c>
      <c r="C27" t="s">
        <v>92</v>
      </c>
      <c r="D27">
        <v>0.35</v>
      </c>
      <c r="E27">
        <v>-49</v>
      </c>
      <c r="F27" t="s">
        <v>17</v>
      </c>
    </row>
    <row r="28" spans="1:6">
      <c r="A28" t="s">
        <v>93</v>
      </c>
      <c r="B28" t="s">
        <v>94</v>
      </c>
      <c r="C28" t="s">
        <v>95</v>
      </c>
      <c r="D28">
        <v>0.18</v>
      </c>
      <c r="E28">
        <v>-12</v>
      </c>
      <c r="F28" t="s">
        <v>41</v>
      </c>
    </row>
    <row r="29" spans="1:6">
      <c r="A29" t="s">
        <v>96</v>
      </c>
      <c r="B29" t="s">
        <v>81</v>
      </c>
      <c r="C29" t="s">
        <v>97</v>
      </c>
      <c r="D29">
        <v>0.32</v>
      </c>
      <c r="E29">
        <v>-13</v>
      </c>
      <c r="F29" t="s">
        <v>41</v>
      </c>
    </row>
    <row r="30" spans="1:6">
      <c r="A30" t="s">
        <v>98</v>
      </c>
      <c r="B30" t="s">
        <v>99</v>
      </c>
      <c r="C30" t="s">
        <v>20</v>
      </c>
      <c r="D30">
        <v>0.3</v>
      </c>
      <c r="E30">
        <v>-20</v>
      </c>
      <c r="F30" t="s">
        <v>13</v>
      </c>
    </row>
    <row r="31" spans="1:6">
      <c r="A31" t="s">
        <v>100</v>
      </c>
      <c r="B31" t="s">
        <v>101</v>
      </c>
      <c r="C31" t="s">
        <v>102</v>
      </c>
      <c r="D31">
        <v>0.46</v>
      </c>
      <c r="F31" t="s">
        <v>78</v>
      </c>
    </row>
    <row r="32" spans="1:6">
      <c r="A32" t="s">
        <v>103</v>
      </c>
      <c r="B32" t="s">
        <v>104</v>
      </c>
      <c r="C32" t="s">
        <v>105</v>
      </c>
      <c r="D32">
        <v>0.52</v>
      </c>
      <c r="E32">
        <v>-9</v>
      </c>
      <c r="F32" t="s">
        <v>89</v>
      </c>
    </row>
    <row r="33" spans="1:6">
      <c r="A33" t="s">
        <v>106</v>
      </c>
      <c r="B33" t="s">
        <v>107</v>
      </c>
      <c r="C33" t="s">
        <v>108</v>
      </c>
      <c r="D33">
        <v>0.34</v>
      </c>
      <c r="E33">
        <v>-12</v>
      </c>
      <c r="F33" t="s">
        <v>21</v>
      </c>
    </row>
    <row r="34" spans="1:6">
      <c r="A34" t="s">
        <v>109</v>
      </c>
      <c r="B34" t="s">
        <v>110</v>
      </c>
      <c r="C34" t="s">
        <v>111</v>
      </c>
      <c r="D34">
        <v>0.48</v>
      </c>
      <c r="E34">
        <v>-9</v>
      </c>
      <c r="F34" t="s">
        <v>89</v>
      </c>
    </row>
    <row r="35" spans="1:6">
      <c r="A35" t="s">
        <v>112</v>
      </c>
      <c r="B35" t="s">
        <v>113</v>
      </c>
      <c r="C35" t="s">
        <v>114</v>
      </c>
      <c r="D35">
        <v>0.27</v>
      </c>
      <c r="E35">
        <v>-20</v>
      </c>
      <c r="F35" t="s">
        <v>21</v>
      </c>
    </row>
    <row r="36" spans="1:6">
      <c r="A36" t="s">
        <v>115</v>
      </c>
      <c r="B36" t="s">
        <v>116</v>
      </c>
      <c r="C36" t="s">
        <v>117</v>
      </c>
      <c r="D36">
        <v>0.27</v>
      </c>
      <c r="E36">
        <v>-32</v>
      </c>
      <c r="F36" t="s">
        <v>9</v>
      </c>
    </row>
    <row r="37" spans="1:6">
      <c r="A37" t="s">
        <v>118</v>
      </c>
      <c r="B37" t="s">
        <v>119</v>
      </c>
      <c r="C37" t="s">
        <v>120</v>
      </c>
      <c r="D37">
        <v>0.4</v>
      </c>
      <c r="E37">
        <v>-1</v>
      </c>
      <c r="F37" t="s">
        <v>59</v>
      </c>
    </row>
    <row r="38" spans="1:6">
      <c r="A38" t="s">
        <v>121</v>
      </c>
      <c r="B38" t="s">
        <v>122</v>
      </c>
      <c r="C38" t="s">
        <v>62</v>
      </c>
      <c r="D38">
        <v>0.53</v>
      </c>
      <c r="E38">
        <v>-2</v>
      </c>
      <c r="F38" t="s">
        <v>59</v>
      </c>
    </row>
    <row r="39" spans="1:6">
      <c r="A39" t="s">
        <v>123</v>
      </c>
      <c r="B39" t="s">
        <v>124</v>
      </c>
      <c r="C39" t="s">
        <v>125</v>
      </c>
      <c r="D39">
        <v>0.41</v>
      </c>
      <c r="E39">
        <v>-36</v>
      </c>
      <c r="F39" t="s">
        <v>89</v>
      </c>
    </row>
    <row r="40" spans="1:6">
      <c r="A40" t="s">
        <v>126</v>
      </c>
      <c r="B40" t="s">
        <v>127</v>
      </c>
      <c r="C40" t="s">
        <v>128</v>
      </c>
      <c r="D40">
        <v>0.38</v>
      </c>
      <c r="E40">
        <v>-2</v>
      </c>
      <c r="F40" t="s">
        <v>9</v>
      </c>
    </row>
    <row r="41" spans="1:6">
      <c r="A41" t="s">
        <v>129</v>
      </c>
      <c r="B41" t="s">
        <v>130</v>
      </c>
      <c r="C41" t="s">
        <v>131</v>
      </c>
      <c r="D41">
        <v>0.38</v>
      </c>
      <c r="F41" t="s">
        <v>78</v>
      </c>
    </row>
    <row r="42" spans="1:6">
      <c r="A42" t="s">
        <v>132</v>
      </c>
      <c r="B42" t="s">
        <v>133</v>
      </c>
      <c r="C42" t="s">
        <v>134</v>
      </c>
      <c r="D42">
        <v>0.49</v>
      </c>
      <c r="F42" t="s">
        <v>78</v>
      </c>
    </row>
    <row r="43" spans="1:6">
      <c r="A43" t="s">
        <v>135</v>
      </c>
      <c r="B43" t="s">
        <v>136</v>
      </c>
      <c r="C43" t="s">
        <v>137</v>
      </c>
      <c r="D43">
        <v>0.5</v>
      </c>
      <c r="F43" t="s">
        <v>78</v>
      </c>
    </row>
    <row r="44" spans="1:6">
      <c r="A44" t="s">
        <v>138</v>
      </c>
      <c r="B44" t="s">
        <v>139</v>
      </c>
      <c r="C44" t="s">
        <v>140</v>
      </c>
      <c r="D44">
        <v>0.42</v>
      </c>
      <c r="F44" t="s">
        <v>78</v>
      </c>
    </row>
    <row r="45" spans="1:6">
      <c r="A45" t="s">
        <v>138</v>
      </c>
      <c r="B45" t="s">
        <v>139</v>
      </c>
      <c r="C45" t="s">
        <v>140</v>
      </c>
      <c r="D45">
        <v>0.42</v>
      </c>
      <c r="F45" t="s">
        <v>78</v>
      </c>
    </row>
    <row r="46" spans="1:6">
      <c r="A46" t="s">
        <v>141</v>
      </c>
      <c r="B46" t="s">
        <v>142</v>
      </c>
      <c r="C46" t="s">
        <v>143</v>
      </c>
      <c r="D46">
        <v>0.02</v>
      </c>
      <c r="F46" t="s">
        <v>78</v>
      </c>
    </row>
    <row r="47" spans="1:6">
      <c r="A47" t="s">
        <v>144</v>
      </c>
      <c r="B47" t="s">
        <v>12</v>
      </c>
      <c r="C47" t="s">
        <v>145</v>
      </c>
      <c r="D47">
        <v>0.5</v>
      </c>
      <c r="F47" t="s">
        <v>78</v>
      </c>
    </row>
    <row r="48" spans="1:6">
      <c r="A48" t="s">
        <v>146</v>
      </c>
      <c r="B48" t="s">
        <v>147</v>
      </c>
      <c r="C48" t="s">
        <v>148</v>
      </c>
      <c r="D48">
        <v>0.33</v>
      </c>
      <c r="F48" t="s">
        <v>78</v>
      </c>
    </row>
    <row r="49" spans="1:6">
      <c r="A49" t="s">
        <v>149</v>
      </c>
      <c r="B49" t="s">
        <v>150</v>
      </c>
      <c r="C49" t="s">
        <v>151</v>
      </c>
      <c r="D49">
        <v>0.49</v>
      </c>
      <c r="F49" t="s">
        <v>78</v>
      </c>
    </row>
    <row r="50" spans="1:6">
      <c r="A50" t="s">
        <v>152</v>
      </c>
      <c r="B50" t="s">
        <v>153</v>
      </c>
      <c r="C50" t="s">
        <v>154</v>
      </c>
      <c r="D50">
        <v>0.38</v>
      </c>
      <c r="F50" t="s">
        <v>78</v>
      </c>
    </row>
    <row r="51" spans="1:6">
      <c r="A51" t="s">
        <v>155</v>
      </c>
      <c r="B51" t="s">
        <v>156</v>
      </c>
      <c r="C51" t="s">
        <v>157</v>
      </c>
      <c r="D51">
        <v>0.61</v>
      </c>
      <c r="F51" t="s">
        <v>78</v>
      </c>
    </row>
    <row r="52" spans="1:6">
      <c r="A52" t="s">
        <v>158</v>
      </c>
      <c r="B52" t="s">
        <v>159</v>
      </c>
      <c r="C52" t="s">
        <v>160</v>
      </c>
      <c r="D52">
        <v>0.5</v>
      </c>
      <c r="F52" t="s">
        <v>78</v>
      </c>
    </row>
    <row r="53" spans="1:6">
      <c r="A53" t="s">
        <v>161</v>
      </c>
      <c r="B53" t="s">
        <v>162</v>
      </c>
      <c r="C53" t="s">
        <v>163</v>
      </c>
      <c r="D53">
        <v>0.02</v>
      </c>
      <c r="F53" t="s">
        <v>78</v>
      </c>
    </row>
    <row r="54" spans="1:6">
      <c r="A54" t="s">
        <v>164</v>
      </c>
      <c r="B54" t="s">
        <v>159</v>
      </c>
      <c r="C54" t="s">
        <v>165</v>
      </c>
      <c r="D54">
        <v>0.22</v>
      </c>
      <c r="F54" t="s">
        <v>78</v>
      </c>
    </row>
    <row r="55" spans="1:6">
      <c r="A55" t="s">
        <v>166</v>
      </c>
      <c r="B55" t="s">
        <v>167</v>
      </c>
      <c r="C55" t="s">
        <v>168</v>
      </c>
      <c r="D55">
        <v>0.03</v>
      </c>
      <c r="F55" t="s">
        <v>78</v>
      </c>
    </row>
    <row r="56" spans="1:6">
      <c r="A56" t="s">
        <v>169</v>
      </c>
      <c r="B56" t="s">
        <v>43</v>
      </c>
      <c r="C56" t="s">
        <v>170</v>
      </c>
      <c r="D56">
        <v>0.41</v>
      </c>
      <c r="F56" t="s">
        <v>78</v>
      </c>
    </row>
    <row r="57" spans="1:6">
      <c r="A57" t="s">
        <v>171</v>
      </c>
      <c r="B57" t="s">
        <v>172</v>
      </c>
      <c r="C57" t="s">
        <v>173</v>
      </c>
      <c r="D57">
        <v>0.45</v>
      </c>
      <c r="F57" t="s">
        <v>78</v>
      </c>
    </row>
    <row r="58" spans="1:6">
      <c r="A58" t="s">
        <v>174</v>
      </c>
      <c r="B58" t="s">
        <v>175</v>
      </c>
      <c r="C58" t="s">
        <v>170</v>
      </c>
      <c r="D58">
        <v>0.48</v>
      </c>
      <c r="F58" t="s">
        <v>78</v>
      </c>
    </row>
    <row r="59" spans="1:6">
      <c r="A59" t="s">
        <v>176</v>
      </c>
      <c r="B59" t="s">
        <v>43</v>
      </c>
      <c r="C59" t="s">
        <v>177</v>
      </c>
      <c r="D59">
        <v>0.49</v>
      </c>
      <c r="F59" t="s">
        <v>78</v>
      </c>
    </row>
    <row r="60" spans="1:6">
      <c r="A60" t="s">
        <v>178</v>
      </c>
      <c r="B60" t="s">
        <v>179</v>
      </c>
      <c r="C60" t="s">
        <v>180</v>
      </c>
      <c r="D60">
        <v>0.27</v>
      </c>
      <c r="F60" t="s">
        <v>78</v>
      </c>
    </row>
    <row r="61" spans="1:6">
      <c r="A61" t="s">
        <v>171</v>
      </c>
      <c r="B61" t="s">
        <v>181</v>
      </c>
      <c r="C61" t="s">
        <v>182</v>
      </c>
      <c r="D61">
        <v>0.55000000000000004</v>
      </c>
      <c r="F61" t="s">
        <v>78</v>
      </c>
    </row>
    <row r="62" spans="1:6">
      <c r="A62" t="s">
        <v>183</v>
      </c>
      <c r="B62" t="s">
        <v>184</v>
      </c>
      <c r="C62" t="s">
        <v>185</v>
      </c>
      <c r="D62">
        <v>0.13</v>
      </c>
      <c r="E62">
        <v>-6</v>
      </c>
      <c r="F62" t="s">
        <v>186</v>
      </c>
    </row>
    <row r="63" spans="1:6">
      <c r="A63" t="s">
        <v>187</v>
      </c>
      <c r="B63" t="s">
        <v>188</v>
      </c>
      <c r="C63" t="s">
        <v>189</v>
      </c>
      <c r="D63">
        <v>0.54</v>
      </c>
      <c r="E63">
        <v>-10</v>
      </c>
      <c r="F63" t="s">
        <v>190</v>
      </c>
    </row>
    <row r="64" spans="1:6">
      <c r="A64" t="s">
        <v>191</v>
      </c>
      <c r="B64" t="s">
        <v>192</v>
      </c>
      <c r="C64" t="s">
        <v>193</v>
      </c>
      <c r="D64">
        <v>0.55000000000000004</v>
      </c>
      <c r="E64">
        <v>-13</v>
      </c>
      <c r="F64" t="s">
        <v>194</v>
      </c>
    </row>
    <row r="65" spans="1:6">
      <c r="A65" t="s">
        <v>195</v>
      </c>
      <c r="B65" t="s">
        <v>196</v>
      </c>
      <c r="C65" t="s">
        <v>197</v>
      </c>
      <c r="D65">
        <v>0.49</v>
      </c>
      <c r="E65">
        <v>-69</v>
      </c>
      <c r="F65" t="s">
        <v>198</v>
      </c>
    </row>
    <row r="66" spans="1:6">
      <c r="A66" t="s">
        <v>199</v>
      </c>
      <c r="B66" t="s">
        <v>200</v>
      </c>
      <c r="C66" t="s">
        <v>201</v>
      </c>
      <c r="D66">
        <v>0.52</v>
      </c>
      <c r="E66">
        <v>-15</v>
      </c>
      <c r="F66" t="s">
        <v>202</v>
      </c>
    </row>
    <row r="67" spans="1:6">
      <c r="A67" t="s">
        <v>203</v>
      </c>
      <c r="B67" t="s">
        <v>204</v>
      </c>
      <c r="C67" t="s">
        <v>205</v>
      </c>
      <c r="D67">
        <v>0.22</v>
      </c>
      <c r="E67">
        <v>-16</v>
      </c>
      <c r="F67" t="s">
        <v>206</v>
      </c>
    </row>
    <row r="68" spans="1:6">
      <c r="A68" t="s">
        <v>207</v>
      </c>
      <c r="B68" t="s">
        <v>45</v>
      </c>
      <c r="C68" t="s">
        <v>208</v>
      </c>
      <c r="D68">
        <v>0.45</v>
      </c>
      <c r="E68">
        <v>-6</v>
      </c>
      <c r="F68" t="s">
        <v>209</v>
      </c>
    </row>
    <row r="69" spans="1:6">
      <c r="A69" t="s">
        <v>210</v>
      </c>
      <c r="B69" t="s">
        <v>211</v>
      </c>
      <c r="C69" t="s">
        <v>145</v>
      </c>
      <c r="D69">
        <v>0.5</v>
      </c>
      <c r="E69">
        <v>-7</v>
      </c>
      <c r="F69" t="s">
        <v>212</v>
      </c>
    </row>
    <row r="70" spans="1:6">
      <c r="A70" t="s">
        <v>213</v>
      </c>
      <c r="B70" t="s">
        <v>214</v>
      </c>
      <c r="C70" t="s">
        <v>215</v>
      </c>
      <c r="D70">
        <v>0.39</v>
      </c>
      <c r="E70">
        <v>-5</v>
      </c>
      <c r="F70" t="s">
        <v>190</v>
      </c>
    </row>
    <row r="71" spans="1:6">
      <c r="A71" t="s">
        <v>216</v>
      </c>
      <c r="B71" t="s">
        <v>105</v>
      </c>
      <c r="C71" t="s">
        <v>217</v>
      </c>
      <c r="D71">
        <v>0.45</v>
      </c>
      <c r="E71">
        <v>-17</v>
      </c>
      <c r="F71" t="s">
        <v>218</v>
      </c>
    </row>
    <row r="72" spans="1:6">
      <c r="A72" t="s">
        <v>219</v>
      </c>
      <c r="B72" t="s">
        <v>220</v>
      </c>
      <c r="C72" t="s">
        <v>221</v>
      </c>
      <c r="D72">
        <v>0.28999999999999998</v>
      </c>
      <c r="E72">
        <v>-5</v>
      </c>
      <c r="F72" t="s">
        <v>190</v>
      </c>
    </row>
    <row r="73" spans="1:6">
      <c r="A73" t="s">
        <v>222</v>
      </c>
      <c r="B73" t="s">
        <v>223</v>
      </c>
      <c r="C73" t="s">
        <v>224</v>
      </c>
      <c r="D73">
        <v>0.43</v>
      </c>
      <c r="E73">
        <v>-6</v>
      </c>
      <c r="F73" t="s">
        <v>212</v>
      </c>
    </row>
    <row r="74" spans="1:6">
      <c r="A74" t="s">
        <v>225</v>
      </c>
      <c r="B74" t="s">
        <v>226</v>
      </c>
      <c r="C74" t="s">
        <v>227</v>
      </c>
      <c r="D74">
        <v>0.43</v>
      </c>
      <c r="E74">
        <v>-5</v>
      </c>
      <c r="F74" t="s">
        <v>190</v>
      </c>
    </row>
    <row r="75" spans="1:6">
      <c r="A75" t="s">
        <v>228</v>
      </c>
      <c r="B75" t="s">
        <v>229</v>
      </c>
      <c r="C75" t="s">
        <v>208</v>
      </c>
      <c r="D75">
        <v>0.47</v>
      </c>
      <c r="E75">
        <v>-6</v>
      </c>
      <c r="F75" t="s">
        <v>209</v>
      </c>
    </row>
    <row r="76" spans="1:6">
      <c r="A76" t="s">
        <v>230</v>
      </c>
      <c r="B76" t="s">
        <v>231</v>
      </c>
      <c r="C76" t="s">
        <v>232</v>
      </c>
      <c r="D76">
        <v>0.47</v>
      </c>
      <c r="E76">
        <v>-7</v>
      </c>
      <c r="F76" t="s">
        <v>194</v>
      </c>
    </row>
    <row r="77" spans="1:6">
      <c r="A77" t="s">
        <v>233</v>
      </c>
      <c r="B77" t="s">
        <v>234</v>
      </c>
      <c r="C77" t="s">
        <v>235</v>
      </c>
      <c r="D77">
        <v>0.47</v>
      </c>
      <c r="F77" t="s">
        <v>78</v>
      </c>
    </row>
    <row r="78" spans="1:6">
      <c r="A78" t="s">
        <v>236</v>
      </c>
      <c r="B78" t="s">
        <v>237</v>
      </c>
      <c r="C78" t="s">
        <v>153</v>
      </c>
      <c r="D78">
        <v>0.43</v>
      </c>
      <c r="F78" t="s">
        <v>78</v>
      </c>
    </row>
    <row r="79" spans="1:6">
      <c r="A79" t="s">
        <v>238</v>
      </c>
      <c r="B79" t="s">
        <v>239</v>
      </c>
      <c r="C79" t="s">
        <v>240</v>
      </c>
      <c r="D79">
        <v>0.04</v>
      </c>
      <c r="F79" t="s">
        <v>78</v>
      </c>
    </row>
    <row r="80" spans="1:6">
      <c r="A80" t="s">
        <v>241</v>
      </c>
      <c r="B80" t="s">
        <v>242</v>
      </c>
      <c r="C80" t="s">
        <v>243</v>
      </c>
      <c r="D80">
        <v>0.49</v>
      </c>
      <c r="F80" t="s">
        <v>78</v>
      </c>
    </row>
    <row r="81" spans="1:6">
      <c r="A81" t="s">
        <v>244</v>
      </c>
      <c r="B81" t="s">
        <v>245</v>
      </c>
      <c r="C81" t="s">
        <v>15</v>
      </c>
      <c r="D81">
        <v>0.46</v>
      </c>
      <c r="E81">
        <v>-1</v>
      </c>
      <c r="F81" t="s">
        <v>190</v>
      </c>
    </row>
    <row r="82" spans="1:6">
      <c r="A82" t="s">
        <v>246</v>
      </c>
      <c r="B82" t="s">
        <v>247</v>
      </c>
      <c r="C82" t="s">
        <v>248</v>
      </c>
      <c r="D82">
        <v>0.49</v>
      </c>
      <c r="E82">
        <v>-1</v>
      </c>
      <c r="F82" t="s">
        <v>59</v>
      </c>
    </row>
    <row r="83" spans="1:6">
      <c r="A83" t="s">
        <v>249</v>
      </c>
      <c r="B83" t="s">
        <v>250</v>
      </c>
      <c r="C83" t="s">
        <v>251</v>
      </c>
      <c r="D83">
        <v>0.36</v>
      </c>
      <c r="F83" t="s">
        <v>78</v>
      </c>
    </row>
    <row r="84" spans="1:6">
      <c r="A84" t="s">
        <v>252</v>
      </c>
      <c r="B84" t="s">
        <v>253</v>
      </c>
      <c r="C84" t="s">
        <v>163</v>
      </c>
      <c r="D84">
        <v>0.02</v>
      </c>
      <c r="F84" t="s">
        <v>78</v>
      </c>
    </row>
    <row r="85" spans="1:6">
      <c r="A85" t="s">
        <v>254</v>
      </c>
      <c r="B85" t="s">
        <v>255</v>
      </c>
      <c r="C85" t="s">
        <v>92</v>
      </c>
      <c r="D85">
        <v>0.49</v>
      </c>
      <c r="E85">
        <v>-1</v>
      </c>
      <c r="F85" t="s">
        <v>29</v>
      </c>
    </row>
    <row r="86" spans="1:6">
      <c r="A86" t="s">
        <v>138</v>
      </c>
      <c r="B86" t="s">
        <v>139</v>
      </c>
      <c r="C86" t="s">
        <v>140</v>
      </c>
      <c r="D86">
        <v>0.42</v>
      </c>
      <c r="F86" t="s">
        <v>78</v>
      </c>
    </row>
    <row r="87" spans="1:6">
      <c r="A87" t="s">
        <v>155</v>
      </c>
      <c r="B87" t="s">
        <v>256</v>
      </c>
      <c r="C87" t="s">
        <v>223</v>
      </c>
      <c r="D87">
        <v>0.49</v>
      </c>
      <c r="F87" t="s">
        <v>78</v>
      </c>
    </row>
    <row r="88" spans="1:6">
      <c r="A88" t="s">
        <v>257</v>
      </c>
      <c r="B88" t="s">
        <v>258</v>
      </c>
      <c r="C88" t="s">
        <v>163</v>
      </c>
      <c r="D88">
        <v>0.14000000000000001</v>
      </c>
      <c r="F88" t="s">
        <v>78</v>
      </c>
    </row>
    <row r="89" spans="1:6">
      <c r="A89" t="s">
        <v>259</v>
      </c>
      <c r="B89" t="s">
        <v>260</v>
      </c>
      <c r="C89" t="s">
        <v>261</v>
      </c>
      <c r="D89">
        <v>0.49</v>
      </c>
      <c r="F89" t="s">
        <v>78</v>
      </c>
    </row>
    <row r="90" spans="1:6">
      <c r="A90" t="s">
        <v>262</v>
      </c>
      <c r="B90" t="s">
        <v>43</v>
      </c>
      <c r="C90" t="s">
        <v>173</v>
      </c>
      <c r="D90">
        <v>0.11</v>
      </c>
      <c r="F90" t="s">
        <v>78</v>
      </c>
    </row>
    <row r="91" spans="1:6">
      <c r="A91" t="s">
        <v>176</v>
      </c>
      <c r="B91" t="s">
        <v>263</v>
      </c>
      <c r="C91" t="s">
        <v>264</v>
      </c>
      <c r="D91">
        <v>0.49</v>
      </c>
      <c r="F91" t="s">
        <v>78</v>
      </c>
    </row>
    <row r="92" spans="1:6">
      <c r="A92" t="s">
        <v>265</v>
      </c>
      <c r="B92" t="s">
        <v>266</v>
      </c>
      <c r="C92" t="s">
        <v>163</v>
      </c>
      <c r="D92">
        <v>0.14000000000000001</v>
      </c>
      <c r="F92" t="s">
        <v>78</v>
      </c>
    </row>
    <row r="93" spans="1:6">
      <c r="A93" t="s">
        <v>267</v>
      </c>
      <c r="B93" t="s">
        <v>268</v>
      </c>
      <c r="C93" t="s">
        <v>269</v>
      </c>
      <c r="D93">
        <v>0.43</v>
      </c>
      <c r="F93" t="s">
        <v>78</v>
      </c>
    </row>
    <row r="94" spans="1:6">
      <c r="A94" t="s">
        <v>270</v>
      </c>
      <c r="B94" t="s">
        <v>271</v>
      </c>
      <c r="C94" t="s">
        <v>272</v>
      </c>
      <c r="D94">
        <v>0.5</v>
      </c>
      <c r="F94" t="s">
        <v>78</v>
      </c>
    </row>
    <row r="95" spans="1:6">
      <c r="A95" t="s">
        <v>273</v>
      </c>
      <c r="B95" t="s">
        <v>274</v>
      </c>
      <c r="C95" t="s">
        <v>185</v>
      </c>
      <c r="D95">
        <v>0.48</v>
      </c>
      <c r="F95" t="s">
        <v>78</v>
      </c>
    </row>
    <row r="96" spans="1:6">
      <c r="A96" t="s">
        <v>275</v>
      </c>
      <c r="B96" t="s">
        <v>276</v>
      </c>
      <c r="C96" t="s">
        <v>277</v>
      </c>
      <c r="D96">
        <v>0.48</v>
      </c>
      <c r="F96" t="s">
        <v>78</v>
      </c>
    </row>
    <row r="97" spans="1:6">
      <c r="A97" t="s">
        <v>278</v>
      </c>
      <c r="B97" t="s">
        <v>227</v>
      </c>
      <c r="C97" t="s">
        <v>163</v>
      </c>
      <c r="D97">
        <v>0.47</v>
      </c>
      <c r="F97" t="s">
        <v>78</v>
      </c>
    </row>
    <row r="98" spans="1:6">
      <c r="A98" t="s">
        <v>278</v>
      </c>
      <c r="B98" t="s">
        <v>227</v>
      </c>
      <c r="C98" t="s">
        <v>163</v>
      </c>
      <c r="D98">
        <v>0.47</v>
      </c>
      <c r="F98" t="s">
        <v>78</v>
      </c>
    </row>
    <row r="99" spans="1:6">
      <c r="A99" t="s">
        <v>279</v>
      </c>
      <c r="B99" t="s">
        <v>153</v>
      </c>
      <c r="C99" t="s">
        <v>280</v>
      </c>
      <c r="D99">
        <v>0.5</v>
      </c>
      <c r="F99" t="s">
        <v>78</v>
      </c>
    </row>
    <row r="100" spans="1:6">
      <c r="A100" t="s">
        <v>281</v>
      </c>
      <c r="B100" t="s">
        <v>282</v>
      </c>
      <c r="C100" t="s">
        <v>162</v>
      </c>
      <c r="D100">
        <v>0.08</v>
      </c>
      <c r="F100" t="s">
        <v>78</v>
      </c>
    </row>
    <row r="101" spans="1:6">
      <c r="A101" t="s">
        <v>283</v>
      </c>
      <c r="B101" t="s">
        <v>284</v>
      </c>
      <c r="C101" t="s">
        <v>168</v>
      </c>
      <c r="D101">
        <v>0.02</v>
      </c>
      <c r="F101" t="s">
        <v>78</v>
      </c>
    </row>
    <row r="102" spans="1:6">
      <c r="A102" t="s">
        <v>285</v>
      </c>
      <c r="B102" t="s">
        <v>286</v>
      </c>
      <c r="C102" t="s">
        <v>287</v>
      </c>
      <c r="D102">
        <v>0.49</v>
      </c>
      <c r="F102" t="s">
        <v>78</v>
      </c>
    </row>
    <row r="103" spans="1:6">
      <c r="A103" t="s">
        <v>288</v>
      </c>
      <c r="B103" t="s">
        <v>289</v>
      </c>
      <c r="C103" t="s">
        <v>67</v>
      </c>
      <c r="D103">
        <v>0.04</v>
      </c>
      <c r="F103" t="s">
        <v>78</v>
      </c>
    </row>
    <row r="104" spans="1:6">
      <c r="A104" t="s">
        <v>290</v>
      </c>
      <c r="B104" t="s">
        <v>291</v>
      </c>
      <c r="C104" t="s">
        <v>292</v>
      </c>
      <c r="D104">
        <v>0.49</v>
      </c>
      <c r="F104" t="s">
        <v>78</v>
      </c>
    </row>
    <row r="105" spans="1:6">
      <c r="A105" t="s">
        <v>293</v>
      </c>
      <c r="B105" t="s">
        <v>294</v>
      </c>
      <c r="C105" t="s">
        <v>295</v>
      </c>
      <c r="D105">
        <v>0.42</v>
      </c>
      <c r="F105" t="s">
        <v>78</v>
      </c>
    </row>
    <row r="106" spans="1:6">
      <c r="A106" t="s">
        <v>296</v>
      </c>
      <c r="B106" t="s">
        <v>297</v>
      </c>
      <c r="C106" t="s">
        <v>298</v>
      </c>
      <c r="D106">
        <v>0.21</v>
      </c>
      <c r="E106">
        <v>-1</v>
      </c>
      <c r="F106" t="s">
        <v>59</v>
      </c>
    </row>
    <row r="107" spans="1:6">
      <c r="A107" t="s">
        <v>299</v>
      </c>
      <c r="B107" t="s">
        <v>300</v>
      </c>
      <c r="C107" t="s">
        <v>301</v>
      </c>
      <c r="D107">
        <v>0.41</v>
      </c>
      <c r="F107" t="s">
        <v>78</v>
      </c>
    </row>
    <row r="108" spans="1:6">
      <c r="A108" t="s">
        <v>302</v>
      </c>
      <c r="B108" t="s">
        <v>303</v>
      </c>
      <c r="C108" t="s">
        <v>304</v>
      </c>
      <c r="D108">
        <v>0.01</v>
      </c>
      <c r="F108" t="s">
        <v>78</v>
      </c>
    </row>
    <row r="109" spans="1:6">
      <c r="A109" t="s">
        <v>305</v>
      </c>
      <c r="B109" t="s">
        <v>306</v>
      </c>
      <c r="C109" t="s">
        <v>307</v>
      </c>
      <c r="D109">
        <v>0.24</v>
      </c>
      <c r="F109" t="s">
        <v>78</v>
      </c>
    </row>
    <row r="110" spans="1:6">
      <c r="A110" t="s">
        <v>308</v>
      </c>
      <c r="B110" t="s">
        <v>309</v>
      </c>
      <c r="C110" t="s">
        <v>310</v>
      </c>
      <c r="D110">
        <v>0.34</v>
      </c>
      <c r="F110" t="s">
        <v>78</v>
      </c>
    </row>
    <row r="111" spans="1:6">
      <c r="A111" t="s">
        <v>311</v>
      </c>
      <c r="B111" t="s">
        <v>147</v>
      </c>
      <c r="C111" t="s">
        <v>312</v>
      </c>
      <c r="D111">
        <v>0.34</v>
      </c>
      <c r="F111" t="s">
        <v>78</v>
      </c>
    </row>
    <row r="112" spans="1:6">
      <c r="A112" t="s">
        <v>313</v>
      </c>
      <c r="B112" t="s">
        <v>314</v>
      </c>
      <c r="C112" t="s">
        <v>163</v>
      </c>
      <c r="D112">
        <v>0.02</v>
      </c>
      <c r="F112" t="s">
        <v>78</v>
      </c>
    </row>
    <row r="113" spans="1:6">
      <c r="A113" t="s">
        <v>315</v>
      </c>
      <c r="B113" t="s">
        <v>316</v>
      </c>
      <c r="C113" t="s">
        <v>240</v>
      </c>
      <c r="D113">
        <v>0.02</v>
      </c>
      <c r="F113" t="s">
        <v>78</v>
      </c>
    </row>
    <row r="114" spans="1:6">
      <c r="A114" t="s">
        <v>317</v>
      </c>
      <c r="B114" t="s">
        <v>156</v>
      </c>
      <c r="C114" t="s">
        <v>318</v>
      </c>
      <c r="D114">
        <v>0.64</v>
      </c>
      <c r="F114" t="s">
        <v>78</v>
      </c>
    </row>
    <row r="115" spans="1:6">
      <c r="A115" t="s">
        <v>319</v>
      </c>
      <c r="B115" t="s">
        <v>243</v>
      </c>
      <c r="C115" t="s">
        <v>173</v>
      </c>
      <c r="D115">
        <v>0.5</v>
      </c>
      <c r="E115">
        <v>-1</v>
      </c>
      <c r="F115" t="s">
        <v>320</v>
      </c>
    </row>
    <row r="116" spans="1:6">
      <c r="A116" t="s">
        <v>321</v>
      </c>
      <c r="B116" t="s">
        <v>322</v>
      </c>
      <c r="C116" t="s">
        <v>323</v>
      </c>
      <c r="D116">
        <v>0.47</v>
      </c>
      <c r="F116" t="s">
        <v>78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356FA-7D78-4EC8-80F5-59040F8DF322}">
  <dimension ref="A1:U112"/>
  <sheetViews>
    <sheetView topLeftCell="A2" zoomScaleNormal="100" workbookViewId="0">
      <selection activeCell="A9" sqref="A9"/>
    </sheetView>
  </sheetViews>
  <sheetFormatPr defaultRowHeight="15"/>
  <cols>
    <col min="1" max="1" width="81.140625" bestFit="1" customWidth="1"/>
    <col min="2" max="2" width="15.42578125" bestFit="1" customWidth="1"/>
    <col min="3" max="3" width="11.140625" bestFit="1" customWidth="1"/>
    <col min="4" max="4" width="11.42578125" bestFit="1" customWidth="1"/>
    <col min="5" max="5" width="9.85546875" bestFit="1" customWidth="1"/>
    <col min="6" max="6" width="9" bestFit="1" customWidth="1"/>
    <col min="7" max="7" width="24.28515625" bestFit="1" customWidth="1"/>
    <col min="8" max="8" width="20.28515625" bestFit="1" customWidth="1"/>
    <col min="9" max="9" width="15.140625" bestFit="1" customWidth="1"/>
    <col min="10" max="10" width="14" bestFit="1" customWidth="1"/>
    <col min="11" max="11" width="17.7109375" bestFit="1" customWidth="1"/>
    <col min="12" max="12" width="18.7109375" bestFit="1" customWidth="1"/>
    <col min="13" max="13" width="19.5703125" bestFit="1" customWidth="1"/>
    <col min="14" max="14" width="17.28515625" bestFit="1" customWidth="1"/>
    <col min="15" max="15" width="20.28515625" bestFit="1" customWidth="1"/>
    <col min="16" max="16" width="16.5703125" bestFit="1" customWidth="1"/>
    <col min="17" max="17" width="21" bestFit="1" customWidth="1"/>
    <col min="18" max="18" width="26.5703125" bestFit="1" customWidth="1"/>
    <col min="19" max="19" width="31.7109375" bestFit="1" customWidth="1"/>
    <col min="20" max="20" width="36.5703125" bestFit="1" customWidth="1"/>
    <col min="21" max="21" width="30.28515625" bestFit="1" customWidth="1"/>
    <col min="22" max="22" width="10.42578125" bestFit="1" customWidth="1"/>
  </cols>
  <sheetData>
    <row r="1" spans="1:21">
      <c r="A1" t="s">
        <v>0</v>
      </c>
      <c r="B1" t="s">
        <v>1</v>
      </c>
      <c r="C1" t="s">
        <v>2</v>
      </c>
      <c r="D1" t="s">
        <v>3</v>
      </c>
      <c r="E1" t="s">
        <v>4</v>
      </c>
      <c r="F1" t="s">
        <v>324</v>
      </c>
      <c r="G1" t="s">
        <v>325</v>
      </c>
      <c r="H1" t="s">
        <v>326</v>
      </c>
      <c r="I1" t="s">
        <v>327</v>
      </c>
      <c r="J1" t="s">
        <v>328</v>
      </c>
      <c r="K1" t="s">
        <v>329</v>
      </c>
      <c r="L1" t="s">
        <v>330</v>
      </c>
      <c r="M1" t="s">
        <v>331</v>
      </c>
      <c r="N1" t="s">
        <v>332</v>
      </c>
      <c r="O1" t="s">
        <v>333</v>
      </c>
      <c r="P1" t="s">
        <v>334</v>
      </c>
      <c r="Q1" t="s">
        <v>335</v>
      </c>
      <c r="R1" t="s">
        <v>336</v>
      </c>
      <c r="S1" t="s">
        <v>337</v>
      </c>
      <c r="T1" t="s">
        <v>338</v>
      </c>
      <c r="U1" t="s">
        <v>339</v>
      </c>
    </row>
    <row r="2" spans="1:21">
      <c r="A2" t="s">
        <v>195</v>
      </c>
      <c r="B2">
        <v>445</v>
      </c>
      <c r="C2">
        <v>873</v>
      </c>
      <c r="D2">
        <v>0.49</v>
      </c>
      <c r="E2">
        <v>69</v>
      </c>
      <c r="F2">
        <v>2.8</v>
      </c>
      <c r="I2" t="s">
        <v>340</v>
      </c>
      <c r="L2" t="s">
        <v>340</v>
      </c>
      <c r="M2">
        <v>428</v>
      </c>
      <c r="N2" t="s">
        <v>341</v>
      </c>
      <c r="O2" t="s">
        <v>342</v>
      </c>
      <c r="P2" t="s">
        <v>343</v>
      </c>
      <c r="Q2" t="s">
        <v>335</v>
      </c>
      <c r="R2" t="s">
        <v>344</v>
      </c>
      <c r="S2" t="s">
        <v>345</v>
      </c>
      <c r="T2" t="s">
        <v>345</v>
      </c>
      <c r="U2" t="s">
        <v>345</v>
      </c>
    </row>
    <row r="3" spans="1:21">
      <c r="A3" t="s">
        <v>30</v>
      </c>
      <c r="B3">
        <v>2319</v>
      </c>
      <c r="C3">
        <v>3032</v>
      </c>
      <c r="D3">
        <v>0.24</v>
      </c>
      <c r="E3">
        <v>55</v>
      </c>
      <c r="F3">
        <v>4.5999999999999996</v>
      </c>
      <c r="I3" t="s">
        <v>340</v>
      </c>
      <c r="L3" t="s">
        <v>340</v>
      </c>
      <c r="M3">
        <v>713</v>
      </c>
      <c r="N3" t="s">
        <v>346</v>
      </c>
      <c r="O3" t="s">
        <v>347</v>
      </c>
      <c r="P3" t="s">
        <v>348</v>
      </c>
      <c r="Q3" t="s">
        <v>335</v>
      </c>
      <c r="R3" t="s">
        <v>345</v>
      </c>
      <c r="S3" t="s">
        <v>345</v>
      </c>
      <c r="T3" t="s">
        <v>344</v>
      </c>
      <c r="U3" t="s">
        <v>345</v>
      </c>
    </row>
    <row r="4" spans="1:21">
      <c r="A4" t="s">
        <v>90</v>
      </c>
      <c r="B4">
        <v>420</v>
      </c>
      <c r="C4">
        <v>647</v>
      </c>
      <c r="D4">
        <v>0.35</v>
      </c>
      <c r="E4">
        <v>49</v>
      </c>
      <c r="F4">
        <v>4.5999999999999996</v>
      </c>
      <c r="I4" t="s">
        <v>340</v>
      </c>
      <c r="L4" t="s">
        <v>340</v>
      </c>
      <c r="M4">
        <v>227</v>
      </c>
      <c r="N4" t="s">
        <v>346</v>
      </c>
      <c r="O4" t="s">
        <v>347</v>
      </c>
      <c r="P4" t="s">
        <v>343</v>
      </c>
      <c r="Q4" t="s">
        <v>335</v>
      </c>
      <c r="R4" t="s">
        <v>345</v>
      </c>
      <c r="S4" t="s">
        <v>345</v>
      </c>
      <c r="T4" t="s">
        <v>344</v>
      </c>
      <c r="U4" t="s">
        <v>345</v>
      </c>
    </row>
    <row r="5" spans="1:21">
      <c r="A5" t="s">
        <v>68</v>
      </c>
      <c r="B5">
        <v>998</v>
      </c>
      <c r="C5">
        <v>1966</v>
      </c>
      <c r="D5">
        <v>0.49</v>
      </c>
      <c r="E5">
        <v>44</v>
      </c>
      <c r="F5">
        <v>4.5999999999999996</v>
      </c>
      <c r="I5" t="s">
        <v>340</v>
      </c>
      <c r="L5" t="s">
        <v>340</v>
      </c>
      <c r="M5">
        <v>968</v>
      </c>
      <c r="N5" t="s">
        <v>346</v>
      </c>
      <c r="O5" t="s">
        <v>342</v>
      </c>
      <c r="P5" t="s">
        <v>349</v>
      </c>
      <c r="Q5" t="s">
        <v>335</v>
      </c>
      <c r="R5" t="s">
        <v>345</v>
      </c>
      <c r="S5" t="s">
        <v>345</v>
      </c>
      <c r="T5" t="s">
        <v>344</v>
      </c>
      <c r="U5" t="s">
        <v>345</v>
      </c>
    </row>
    <row r="6" spans="1:21">
      <c r="A6" t="s">
        <v>44</v>
      </c>
      <c r="B6">
        <v>990</v>
      </c>
      <c r="C6">
        <v>1500</v>
      </c>
      <c r="D6">
        <v>0.34</v>
      </c>
      <c r="E6">
        <v>39</v>
      </c>
      <c r="F6">
        <v>4.7</v>
      </c>
      <c r="I6" t="s">
        <v>340</v>
      </c>
      <c r="L6" t="s">
        <v>340</v>
      </c>
      <c r="M6">
        <v>510</v>
      </c>
      <c r="N6" t="s">
        <v>346</v>
      </c>
      <c r="O6" t="s">
        <v>347</v>
      </c>
      <c r="P6" t="s">
        <v>349</v>
      </c>
      <c r="Q6" t="s">
        <v>335</v>
      </c>
      <c r="R6" t="s">
        <v>345</v>
      </c>
      <c r="S6" t="s">
        <v>345</v>
      </c>
      <c r="T6" t="s">
        <v>344</v>
      </c>
      <c r="U6" t="s">
        <v>345</v>
      </c>
    </row>
    <row r="7" spans="1:21">
      <c r="A7" t="s">
        <v>123</v>
      </c>
      <c r="B7">
        <v>389</v>
      </c>
      <c r="C7">
        <v>656</v>
      </c>
      <c r="D7">
        <v>0.41</v>
      </c>
      <c r="E7">
        <v>36</v>
      </c>
      <c r="F7">
        <v>4.3</v>
      </c>
      <c r="I7" t="s">
        <v>340</v>
      </c>
      <c r="L7" t="s">
        <v>340</v>
      </c>
      <c r="M7">
        <v>267</v>
      </c>
      <c r="N7" t="s">
        <v>350</v>
      </c>
      <c r="O7" t="s">
        <v>342</v>
      </c>
      <c r="P7" t="s">
        <v>343</v>
      </c>
      <c r="Q7" t="s">
        <v>335</v>
      </c>
      <c r="R7" t="s">
        <v>345</v>
      </c>
      <c r="S7" t="s">
        <v>345</v>
      </c>
      <c r="T7" t="s">
        <v>345</v>
      </c>
      <c r="U7" t="s">
        <v>344</v>
      </c>
    </row>
    <row r="8" spans="1:21">
      <c r="A8" t="s">
        <v>115</v>
      </c>
      <c r="B8">
        <v>1980</v>
      </c>
      <c r="C8">
        <v>2699</v>
      </c>
      <c r="D8">
        <v>0.27</v>
      </c>
      <c r="E8">
        <v>32</v>
      </c>
      <c r="F8">
        <v>4.5</v>
      </c>
      <c r="I8" t="s">
        <v>340</v>
      </c>
      <c r="L8" t="s">
        <v>340</v>
      </c>
      <c r="M8">
        <v>719</v>
      </c>
      <c r="N8" t="s">
        <v>350</v>
      </c>
      <c r="O8" t="s">
        <v>347</v>
      </c>
      <c r="P8" t="s">
        <v>348</v>
      </c>
      <c r="Q8" t="s">
        <v>335</v>
      </c>
      <c r="R8" t="s">
        <v>345</v>
      </c>
      <c r="S8" t="s">
        <v>345</v>
      </c>
      <c r="T8" t="s">
        <v>345</v>
      </c>
      <c r="U8" t="s">
        <v>344</v>
      </c>
    </row>
    <row r="9" spans="1:21">
      <c r="A9" t="s">
        <v>14</v>
      </c>
      <c r="B9">
        <v>2199</v>
      </c>
      <c r="C9">
        <v>2923</v>
      </c>
      <c r="D9">
        <v>0.25</v>
      </c>
      <c r="E9">
        <v>24</v>
      </c>
      <c r="F9">
        <v>4.5999999999999996</v>
      </c>
      <c r="I9" t="s">
        <v>340</v>
      </c>
      <c r="L9" t="s">
        <v>340</v>
      </c>
      <c r="M9">
        <v>724</v>
      </c>
      <c r="N9" t="s">
        <v>346</v>
      </c>
      <c r="O9" t="s">
        <v>347</v>
      </c>
      <c r="P9" t="s">
        <v>348</v>
      </c>
      <c r="Q9" t="s">
        <v>335</v>
      </c>
      <c r="R9" t="s">
        <v>345</v>
      </c>
      <c r="S9" t="s">
        <v>345</v>
      </c>
      <c r="T9" t="s">
        <v>344</v>
      </c>
      <c r="U9" t="s">
        <v>345</v>
      </c>
    </row>
    <row r="10" spans="1:21">
      <c r="A10" t="s">
        <v>98</v>
      </c>
      <c r="B10">
        <v>1758</v>
      </c>
      <c r="C10">
        <v>2499</v>
      </c>
      <c r="D10">
        <v>0.3</v>
      </c>
      <c r="E10">
        <v>20</v>
      </c>
      <c r="F10">
        <v>4.0999999999999996</v>
      </c>
      <c r="I10" t="s">
        <v>340</v>
      </c>
      <c r="L10" t="s">
        <v>340</v>
      </c>
      <c r="M10">
        <v>741</v>
      </c>
      <c r="N10" t="s">
        <v>350</v>
      </c>
      <c r="O10" t="s">
        <v>347</v>
      </c>
      <c r="P10" t="s">
        <v>348</v>
      </c>
      <c r="Q10" t="s">
        <v>335</v>
      </c>
      <c r="R10" t="s">
        <v>345</v>
      </c>
      <c r="S10" t="s">
        <v>345</v>
      </c>
      <c r="T10" t="s">
        <v>345</v>
      </c>
      <c r="U10" t="s">
        <v>344</v>
      </c>
    </row>
    <row r="11" spans="1:21">
      <c r="A11" t="s">
        <v>112</v>
      </c>
      <c r="B11">
        <v>1940</v>
      </c>
      <c r="C11">
        <v>2650</v>
      </c>
      <c r="D11">
        <v>0.27</v>
      </c>
      <c r="E11">
        <v>20</v>
      </c>
      <c r="F11">
        <v>4.7</v>
      </c>
      <c r="I11" t="s">
        <v>340</v>
      </c>
      <c r="L11" t="s">
        <v>340</v>
      </c>
      <c r="M11">
        <v>710</v>
      </c>
      <c r="N11" t="s">
        <v>346</v>
      </c>
      <c r="O11" t="s">
        <v>347</v>
      </c>
      <c r="P11" t="s">
        <v>348</v>
      </c>
      <c r="Q11" t="s">
        <v>335</v>
      </c>
      <c r="R11" t="s">
        <v>345</v>
      </c>
      <c r="S11" t="s">
        <v>345</v>
      </c>
      <c r="T11" t="s">
        <v>344</v>
      </c>
      <c r="U11" t="s">
        <v>345</v>
      </c>
    </row>
    <row r="12" spans="1:21">
      <c r="A12" t="s">
        <v>216</v>
      </c>
      <c r="B12">
        <v>382</v>
      </c>
      <c r="C12">
        <v>700</v>
      </c>
      <c r="D12">
        <v>0.45</v>
      </c>
      <c r="E12">
        <v>17</v>
      </c>
      <c r="F12">
        <v>2.6</v>
      </c>
      <c r="I12" t="s">
        <v>340</v>
      </c>
      <c r="L12" t="s">
        <v>340</v>
      </c>
      <c r="M12">
        <v>318</v>
      </c>
      <c r="N12" t="s">
        <v>341</v>
      </c>
      <c r="O12" t="s">
        <v>342</v>
      </c>
      <c r="P12" t="s">
        <v>343</v>
      </c>
      <c r="Q12" t="s">
        <v>335</v>
      </c>
      <c r="R12" t="s">
        <v>344</v>
      </c>
      <c r="S12" t="s">
        <v>345</v>
      </c>
      <c r="T12" t="s">
        <v>345</v>
      </c>
      <c r="U12" t="s">
        <v>345</v>
      </c>
    </row>
    <row r="13" spans="1:21">
      <c r="A13" t="s">
        <v>203</v>
      </c>
      <c r="B13">
        <v>1220</v>
      </c>
      <c r="C13">
        <v>1555</v>
      </c>
      <c r="D13">
        <v>0.22</v>
      </c>
      <c r="E13">
        <v>16</v>
      </c>
      <c r="F13">
        <v>2.9</v>
      </c>
      <c r="I13" t="s">
        <v>340</v>
      </c>
      <c r="L13" t="s">
        <v>340</v>
      </c>
      <c r="M13">
        <v>335</v>
      </c>
      <c r="N13" t="s">
        <v>341</v>
      </c>
      <c r="O13" t="s">
        <v>347</v>
      </c>
      <c r="P13" t="s">
        <v>349</v>
      </c>
      <c r="Q13" t="s">
        <v>335</v>
      </c>
      <c r="R13" t="s">
        <v>345</v>
      </c>
      <c r="S13" t="s">
        <v>345</v>
      </c>
      <c r="T13" t="s">
        <v>345</v>
      </c>
      <c r="U13" t="s">
        <v>345</v>
      </c>
    </row>
    <row r="14" spans="1:21">
      <c r="A14" t="s">
        <v>26</v>
      </c>
      <c r="B14">
        <v>2999</v>
      </c>
      <c r="C14">
        <v>3290</v>
      </c>
      <c r="D14">
        <v>0.09</v>
      </c>
      <c r="E14">
        <v>15</v>
      </c>
      <c r="F14">
        <v>4</v>
      </c>
      <c r="I14" t="s">
        <v>340</v>
      </c>
      <c r="L14" t="s">
        <v>340</v>
      </c>
      <c r="M14">
        <v>291</v>
      </c>
      <c r="N14" t="s">
        <v>350</v>
      </c>
      <c r="O14" t="s">
        <v>351</v>
      </c>
      <c r="P14" t="s">
        <v>348</v>
      </c>
      <c r="Q14" t="s">
        <v>335</v>
      </c>
      <c r="R14" t="s">
        <v>345</v>
      </c>
      <c r="S14" t="s">
        <v>345</v>
      </c>
      <c r="T14" t="s">
        <v>345</v>
      </c>
      <c r="U14" t="s">
        <v>344</v>
      </c>
    </row>
    <row r="15" spans="1:21">
      <c r="A15" t="s">
        <v>199</v>
      </c>
      <c r="B15">
        <v>325</v>
      </c>
      <c r="C15">
        <v>680</v>
      </c>
      <c r="D15">
        <v>0.52</v>
      </c>
      <c r="E15">
        <v>15</v>
      </c>
      <c r="F15">
        <v>2.7</v>
      </c>
      <c r="I15" t="s">
        <v>340</v>
      </c>
      <c r="L15" t="s">
        <v>340</v>
      </c>
      <c r="M15">
        <v>355</v>
      </c>
      <c r="N15" t="s">
        <v>341</v>
      </c>
      <c r="O15" t="s">
        <v>342</v>
      </c>
      <c r="P15" t="s">
        <v>343</v>
      </c>
      <c r="Q15" t="s">
        <v>335</v>
      </c>
      <c r="R15" t="s">
        <v>344</v>
      </c>
      <c r="S15" t="s">
        <v>345</v>
      </c>
      <c r="T15" t="s">
        <v>345</v>
      </c>
      <c r="U15" t="s">
        <v>345</v>
      </c>
    </row>
    <row r="16" spans="1:21">
      <c r="A16" t="s">
        <v>10</v>
      </c>
      <c r="B16">
        <v>527</v>
      </c>
      <c r="C16">
        <v>999</v>
      </c>
      <c r="D16">
        <v>0.47</v>
      </c>
      <c r="E16">
        <v>14</v>
      </c>
      <c r="F16">
        <v>4.0999999999999996</v>
      </c>
      <c r="I16" t="s">
        <v>340</v>
      </c>
      <c r="L16" t="s">
        <v>340</v>
      </c>
      <c r="M16">
        <v>472</v>
      </c>
      <c r="N16" t="s">
        <v>350</v>
      </c>
      <c r="O16" t="s">
        <v>342</v>
      </c>
      <c r="P16" t="s">
        <v>349</v>
      </c>
      <c r="Q16" t="s">
        <v>352</v>
      </c>
      <c r="R16" t="s">
        <v>345</v>
      </c>
      <c r="S16" t="s">
        <v>344</v>
      </c>
      <c r="T16" t="s">
        <v>345</v>
      </c>
      <c r="U16" t="s">
        <v>345</v>
      </c>
    </row>
    <row r="17" spans="1:21">
      <c r="A17" t="s">
        <v>82</v>
      </c>
      <c r="B17">
        <v>1650</v>
      </c>
      <c r="C17">
        <v>2150</v>
      </c>
      <c r="D17">
        <v>0.23</v>
      </c>
      <c r="E17">
        <v>14</v>
      </c>
      <c r="F17">
        <v>4.4000000000000004</v>
      </c>
      <c r="I17" t="s">
        <v>340</v>
      </c>
      <c r="L17" t="s">
        <v>340</v>
      </c>
      <c r="M17">
        <v>500</v>
      </c>
      <c r="N17" t="s">
        <v>350</v>
      </c>
      <c r="O17" t="s">
        <v>347</v>
      </c>
      <c r="P17" t="s">
        <v>349</v>
      </c>
      <c r="Q17" t="s">
        <v>352</v>
      </c>
      <c r="R17" t="s">
        <v>345</v>
      </c>
      <c r="S17" t="s">
        <v>345</v>
      </c>
      <c r="T17" t="s">
        <v>345</v>
      </c>
      <c r="U17" t="s">
        <v>345</v>
      </c>
    </row>
    <row r="18" spans="1:21">
      <c r="A18" t="s">
        <v>71</v>
      </c>
      <c r="B18">
        <v>38</v>
      </c>
      <c r="C18">
        <v>80</v>
      </c>
      <c r="D18">
        <v>0.53</v>
      </c>
      <c r="E18">
        <v>13</v>
      </c>
      <c r="F18">
        <v>3.3</v>
      </c>
      <c r="I18" t="s">
        <v>340</v>
      </c>
      <c r="L18" t="s">
        <v>340</v>
      </c>
      <c r="M18">
        <v>42</v>
      </c>
      <c r="N18" t="s">
        <v>350</v>
      </c>
      <c r="O18" t="s">
        <v>342</v>
      </c>
      <c r="P18" t="s">
        <v>343</v>
      </c>
      <c r="Q18" t="s">
        <v>352</v>
      </c>
      <c r="R18" t="s">
        <v>345</v>
      </c>
      <c r="S18" t="s">
        <v>344</v>
      </c>
      <c r="T18" t="s">
        <v>345</v>
      </c>
      <c r="U18" t="s">
        <v>345</v>
      </c>
    </row>
    <row r="19" spans="1:21">
      <c r="A19" t="s">
        <v>96</v>
      </c>
      <c r="B19">
        <v>1350</v>
      </c>
      <c r="C19">
        <v>1990</v>
      </c>
      <c r="D19">
        <v>0.32</v>
      </c>
      <c r="E19">
        <v>13</v>
      </c>
      <c r="F19">
        <v>3.8</v>
      </c>
      <c r="I19" t="s">
        <v>340</v>
      </c>
      <c r="L19" t="s">
        <v>340</v>
      </c>
      <c r="M19">
        <v>640</v>
      </c>
      <c r="N19" t="s">
        <v>350</v>
      </c>
      <c r="O19" t="s">
        <v>347</v>
      </c>
      <c r="P19" t="s">
        <v>349</v>
      </c>
      <c r="Q19" t="s">
        <v>352</v>
      </c>
      <c r="R19" t="s">
        <v>345</v>
      </c>
      <c r="S19" t="s">
        <v>345</v>
      </c>
      <c r="T19" t="s">
        <v>345</v>
      </c>
      <c r="U19" t="s">
        <v>345</v>
      </c>
    </row>
    <row r="20" spans="1:21">
      <c r="A20" t="s">
        <v>191</v>
      </c>
      <c r="B20">
        <v>2115</v>
      </c>
      <c r="C20">
        <v>4700</v>
      </c>
      <c r="D20">
        <v>0.55000000000000004</v>
      </c>
      <c r="E20">
        <v>13</v>
      </c>
      <c r="F20">
        <v>2.1</v>
      </c>
      <c r="I20" t="s">
        <v>340</v>
      </c>
      <c r="L20" t="s">
        <v>340</v>
      </c>
      <c r="M20">
        <v>2585</v>
      </c>
      <c r="N20" t="s">
        <v>341</v>
      </c>
      <c r="O20" t="s">
        <v>342</v>
      </c>
      <c r="P20" t="s">
        <v>348</v>
      </c>
      <c r="Q20" t="s">
        <v>352</v>
      </c>
      <c r="R20" t="s">
        <v>344</v>
      </c>
      <c r="S20" t="s">
        <v>344</v>
      </c>
      <c r="T20" t="s">
        <v>345</v>
      </c>
      <c r="U20" t="s">
        <v>345</v>
      </c>
    </row>
    <row r="21" spans="1:21">
      <c r="A21" t="s">
        <v>42</v>
      </c>
      <c r="B21">
        <v>799</v>
      </c>
      <c r="C21">
        <v>999</v>
      </c>
      <c r="D21">
        <v>0.2</v>
      </c>
      <c r="E21">
        <v>12</v>
      </c>
      <c r="F21">
        <v>4.0999999999999996</v>
      </c>
      <c r="I21" t="s">
        <v>340</v>
      </c>
      <c r="L21" t="s">
        <v>340</v>
      </c>
      <c r="M21">
        <v>200</v>
      </c>
      <c r="N21" t="s">
        <v>350</v>
      </c>
      <c r="O21" t="s">
        <v>347</v>
      </c>
      <c r="P21" t="s">
        <v>349</v>
      </c>
      <c r="Q21" t="s">
        <v>352</v>
      </c>
      <c r="R21" t="s">
        <v>345</v>
      </c>
      <c r="S21" t="s">
        <v>345</v>
      </c>
      <c r="T21" t="s">
        <v>345</v>
      </c>
      <c r="U21" t="s">
        <v>345</v>
      </c>
    </row>
    <row r="22" spans="1:21">
      <c r="A22" t="s">
        <v>47</v>
      </c>
      <c r="B22">
        <v>552</v>
      </c>
      <c r="C22">
        <v>1035</v>
      </c>
      <c r="D22">
        <v>0.47</v>
      </c>
      <c r="E22">
        <v>12</v>
      </c>
      <c r="F22">
        <v>4.8</v>
      </c>
      <c r="I22" t="s">
        <v>340</v>
      </c>
      <c r="L22" t="s">
        <v>340</v>
      </c>
      <c r="M22">
        <v>483</v>
      </c>
      <c r="N22" t="s">
        <v>346</v>
      </c>
      <c r="O22" t="s">
        <v>342</v>
      </c>
      <c r="P22" t="s">
        <v>349</v>
      </c>
      <c r="Q22" t="s">
        <v>352</v>
      </c>
      <c r="R22" t="s">
        <v>345</v>
      </c>
      <c r="S22" t="s">
        <v>344</v>
      </c>
      <c r="T22" t="s">
        <v>345</v>
      </c>
      <c r="U22" t="s">
        <v>345</v>
      </c>
    </row>
    <row r="23" spans="1:21">
      <c r="A23" t="s">
        <v>93</v>
      </c>
      <c r="B23">
        <v>2880</v>
      </c>
      <c r="C23">
        <v>3520</v>
      </c>
      <c r="D23">
        <v>0.18</v>
      </c>
      <c r="E23">
        <v>12</v>
      </c>
      <c r="F23">
        <v>3.8</v>
      </c>
      <c r="I23" t="s">
        <v>340</v>
      </c>
      <c r="L23" t="s">
        <v>340</v>
      </c>
      <c r="M23">
        <v>640</v>
      </c>
      <c r="N23" t="s">
        <v>350</v>
      </c>
      <c r="O23" t="s">
        <v>351</v>
      </c>
      <c r="P23" t="s">
        <v>348</v>
      </c>
      <c r="Q23" t="s">
        <v>352</v>
      </c>
      <c r="R23" t="s">
        <v>345</v>
      </c>
      <c r="S23" t="s">
        <v>345</v>
      </c>
      <c r="T23" t="s">
        <v>345</v>
      </c>
      <c r="U23" t="s">
        <v>345</v>
      </c>
    </row>
    <row r="24" spans="1:21">
      <c r="A24" t="s">
        <v>106</v>
      </c>
      <c r="B24">
        <v>980</v>
      </c>
      <c r="C24">
        <v>1490</v>
      </c>
      <c r="D24">
        <v>0.34</v>
      </c>
      <c r="E24">
        <v>12</v>
      </c>
      <c r="F24">
        <v>4.7</v>
      </c>
      <c r="I24" t="s">
        <v>340</v>
      </c>
      <c r="L24" t="s">
        <v>340</v>
      </c>
      <c r="M24">
        <v>510</v>
      </c>
      <c r="N24" t="s">
        <v>346</v>
      </c>
      <c r="O24" t="s">
        <v>347</v>
      </c>
      <c r="P24" t="s">
        <v>349</v>
      </c>
      <c r="Q24" t="s">
        <v>352</v>
      </c>
      <c r="R24" t="s">
        <v>345</v>
      </c>
      <c r="S24" t="s">
        <v>345</v>
      </c>
      <c r="T24" t="s">
        <v>345</v>
      </c>
      <c r="U24" t="s">
        <v>345</v>
      </c>
    </row>
    <row r="25" spans="1:21">
      <c r="A25" t="s">
        <v>187</v>
      </c>
      <c r="B25">
        <v>458</v>
      </c>
      <c r="C25">
        <v>986</v>
      </c>
      <c r="D25">
        <v>0.54</v>
      </c>
      <c r="E25">
        <v>10</v>
      </c>
      <c r="F25">
        <v>3</v>
      </c>
      <c r="I25" t="s">
        <v>340</v>
      </c>
      <c r="L25" t="s">
        <v>340</v>
      </c>
      <c r="M25">
        <v>528</v>
      </c>
      <c r="N25" t="s">
        <v>350</v>
      </c>
      <c r="O25" t="s">
        <v>342</v>
      </c>
      <c r="P25" t="s">
        <v>343</v>
      </c>
      <c r="Q25" t="s">
        <v>352</v>
      </c>
      <c r="R25" t="s">
        <v>345</v>
      </c>
      <c r="S25" t="s">
        <v>344</v>
      </c>
      <c r="T25" t="s">
        <v>345</v>
      </c>
      <c r="U25" t="s">
        <v>345</v>
      </c>
    </row>
    <row r="26" spans="1:21">
      <c r="A26" t="s">
        <v>53</v>
      </c>
      <c r="B26">
        <v>1680</v>
      </c>
      <c r="C26">
        <v>2499</v>
      </c>
      <c r="D26">
        <v>0.33</v>
      </c>
      <c r="E26">
        <v>9</v>
      </c>
      <c r="F26">
        <v>4.2</v>
      </c>
      <c r="I26" t="s">
        <v>340</v>
      </c>
      <c r="L26" t="s">
        <v>340</v>
      </c>
      <c r="M26">
        <v>819</v>
      </c>
      <c r="N26" t="s">
        <v>350</v>
      </c>
      <c r="O26" t="s">
        <v>347</v>
      </c>
      <c r="P26" t="s">
        <v>348</v>
      </c>
      <c r="Q26" t="s">
        <v>352</v>
      </c>
      <c r="R26" t="s">
        <v>345</v>
      </c>
      <c r="S26" t="s">
        <v>345</v>
      </c>
      <c r="T26" t="s">
        <v>345</v>
      </c>
      <c r="U26" t="s">
        <v>345</v>
      </c>
    </row>
    <row r="27" spans="1:21">
      <c r="A27" t="s">
        <v>103</v>
      </c>
      <c r="B27">
        <v>185</v>
      </c>
      <c r="C27">
        <v>382</v>
      </c>
      <c r="D27">
        <v>0.52</v>
      </c>
      <c r="E27">
        <v>9</v>
      </c>
      <c r="F27">
        <v>4.3</v>
      </c>
      <c r="I27" t="s">
        <v>340</v>
      </c>
      <c r="L27" t="s">
        <v>340</v>
      </c>
      <c r="M27">
        <v>197</v>
      </c>
      <c r="N27" t="s">
        <v>350</v>
      </c>
      <c r="O27" t="s">
        <v>342</v>
      </c>
      <c r="P27" t="s">
        <v>343</v>
      </c>
      <c r="Q27" t="s">
        <v>352</v>
      </c>
      <c r="R27" t="s">
        <v>345</v>
      </c>
      <c r="S27" t="s">
        <v>344</v>
      </c>
      <c r="T27" t="s">
        <v>345</v>
      </c>
      <c r="U27" t="s">
        <v>345</v>
      </c>
    </row>
    <row r="28" spans="1:21">
      <c r="A28" t="s">
        <v>109</v>
      </c>
      <c r="B28">
        <v>1820</v>
      </c>
      <c r="C28">
        <v>3490</v>
      </c>
      <c r="D28">
        <v>0.48</v>
      </c>
      <c r="E28">
        <v>9</v>
      </c>
      <c r="F28">
        <v>4.3</v>
      </c>
      <c r="I28" t="s">
        <v>340</v>
      </c>
      <c r="L28" t="s">
        <v>340</v>
      </c>
      <c r="M28">
        <v>1670</v>
      </c>
      <c r="N28" t="s">
        <v>350</v>
      </c>
      <c r="O28" t="s">
        <v>342</v>
      </c>
      <c r="P28" t="s">
        <v>348</v>
      </c>
      <c r="Q28" t="s">
        <v>352</v>
      </c>
      <c r="R28" t="s">
        <v>345</v>
      </c>
      <c r="S28" t="s">
        <v>344</v>
      </c>
      <c r="T28" t="s">
        <v>345</v>
      </c>
      <c r="U28" t="s">
        <v>345</v>
      </c>
    </row>
    <row r="29" spans="1:21">
      <c r="A29" t="s">
        <v>18</v>
      </c>
      <c r="B29">
        <v>1580</v>
      </c>
      <c r="C29">
        <v>2499</v>
      </c>
      <c r="D29">
        <v>0.37</v>
      </c>
      <c r="E29">
        <v>7</v>
      </c>
      <c r="F29">
        <v>4.7</v>
      </c>
      <c r="I29" t="s">
        <v>340</v>
      </c>
      <c r="L29" t="s">
        <v>340</v>
      </c>
      <c r="M29">
        <v>919</v>
      </c>
      <c r="N29" t="s">
        <v>346</v>
      </c>
      <c r="O29" t="s">
        <v>347</v>
      </c>
      <c r="P29" t="s">
        <v>349</v>
      </c>
      <c r="Q29" t="s">
        <v>352</v>
      </c>
      <c r="R29" t="s">
        <v>345</v>
      </c>
      <c r="S29" t="s">
        <v>345</v>
      </c>
      <c r="T29" t="s">
        <v>345</v>
      </c>
      <c r="U29" t="s">
        <v>345</v>
      </c>
    </row>
    <row r="30" spans="1:21">
      <c r="A30" t="s">
        <v>86</v>
      </c>
      <c r="B30">
        <v>2048</v>
      </c>
      <c r="C30">
        <v>4500</v>
      </c>
      <c r="D30">
        <v>0.54</v>
      </c>
      <c r="E30">
        <v>7</v>
      </c>
      <c r="F30">
        <v>4.3</v>
      </c>
      <c r="I30" t="s">
        <v>340</v>
      </c>
      <c r="L30" t="s">
        <v>340</v>
      </c>
      <c r="M30">
        <v>2452</v>
      </c>
      <c r="N30" t="s">
        <v>350</v>
      </c>
      <c r="O30" t="s">
        <v>342</v>
      </c>
      <c r="P30" t="s">
        <v>348</v>
      </c>
      <c r="Q30" t="s">
        <v>352</v>
      </c>
      <c r="R30" t="s">
        <v>345</v>
      </c>
      <c r="S30" t="s">
        <v>344</v>
      </c>
      <c r="T30" t="s">
        <v>345</v>
      </c>
      <c r="U30" t="s">
        <v>345</v>
      </c>
    </row>
    <row r="31" spans="1:21">
      <c r="A31" t="s">
        <v>210</v>
      </c>
      <c r="B31">
        <v>1000</v>
      </c>
      <c r="C31">
        <v>2000</v>
      </c>
      <c r="D31">
        <v>0.5</v>
      </c>
      <c r="E31">
        <v>7</v>
      </c>
      <c r="F31">
        <v>2.2999999999999998</v>
      </c>
      <c r="I31" t="s">
        <v>340</v>
      </c>
      <c r="L31" t="s">
        <v>340</v>
      </c>
      <c r="M31">
        <v>1000</v>
      </c>
      <c r="N31" t="s">
        <v>341</v>
      </c>
      <c r="O31" t="s">
        <v>342</v>
      </c>
      <c r="P31" t="s">
        <v>349</v>
      </c>
      <c r="Q31" t="s">
        <v>352</v>
      </c>
      <c r="R31" t="s">
        <v>344</v>
      </c>
      <c r="S31" t="s">
        <v>344</v>
      </c>
      <c r="T31" t="s">
        <v>345</v>
      </c>
      <c r="U31" t="s">
        <v>345</v>
      </c>
    </row>
    <row r="32" spans="1:21">
      <c r="A32" t="s">
        <v>230</v>
      </c>
      <c r="B32">
        <v>1570</v>
      </c>
      <c r="C32">
        <v>2988</v>
      </c>
      <c r="D32">
        <v>0.47</v>
      </c>
      <c r="E32">
        <v>7</v>
      </c>
      <c r="F32">
        <v>2.1</v>
      </c>
      <c r="I32" t="s">
        <v>340</v>
      </c>
      <c r="L32" t="s">
        <v>340</v>
      </c>
      <c r="M32">
        <v>1418</v>
      </c>
      <c r="N32" t="s">
        <v>341</v>
      </c>
      <c r="O32" t="s">
        <v>342</v>
      </c>
      <c r="P32" t="s">
        <v>349</v>
      </c>
      <c r="Q32" t="s">
        <v>352</v>
      </c>
      <c r="R32" t="s">
        <v>344</v>
      </c>
      <c r="S32" t="s">
        <v>344</v>
      </c>
      <c r="T32" t="s">
        <v>345</v>
      </c>
      <c r="U32" t="s">
        <v>345</v>
      </c>
    </row>
    <row r="33" spans="1:21">
      <c r="A33" t="s">
        <v>50</v>
      </c>
      <c r="B33">
        <v>501</v>
      </c>
      <c r="C33">
        <v>860</v>
      </c>
      <c r="D33">
        <v>0.42</v>
      </c>
      <c r="E33">
        <v>6</v>
      </c>
      <c r="F33">
        <v>4.5</v>
      </c>
      <c r="I33" t="s">
        <v>340</v>
      </c>
      <c r="L33" t="s">
        <v>340</v>
      </c>
      <c r="M33">
        <v>359</v>
      </c>
      <c r="N33" t="s">
        <v>350</v>
      </c>
      <c r="O33" t="s">
        <v>342</v>
      </c>
      <c r="P33" t="s">
        <v>349</v>
      </c>
      <c r="Q33" t="s">
        <v>352</v>
      </c>
      <c r="R33" t="s">
        <v>345</v>
      </c>
      <c r="S33" t="s">
        <v>344</v>
      </c>
      <c r="T33" t="s">
        <v>345</v>
      </c>
      <c r="U33" t="s">
        <v>345</v>
      </c>
    </row>
    <row r="34" spans="1:21">
      <c r="A34" t="s">
        <v>79</v>
      </c>
      <c r="B34">
        <v>880</v>
      </c>
      <c r="C34">
        <v>1350</v>
      </c>
      <c r="D34">
        <v>0.35</v>
      </c>
      <c r="E34">
        <v>6</v>
      </c>
      <c r="F34">
        <v>4</v>
      </c>
      <c r="I34" t="s">
        <v>340</v>
      </c>
      <c r="L34" t="s">
        <v>340</v>
      </c>
      <c r="M34">
        <v>470</v>
      </c>
      <c r="N34" t="s">
        <v>350</v>
      </c>
      <c r="O34" t="s">
        <v>347</v>
      </c>
      <c r="P34" t="s">
        <v>349</v>
      </c>
      <c r="Q34" t="s">
        <v>352</v>
      </c>
      <c r="R34" t="s">
        <v>345</v>
      </c>
      <c r="S34" t="s">
        <v>345</v>
      </c>
      <c r="T34" t="s">
        <v>345</v>
      </c>
      <c r="U34" t="s">
        <v>345</v>
      </c>
    </row>
    <row r="35" spans="1:21">
      <c r="A35" t="s">
        <v>183</v>
      </c>
      <c r="B35">
        <v>2170</v>
      </c>
      <c r="C35">
        <v>2500</v>
      </c>
      <c r="D35">
        <v>0.13</v>
      </c>
      <c r="E35">
        <v>6</v>
      </c>
      <c r="F35">
        <v>2.5</v>
      </c>
      <c r="I35" t="s">
        <v>340</v>
      </c>
      <c r="L35" t="s">
        <v>340</v>
      </c>
      <c r="M35">
        <v>330</v>
      </c>
      <c r="N35" t="s">
        <v>341</v>
      </c>
      <c r="O35" t="s">
        <v>351</v>
      </c>
      <c r="P35" t="s">
        <v>348</v>
      </c>
      <c r="Q35" t="s">
        <v>352</v>
      </c>
      <c r="R35" t="s">
        <v>345</v>
      </c>
      <c r="S35" t="s">
        <v>345</v>
      </c>
      <c r="T35" t="s">
        <v>345</v>
      </c>
      <c r="U35" t="s">
        <v>345</v>
      </c>
    </row>
    <row r="36" spans="1:21">
      <c r="A36" t="s">
        <v>207</v>
      </c>
      <c r="B36">
        <v>990</v>
      </c>
      <c r="C36">
        <v>1814</v>
      </c>
      <c r="D36">
        <v>0.45</v>
      </c>
      <c r="E36">
        <v>6</v>
      </c>
      <c r="F36">
        <v>2.2000000000000002</v>
      </c>
      <c r="I36" t="s">
        <v>340</v>
      </c>
      <c r="L36" t="s">
        <v>340</v>
      </c>
      <c r="M36">
        <v>824</v>
      </c>
      <c r="N36" t="s">
        <v>341</v>
      </c>
      <c r="O36" t="s">
        <v>342</v>
      </c>
      <c r="P36" t="s">
        <v>349</v>
      </c>
      <c r="Q36" t="s">
        <v>352</v>
      </c>
      <c r="R36" t="s">
        <v>344</v>
      </c>
      <c r="S36" t="s">
        <v>344</v>
      </c>
      <c r="T36" t="s">
        <v>345</v>
      </c>
      <c r="U36" t="s">
        <v>345</v>
      </c>
    </row>
    <row r="37" spans="1:21">
      <c r="A37" t="s">
        <v>222</v>
      </c>
      <c r="B37">
        <v>345</v>
      </c>
      <c r="C37">
        <v>602</v>
      </c>
      <c r="D37">
        <v>0.43</v>
      </c>
      <c r="E37">
        <v>6</v>
      </c>
      <c r="F37">
        <v>2.2999999999999998</v>
      </c>
      <c r="I37" t="s">
        <v>340</v>
      </c>
      <c r="L37" t="s">
        <v>340</v>
      </c>
      <c r="M37">
        <v>257</v>
      </c>
      <c r="N37" t="s">
        <v>341</v>
      </c>
      <c r="O37" t="s">
        <v>342</v>
      </c>
      <c r="P37" t="s">
        <v>343</v>
      </c>
      <c r="Q37" t="s">
        <v>352</v>
      </c>
      <c r="R37" t="s">
        <v>344</v>
      </c>
      <c r="S37" t="s">
        <v>344</v>
      </c>
      <c r="T37" t="s">
        <v>345</v>
      </c>
      <c r="U37" t="s">
        <v>345</v>
      </c>
    </row>
    <row r="38" spans="1:21">
      <c r="A38" t="s">
        <v>228</v>
      </c>
      <c r="B38">
        <v>968</v>
      </c>
      <c r="C38">
        <v>1814</v>
      </c>
      <c r="D38">
        <v>0.47</v>
      </c>
      <c r="E38">
        <v>6</v>
      </c>
      <c r="F38">
        <v>2.2000000000000002</v>
      </c>
      <c r="I38" t="s">
        <v>340</v>
      </c>
      <c r="L38" t="s">
        <v>340</v>
      </c>
      <c r="M38">
        <v>846</v>
      </c>
      <c r="N38" t="s">
        <v>341</v>
      </c>
      <c r="O38" t="s">
        <v>342</v>
      </c>
      <c r="P38" t="s">
        <v>349</v>
      </c>
      <c r="Q38" t="s">
        <v>352</v>
      </c>
      <c r="R38" t="s">
        <v>344</v>
      </c>
      <c r="S38" t="s">
        <v>344</v>
      </c>
      <c r="T38" t="s">
        <v>345</v>
      </c>
      <c r="U38" t="s">
        <v>345</v>
      </c>
    </row>
    <row r="39" spans="1:21">
      <c r="A39" t="s">
        <v>22</v>
      </c>
      <c r="B39">
        <v>1740</v>
      </c>
      <c r="C39">
        <v>2356</v>
      </c>
      <c r="D39">
        <v>0.26</v>
      </c>
      <c r="E39">
        <v>5</v>
      </c>
      <c r="F39">
        <v>4.8</v>
      </c>
      <c r="I39" t="s">
        <v>340</v>
      </c>
      <c r="L39" t="s">
        <v>340</v>
      </c>
      <c r="M39">
        <v>616</v>
      </c>
      <c r="N39" t="s">
        <v>346</v>
      </c>
      <c r="O39" t="s">
        <v>347</v>
      </c>
      <c r="P39" t="s">
        <v>348</v>
      </c>
      <c r="Q39" t="s">
        <v>352</v>
      </c>
      <c r="R39" t="s">
        <v>345</v>
      </c>
      <c r="S39" t="s">
        <v>345</v>
      </c>
      <c r="T39" t="s">
        <v>345</v>
      </c>
      <c r="U39" t="s">
        <v>345</v>
      </c>
    </row>
    <row r="40" spans="1:21">
      <c r="A40" t="s">
        <v>35</v>
      </c>
      <c r="B40">
        <v>1274</v>
      </c>
      <c r="C40">
        <v>2800</v>
      </c>
      <c r="D40">
        <v>0.55000000000000004</v>
      </c>
      <c r="E40">
        <v>5</v>
      </c>
      <c r="F40">
        <v>4.8</v>
      </c>
      <c r="I40" t="s">
        <v>340</v>
      </c>
      <c r="L40" t="s">
        <v>340</v>
      </c>
      <c r="M40">
        <v>1526</v>
      </c>
      <c r="N40" t="s">
        <v>346</v>
      </c>
      <c r="O40" t="s">
        <v>342</v>
      </c>
      <c r="P40" t="s">
        <v>349</v>
      </c>
      <c r="Q40" t="s">
        <v>352</v>
      </c>
      <c r="R40" t="s">
        <v>345</v>
      </c>
      <c r="S40" t="s">
        <v>344</v>
      </c>
      <c r="T40" t="s">
        <v>345</v>
      </c>
      <c r="U40" t="s">
        <v>345</v>
      </c>
    </row>
    <row r="41" spans="1:21">
      <c r="A41" t="s">
        <v>38</v>
      </c>
      <c r="B41">
        <v>1600</v>
      </c>
      <c r="C41">
        <v>2929</v>
      </c>
      <c r="D41">
        <v>0.45</v>
      </c>
      <c r="E41">
        <v>5</v>
      </c>
      <c r="F41">
        <v>3.8</v>
      </c>
      <c r="I41" t="s">
        <v>340</v>
      </c>
      <c r="L41" t="s">
        <v>340</v>
      </c>
      <c r="M41">
        <v>1329</v>
      </c>
      <c r="N41" t="s">
        <v>350</v>
      </c>
      <c r="O41" t="s">
        <v>342</v>
      </c>
      <c r="P41" t="s">
        <v>349</v>
      </c>
      <c r="Q41" t="s">
        <v>352</v>
      </c>
      <c r="R41" t="s">
        <v>345</v>
      </c>
      <c r="S41" t="s">
        <v>344</v>
      </c>
      <c r="T41" t="s">
        <v>345</v>
      </c>
      <c r="U41" t="s">
        <v>345</v>
      </c>
    </row>
    <row r="42" spans="1:21">
      <c r="A42" t="s">
        <v>66</v>
      </c>
      <c r="B42">
        <v>2999</v>
      </c>
      <c r="C42">
        <v>3699</v>
      </c>
      <c r="D42">
        <v>0.19</v>
      </c>
      <c r="E42">
        <v>5</v>
      </c>
      <c r="F42">
        <v>4.5999999999999996</v>
      </c>
      <c r="I42" t="s">
        <v>340</v>
      </c>
      <c r="L42" t="s">
        <v>340</v>
      </c>
      <c r="M42">
        <v>700</v>
      </c>
      <c r="N42" t="s">
        <v>346</v>
      </c>
      <c r="O42" t="s">
        <v>351</v>
      </c>
      <c r="P42" t="s">
        <v>348</v>
      </c>
      <c r="Q42" t="s">
        <v>352</v>
      </c>
      <c r="R42" t="s">
        <v>345</v>
      </c>
      <c r="S42" t="s">
        <v>345</v>
      </c>
      <c r="T42" t="s">
        <v>345</v>
      </c>
      <c r="U42" t="s">
        <v>345</v>
      </c>
    </row>
    <row r="43" spans="1:21">
      <c r="A43" t="s">
        <v>213</v>
      </c>
      <c r="B43">
        <v>3750</v>
      </c>
      <c r="C43">
        <v>6143</v>
      </c>
      <c r="D43">
        <v>0.39</v>
      </c>
      <c r="E43">
        <v>5</v>
      </c>
      <c r="F43">
        <v>3</v>
      </c>
      <c r="I43" t="s">
        <v>340</v>
      </c>
      <c r="L43" t="s">
        <v>340</v>
      </c>
      <c r="M43">
        <v>2393</v>
      </c>
      <c r="N43" t="s">
        <v>350</v>
      </c>
      <c r="O43" t="s">
        <v>347</v>
      </c>
      <c r="P43" t="s">
        <v>348</v>
      </c>
      <c r="Q43" t="s">
        <v>352</v>
      </c>
      <c r="R43" t="s">
        <v>345</v>
      </c>
      <c r="S43" t="s">
        <v>345</v>
      </c>
      <c r="T43" t="s">
        <v>345</v>
      </c>
      <c r="U43" t="s">
        <v>345</v>
      </c>
    </row>
    <row r="44" spans="1:21">
      <c r="A44" t="s">
        <v>219</v>
      </c>
      <c r="B44">
        <v>2300</v>
      </c>
      <c r="C44">
        <v>3240</v>
      </c>
      <c r="D44">
        <v>0.28999999999999998</v>
      </c>
      <c r="E44">
        <v>5</v>
      </c>
      <c r="F44">
        <v>3</v>
      </c>
      <c r="I44" t="s">
        <v>340</v>
      </c>
      <c r="L44" t="s">
        <v>340</v>
      </c>
      <c r="M44">
        <v>940</v>
      </c>
      <c r="N44" t="s">
        <v>350</v>
      </c>
      <c r="O44" t="s">
        <v>347</v>
      </c>
      <c r="P44" t="s">
        <v>348</v>
      </c>
      <c r="Q44" t="s">
        <v>352</v>
      </c>
      <c r="R44" t="s">
        <v>345</v>
      </c>
      <c r="S44" t="s">
        <v>345</v>
      </c>
      <c r="T44" t="s">
        <v>345</v>
      </c>
      <c r="U44" t="s">
        <v>345</v>
      </c>
    </row>
    <row r="45" spans="1:21">
      <c r="A45" t="s">
        <v>225</v>
      </c>
      <c r="B45">
        <v>509</v>
      </c>
      <c r="C45">
        <v>899</v>
      </c>
      <c r="D45">
        <v>0.43</v>
      </c>
      <c r="E45">
        <v>5</v>
      </c>
      <c r="F45">
        <v>3</v>
      </c>
      <c r="I45" t="s">
        <v>340</v>
      </c>
      <c r="L45" t="s">
        <v>340</v>
      </c>
      <c r="M45">
        <v>390</v>
      </c>
      <c r="N45" t="s">
        <v>350</v>
      </c>
      <c r="O45" t="s">
        <v>342</v>
      </c>
      <c r="P45" t="s">
        <v>349</v>
      </c>
      <c r="Q45" t="s">
        <v>352</v>
      </c>
      <c r="R45" t="s">
        <v>345</v>
      </c>
      <c r="S45" t="s">
        <v>344</v>
      </c>
      <c r="T45" t="s">
        <v>345</v>
      </c>
      <c r="U45" t="s">
        <v>345</v>
      </c>
    </row>
    <row r="46" spans="1:21">
      <c r="A46" t="s">
        <v>63</v>
      </c>
      <c r="B46">
        <v>2025</v>
      </c>
      <c r="C46">
        <v>3971</v>
      </c>
      <c r="D46">
        <v>0.49</v>
      </c>
      <c r="E46">
        <v>3</v>
      </c>
      <c r="F46">
        <v>5</v>
      </c>
      <c r="I46" t="s">
        <v>340</v>
      </c>
      <c r="L46" t="s">
        <v>340</v>
      </c>
      <c r="M46">
        <v>1946</v>
      </c>
      <c r="N46" t="s">
        <v>346</v>
      </c>
      <c r="O46" t="s">
        <v>342</v>
      </c>
      <c r="P46" t="s">
        <v>348</v>
      </c>
      <c r="Q46" t="s">
        <v>352</v>
      </c>
      <c r="R46" t="s">
        <v>345</v>
      </c>
      <c r="S46" t="s">
        <v>344</v>
      </c>
      <c r="T46" t="s">
        <v>345</v>
      </c>
      <c r="U46" t="s">
        <v>345</v>
      </c>
    </row>
    <row r="47" spans="1:21">
      <c r="A47" t="s">
        <v>6</v>
      </c>
      <c r="B47">
        <v>950</v>
      </c>
      <c r="C47">
        <v>1525</v>
      </c>
      <c r="D47">
        <v>0.38</v>
      </c>
      <c r="E47">
        <v>2</v>
      </c>
      <c r="F47">
        <v>4.5</v>
      </c>
      <c r="I47" t="s">
        <v>340</v>
      </c>
      <c r="L47" t="s">
        <v>340</v>
      </c>
      <c r="M47">
        <v>575</v>
      </c>
      <c r="N47" t="s">
        <v>350</v>
      </c>
      <c r="O47" t="s">
        <v>347</v>
      </c>
      <c r="P47" t="s">
        <v>349</v>
      </c>
      <c r="Q47" t="s">
        <v>352</v>
      </c>
      <c r="R47" t="s">
        <v>345</v>
      </c>
      <c r="S47" t="s">
        <v>345</v>
      </c>
      <c r="T47" t="s">
        <v>345</v>
      </c>
      <c r="U47" t="s">
        <v>345</v>
      </c>
    </row>
    <row r="48" spans="1:21">
      <c r="A48" t="s">
        <v>33</v>
      </c>
      <c r="B48">
        <v>988</v>
      </c>
      <c r="C48">
        <v>1580</v>
      </c>
      <c r="D48">
        <v>0.37</v>
      </c>
      <c r="E48">
        <v>2</v>
      </c>
      <c r="F48">
        <v>4</v>
      </c>
      <c r="I48" t="s">
        <v>340</v>
      </c>
      <c r="L48" t="s">
        <v>340</v>
      </c>
      <c r="M48">
        <v>592</v>
      </c>
      <c r="N48" t="s">
        <v>350</v>
      </c>
      <c r="O48" t="s">
        <v>347</v>
      </c>
      <c r="P48" t="s">
        <v>349</v>
      </c>
      <c r="Q48" t="s">
        <v>352</v>
      </c>
      <c r="R48" t="s">
        <v>345</v>
      </c>
      <c r="S48" t="s">
        <v>345</v>
      </c>
      <c r="T48" t="s">
        <v>345</v>
      </c>
      <c r="U48" t="s">
        <v>345</v>
      </c>
    </row>
    <row r="49" spans="1:21">
      <c r="A49" t="s">
        <v>56</v>
      </c>
      <c r="B49">
        <v>332</v>
      </c>
      <c r="C49">
        <v>684</v>
      </c>
      <c r="D49">
        <v>0.51</v>
      </c>
      <c r="E49">
        <v>2</v>
      </c>
      <c r="F49">
        <v>5</v>
      </c>
      <c r="I49" t="s">
        <v>340</v>
      </c>
      <c r="L49" t="s">
        <v>340</v>
      </c>
      <c r="M49">
        <v>352</v>
      </c>
      <c r="N49" t="s">
        <v>346</v>
      </c>
      <c r="O49" t="s">
        <v>342</v>
      </c>
      <c r="P49" t="s">
        <v>343</v>
      </c>
      <c r="Q49" t="s">
        <v>352</v>
      </c>
      <c r="R49" t="s">
        <v>345</v>
      </c>
      <c r="S49" t="s">
        <v>344</v>
      </c>
      <c r="T49" t="s">
        <v>345</v>
      </c>
      <c r="U49" t="s">
        <v>345</v>
      </c>
    </row>
    <row r="50" spans="1:21">
      <c r="A50" t="s">
        <v>60</v>
      </c>
      <c r="B50">
        <v>195</v>
      </c>
      <c r="C50">
        <v>360</v>
      </c>
      <c r="D50">
        <v>0.46</v>
      </c>
      <c r="E50">
        <v>2</v>
      </c>
      <c r="F50">
        <v>5</v>
      </c>
      <c r="I50" t="s">
        <v>340</v>
      </c>
      <c r="L50" t="s">
        <v>340</v>
      </c>
      <c r="M50">
        <v>165</v>
      </c>
      <c r="N50" t="s">
        <v>346</v>
      </c>
      <c r="O50" t="s">
        <v>342</v>
      </c>
      <c r="P50" t="s">
        <v>343</v>
      </c>
      <c r="Q50" t="s">
        <v>352</v>
      </c>
      <c r="R50" t="s">
        <v>345</v>
      </c>
      <c r="S50" t="s">
        <v>344</v>
      </c>
      <c r="T50" t="s">
        <v>345</v>
      </c>
      <c r="U50" t="s">
        <v>345</v>
      </c>
    </row>
    <row r="51" spans="1:21">
      <c r="A51" t="s">
        <v>121</v>
      </c>
      <c r="B51">
        <v>171</v>
      </c>
      <c r="C51">
        <v>360</v>
      </c>
      <c r="D51">
        <v>0.53</v>
      </c>
      <c r="E51">
        <v>2</v>
      </c>
      <c r="F51">
        <v>5</v>
      </c>
      <c r="I51" t="s">
        <v>340</v>
      </c>
      <c r="L51" t="s">
        <v>340</v>
      </c>
      <c r="M51">
        <v>189</v>
      </c>
      <c r="N51" t="s">
        <v>346</v>
      </c>
      <c r="O51" t="s">
        <v>342</v>
      </c>
      <c r="P51" t="s">
        <v>343</v>
      </c>
      <c r="Q51" t="s">
        <v>352</v>
      </c>
      <c r="R51" t="s">
        <v>345</v>
      </c>
      <c r="S51" t="s">
        <v>344</v>
      </c>
      <c r="T51" t="s">
        <v>345</v>
      </c>
      <c r="U51" t="s">
        <v>345</v>
      </c>
    </row>
    <row r="52" spans="1:21">
      <c r="A52" t="s">
        <v>118</v>
      </c>
      <c r="B52">
        <v>1620</v>
      </c>
      <c r="C52">
        <v>2690</v>
      </c>
      <c r="D52">
        <v>0.4</v>
      </c>
      <c r="E52">
        <v>1</v>
      </c>
      <c r="F52">
        <v>5</v>
      </c>
      <c r="I52" t="s">
        <v>340</v>
      </c>
      <c r="L52" t="s">
        <v>340</v>
      </c>
      <c r="M52">
        <v>1070</v>
      </c>
      <c r="N52" t="s">
        <v>346</v>
      </c>
      <c r="O52" t="s">
        <v>347</v>
      </c>
      <c r="P52" t="s">
        <v>349</v>
      </c>
      <c r="Q52" t="s">
        <v>352</v>
      </c>
      <c r="R52" t="s">
        <v>345</v>
      </c>
      <c r="S52" t="s">
        <v>345</v>
      </c>
      <c r="T52" t="s">
        <v>345</v>
      </c>
      <c r="U52" t="s">
        <v>345</v>
      </c>
    </row>
    <row r="53" spans="1:21">
      <c r="A53" t="s">
        <v>244</v>
      </c>
      <c r="B53">
        <v>1189</v>
      </c>
      <c r="C53">
        <v>2199</v>
      </c>
      <c r="D53">
        <v>0.46</v>
      </c>
      <c r="E53">
        <v>1</v>
      </c>
      <c r="F53">
        <v>3</v>
      </c>
      <c r="I53" t="s">
        <v>340</v>
      </c>
      <c r="L53" t="s">
        <v>340</v>
      </c>
      <c r="M53">
        <v>1010</v>
      </c>
      <c r="N53" t="s">
        <v>350</v>
      </c>
      <c r="O53" t="s">
        <v>342</v>
      </c>
      <c r="P53" t="s">
        <v>349</v>
      </c>
      <c r="Q53" t="s">
        <v>352</v>
      </c>
      <c r="R53" t="s">
        <v>345</v>
      </c>
      <c r="S53" t="s">
        <v>344</v>
      </c>
      <c r="T53" t="s">
        <v>345</v>
      </c>
      <c r="U53" t="s">
        <v>345</v>
      </c>
    </row>
    <row r="54" spans="1:21">
      <c r="A54" t="s">
        <v>246</v>
      </c>
      <c r="B54">
        <v>979</v>
      </c>
      <c r="C54">
        <v>1920</v>
      </c>
      <c r="D54">
        <v>0.49</v>
      </c>
      <c r="E54">
        <v>1</v>
      </c>
      <c r="F54">
        <v>5</v>
      </c>
      <c r="I54" t="s">
        <v>340</v>
      </c>
      <c r="L54" t="s">
        <v>340</v>
      </c>
      <c r="M54">
        <v>941</v>
      </c>
      <c r="N54" t="s">
        <v>346</v>
      </c>
      <c r="O54" t="s">
        <v>342</v>
      </c>
      <c r="P54" t="s">
        <v>349</v>
      </c>
      <c r="Q54" t="s">
        <v>352</v>
      </c>
      <c r="R54" t="s">
        <v>345</v>
      </c>
      <c r="S54" t="s">
        <v>344</v>
      </c>
      <c r="T54" t="s">
        <v>345</v>
      </c>
      <c r="U54" t="s">
        <v>345</v>
      </c>
    </row>
    <row r="55" spans="1:21">
      <c r="A55" t="s">
        <v>254</v>
      </c>
      <c r="B55">
        <v>330</v>
      </c>
      <c r="C55">
        <v>647</v>
      </c>
      <c r="D55">
        <v>0.49</v>
      </c>
      <c r="E55">
        <v>1</v>
      </c>
      <c r="F55">
        <v>4</v>
      </c>
      <c r="I55" t="s">
        <v>340</v>
      </c>
      <c r="L55" t="s">
        <v>340</v>
      </c>
      <c r="M55">
        <v>317</v>
      </c>
      <c r="N55" t="s">
        <v>350</v>
      </c>
      <c r="O55" t="s">
        <v>342</v>
      </c>
      <c r="P55" t="s">
        <v>343</v>
      </c>
      <c r="Q55" t="s">
        <v>352</v>
      </c>
      <c r="R55" t="s">
        <v>345</v>
      </c>
      <c r="S55" t="s">
        <v>344</v>
      </c>
      <c r="T55" t="s">
        <v>345</v>
      </c>
      <c r="U55" t="s">
        <v>345</v>
      </c>
    </row>
    <row r="56" spans="1:21">
      <c r="A56" t="s">
        <v>296</v>
      </c>
      <c r="B56">
        <v>3640</v>
      </c>
      <c r="C56">
        <v>4588</v>
      </c>
      <c r="D56">
        <v>0.21</v>
      </c>
      <c r="E56">
        <v>1</v>
      </c>
      <c r="F56">
        <v>5</v>
      </c>
      <c r="I56" t="s">
        <v>340</v>
      </c>
      <c r="L56" t="s">
        <v>340</v>
      </c>
      <c r="M56">
        <v>948</v>
      </c>
      <c r="N56" t="s">
        <v>346</v>
      </c>
      <c r="O56" t="s">
        <v>347</v>
      </c>
      <c r="P56" t="s">
        <v>348</v>
      </c>
      <c r="Q56" t="s">
        <v>352</v>
      </c>
      <c r="R56" t="s">
        <v>345</v>
      </c>
      <c r="S56" t="s">
        <v>345</v>
      </c>
      <c r="T56" t="s">
        <v>345</v>
      </c>
      <c r="U56" t="s">
        <v>345</v>
      </c>
    </row>
    <row r="57" spans="1:21">
      <c r="A57" t="s">
        <v>319</v>
      </c>
      <c r="B57">
        <v>450</v>
      </c>
      <c r="C57">
        <v>900</v>
      </c>
      <c r="D57">
        <v>0.5</v>
      </c>
      <c r="E57">
        <v>1</v>
      </c>
      <c r="F57">
        <v>2</v>
      </c>
      <c r="I57" t="s">
        <v>340</v>
      </c>
      <c r="L57" t="s">
        <v>340</v>
      </c>
      <c r="M57">
        <v>450</v>
      </c>
      <c r="N57" t="s">
        <v>341</v>
      </c>
      <c r="O57" t="s">
        <v>342</v>
      </c>
      <c r="P57" t="s">
        <v>343</v>
      </c>
      <c r="Q57" t="s">
        <v>352</v>
      </c>
      <c r="R57" t="s">
        <v>344</v>
      </c>
      <c r="S57" t="s">
        <v>344</v>
      </c>
      <c r="T57" t="s">
        <v>345</v>
      </c>
      <c r="U57" t="s">
        <v>345</v>
      </c>
    </row>
    <row r="58" spans="1:21">
      <c r="A58" t="s">
        <v>75</v>
      </c>
      <c r="B58">
        <v>1860</v>
      </c>
      <c r="C58">
        <v>3220</v>
      </c>
      <c r="D58">
        <v>0.42</v>
      </c>
      <c r="L58" t="s">
        <v>340</v>
      </c>
      <c r="M58">
        <v>1360</v>
      </c>
      <c r="N58" t="s">
        <v>353</v>
      </c>
      <c r="O58" t="s">
        <v>342</v>
      </c>
      <c r="P58" t="s">
        <v>348</v>
      </c>
      <c r="Q58" t="s">
        <v>353</v>
      </c>
      <c r="R58" t="s">
        <v>353</v>
      </c>
      <c r="S58" t="s">
        <v>353</v>
      </c>
      <c r="T58" t="s">
        <v>353</v>
      </c>
      <c r="U58" t="s">
        <v>353</v>
      </c>
    </row>
    <row r="59" spans="1:21">
      <c r="A59" t="s">
        <v>100</v>
      </c>
      <c r="B59">
        <v>2200</v>
      </c>
      <c r="C59">
        <v>4080</v>
      </c>
      <c r="D59">
        <v>0.46</v>
      </c>
      <c r="L59" t="s">
        <v>340</v>
      </c>
      <c r="M59">
        <v>1880</v>
      </c>
      <c r="N59" t="s">
        <v>353</v>
      </c>
      <c r="O59" t="s">
        <v>342</v>
      </c>
      <c r="P59" t="s">
        <v>348</v>
      </c>
      <c r="Q59" t="s">
        <v>353</v>
      </c>
      <c r="R59" t="s">
        <v>353</v>
      </c>
      <c r="S59" t="s">
        <v>353</v>
      </c>
      <c r="T59" t="s">
        <v>353</v>
      </c>
      <c r="U59" t="s">
        <v>353</v>
      </c>
    </row>
    <row r="60" spans="1:21">
      <c r="A60" t="s">
        <v>129</v>
      </c>
      <c r="B60">
        <v>2750</v>
      </c>
      <c r="C60">
        <v>4471</v>
      </c>
      <c r="D60">
        <v>0.38</v>
      </c>
      <c r="L60" t="s">
        <v>340</v>
      </c>
      <c r="M60">
        <v>1721</v>
      </c>
      <c r="N60" t="s">
        <v>353</v>
      </c>
      <c r="O60" t="s">
        <v>347</v>
      </c>
      <c r="P60" t="s">
        <v>348</v>
      </c>
      <c r="Q60" t="s">
        <v>353</v>
      </c>
      <c r="R60" t="s">
        <v>353</v>
      </c>
      <c r="S60" t="s">
        <v>353</v>
      </c>
      <c r="T60" t="s">
        <v>353</v>
      </c>
      <c r="U60" t="s">
        <v>353</v>
      </c>
    </row>
    <row r="61" spans="1:21">
      <c r="A61" t="s">
        <v>132</v>
      </c>
      <c r="B61">
        <v>475</v>
      </c>
      <c r="C61">
        <v>931</v>
      </c>
      <c r="D61">
        <v>0.49</v>
      </c>
      <c r="L61" t="s">
        <v>340</v>
      </c>
      <c r="M61">
        <v>456</v>
      </c>
      <c r="N61" t="s">
        <v>353</v>
      </c>
      <c r="O61" t="s">
        <v>342</v>
      </c>
      <c r="P61" t="s">
        <v>343</v>
      </c>
      <c r="Q61" t="s">
        <v>353</v>
      </c>
      <c r="R61" t="s">
        <v>353</v>
      </c>
      <c r="S61" t="s">
        <v>353</v>
      </c>
      <c r="T61" t="s">
        <v>353</v>
      </c>
      <c r="U61" t="s">
        <v>353</v>
      </c>
    </row>
    <row r="62" spans="1:21">
      <c r="A62" t="s">
        <v>135</v>
      </c>
      <c r="B62">
        <v>238</v>
      </c>
      <c r="C62">
        <v>476</v>
      </c>
      <c r="D62">
        <v>0.5</v>
      </c>
      <c r="L62" t="s">
        <v>340</v>
      </c>
      <c r="M62">
        <v>238</v>
      </c>
      <c r="N62" t="s">
        <v>353</v>
      </c>
      <c r="O62" t="s">
        <v>342</v>
      </c>
      <c r="P62" t="s">
        <v>343</v>
      </c>
      <c r="Q62" t="s">
        <v>353</v>
      </c>
      <c r="R62" t="s">
        <v>353</v>
      </c>
      <c r="S62" t="s">
        <v>353</v>
      </c>
      <c r="T62" t="s">
        <v>353</v>
      </c>
      <c r="U62" t="s">
        <v>353</v>
      </c>
    </row>
    <row r="63" spans="1:21">
      <c r="A63" t="s">
        <v>138</v>
      </c>
      <c r="B63">
        <v>610</v>
      </c>
      <c r="C63">
        <v>1060</v>
      </c>
      <c r="D63">
        <v>0.42</v>
      </c>
      <c r="L63" t="s">
        <v>340</v>
      </c>
      <c r="M63">
        <v>450</v>
      </c>
      <c r="N63" t="s">
        <v>353</v>
      </c>
      <c r="O63" t="s">
        <v>342</v>
      </c>
      <c r="P63" t="s">
        <v>349</v>
      </c>
      <c r="Q63" t="s">
        <v>353</v>
      </c>
      <c r="R63" t="s">
        <v>353</v>
      </c>
      <c r="S63" t="s">
        <v>353</v>
      </c>
      <c r="T63" t="s">
        <v>353</v>
      </c>
      <c r="U63" t="s">
        <v>353</v>
      </c>
    </row>
    <row r="64" spans="1:21">
      <c r="A64" t="s">
        <v>141</v>
      </c>
      <c r="B64">
        <v>2132</v>
      </c>
      <c r="C64">
        <v>2169</v>
      </c>
      <c r="D64">
        <v>0.02</v>
      </c>
      <c r="L64" t="s">
        <v>340</v>
      </c>
      <c r="M64">
        <v>37</v>
      </c>
      <c r="N64" t="s">
        <v>353</v>
      </c>
      <c r="O64" t="s">
        <v>351</v>
      </c>
      <c r="P64" t="s">
        <v>348</v>
      </c>
      <c r="Q64" t="s">
        <v>353</v>
      </c>
      <c r="R64" t="s">
        <v>353</v>
      </c>
      <c r="S64" t="s">
        <v>353</v>
      </c>
      <c r="T64" t="s">
        <v>353</v>
      </c>
      <c r="U64" t="s">
        <v>353</v>
      </c>
    </row>
    <row r="65" spans="1:21">
      <c r="A65" t="s">
        <v>144</v>
      </c>
      <c r="B65">
        <v>999</v>
      </c>
      <c r="C65">
        <v>2000</v>
      </c>
      <c r="D65">
        <v>0.5</v>
      </c>
      <c r="L65" t="s">
        <v>340</v>
      </c>
      <c r="M65">
        <v>1001</v>
      </c>
      <c r="N65" t="s">
        <v>353</v>
      </c>
      <c r="O65" t="s">
        <v>342</v>
      </c>
      <c r="P65" t="s">
        <v>349</v>
      </c>
      <c r="Q65" t="s">
        <v>353</v>
      </c>
      <c r="R65" t="s">
        <v>353</v>
      </c>
      <c r="S65" t="s">
        <v>353</v>
      </c>
      <c r="T65" t="s">
        <v>353</v>
      </c>
      <c r="U65" t="s">
        <v>353</v>
      </c>
    </row>
    <row r="66" spans="1:21">
      <c r="A66" t="s">
        <v>146</v>
      </c>
      <c r="B66">
        <v>1190</v>
      </c>
      <c r="C66">
        <v>1785</v>
      </c>
      <c r="D66">
        <v>0.33</v>
      </c>
      <c r="L66" t="s">
        <v>340</v>
      </c>
      <c r="M66">
        <v>595</v>
      </c>
      <c r="N66" t="s">
        <v>353</v>
      </c>
      <c r="O66" t="s">
        <v>347</v>
      </c>
      <c r="P66" t="s">
        <v>349</v>
      </c>
      <c r="Q66" t="s">
        <v>353</v>
      </c>
      <c r="R66" t="s">
        <v>353</v>
      </c>
      <c r="S66" t="s">
        <v>353</v>
      </c>
      <c r="T66" t="s">
        <v>353</v>
      </c>
      <c r="U66" t="s">
        <v>353</v>
      </c>
    </row>
    <row r="67" spans="1:21">
      <c r="A67" t="s">
        <v>149</v>
      </c>
      <c r="B67">
        <v>671</v>
      </c>
      <c r="C67">
        <v>1316</v>
      </c>
      <c r="D67">
        <v>0.49</v>
      </c>
      <c r="L67" t="s">
        <v>340</v>
      </c>
      <c r="M67">
        <v>645</v>
      </c>
      <c r="N67" t="s">
        <v>353</v>
      </c>
      <c r="O67" t="s">
        <v>342</v>
      </c>
      <c r="P67" t="s">
        <v>349</v>
      </c>
      <c r="Q67" t="s">
        <v>353</v>
      </c>
      <c r="R67" t="s">
        <v>353</v>
      </c>
      <c r="S67" t="s">
        <v>353</v>
      </c>
      <c r="T67" t="s">
        <v>353</v>
      </c>
      <c r="U67" t="s">
        <v>353</v>
      </c>
    </row>
    <row r="68" spans="1:21">
      <c r="A68" t="s">
        <v>152</v>
      </c>
      <c r="B68">
        <v>1200</v>
      </c>
      <c r="C68">
        <v>1950</v>
      </c>
      <c r="D68">
        <v>0.38</v>
      </c>
      <c r="L68" t="s">
        <v>340</v>
      </c>
      <c r="M68">
        <v>750</v>
      </c>
      <c r="N68" t="s">
        <v>353</v>
      </c>
      <c r="O68" t="s">
        <v>347</v>
      </c>
      <c r="P68" t="s">
        <v>349</v>
      </c>
      <c r="Q68" t="s">
        <v>353</v>
      </c>
      <c r="R68" t="s">
        <v>353</v>
      </c>
      <c r="S68" t="s">
        <v>353</v>
      </c>
      <c r="T68" t="s">
        <v>353</v>
      </c>
      <c r="U68" t="s">
        <v>353</v>
      </c>
    </row>
    <row r="69" spans="1:21">
      <c r="A69" t="s">
        <v>155</v>
      </c>
      <c r="B69">
        <v>199</v>
      </c>
      <c r="C69">
        <v>504</v>
      </c>
      <c r="D69">
        <v>0.61</v>
      </c>
      <c r="L69" t="s">
        <v>340</v>
      </c>
      <c r="M69">
        <v>305</v>
      </c>
      <c r="N69" t="s">
        <v>353</v>
      </c>
      <c r="O69" t="s">
        <v>342</v>
      </c>
      <c r="P69" t="s">
        <v>343</v>
      </c>
      <c r="Q69" t="s">
        <v>353</v>
      </c>
      <c r="R69" t="s">
        <v>353</v>
      </c>
      <c r="S69" t="s">
        <v>353</v>
      </c>
      <c r="T69" t="s">
        <v>353</v>
      </c>
      <c r="U69" t="s">
        <v>353</v>
      </c>
    </row>
    <row r="70" spans="1:21">
      <c r="A70" t="s">
        <v>158</v>
      </c>
      <c r="B70">
        <v>299</v>
      </c>
      <c r="C70">
        <v>600</v>
      </c>
      <c r="D70">
        <v>0.5</v>
      </c>
      <c r="L70" t="s">
        <v>340</v>
      </c>
      <c r="M70">
        <v>301</v>
      </c>
      <c r="N70" t="s">
        <v>353</v>
      </c>
      <c r="O70" t="s">
        <v>342</v>
      </c>
      <c r="P70" t="s">
        <v>343</v>
      </c>
      <c r="Q70" t="s">
        <v>353</v>
      </c>
      <c r="R70" t="s">
        <v>353</v>
      </c>
      <c r="S70" t="s">
        <v>353</v>
      </c>
      <c r="T70" t="s">
        <v>353</v>
      </c>
      <c r="U70" t="s">
        <v>353</v>
      </c>
    </row>
    <row r="71" spans="1:21">
      <c r="A71" t="s">
        <v>161</v>
      </c>
      <c r="B71">
        <v>1660</v>
      </c>
      <c r="C71">
        <v>1699</v>
      </c>
      <c r="D71">
        <v>0.02</v>
      </c>
      <c r="L71" t="s">
        <v>340</v>
      </c>
      <c r="M71">
        <v>39</v>
      </c>
      <c r="N71" t="s">
        <v>353</v>
      </c>
      <c r="O71" t="s">
        <v>351</v>
      </c>
      <c r="P71" t="s">
        <v>349</v>
      </c>
      <c r="Q71" t="s">
        <v>353</v>
      </c>
      <c r="R71" t="s">
        <v>353</v>
      </c>
      <c r="S71" t="s">
        <v>353</v>
      </c>
      <c r="T71" t="s">
        <v>353</v>
      </c>
      <c r="U71" t="s">
        <v>353</v>
      </c>
    </row>
    <row r="72" spans="1:21">
      <c r="A72" t="s">
        <v>164</v>
      </c>
      <c r="B72">
        <v>299</v>
      </c>
      <c r="C72">
        <v>384</v>
      </c>
      <c r="D72">
        <v>0.22</v>
      </c>
      <c r="L72" t="s">
        <v>340</v>
      </c>
      <c r="M72">
        <v>85</v>
      </c>
      <c r="N72" t="s">
        <v>353</v>
      </c>
      <c r="O72" t="s">
        <v>347</v>
      </c>
      <c r="P72" t="s">
        <v>343</v>
      </c>
      <c r="Q72" t="s">
        <v>353</v>
      </c>
      <c r="R72" t="s">
        <v>353</v>
      </c>
      <c r="S72" t="s">
        <v>353</v>
      </c>
      <c r="T72" t="s">
        <v>353</v>
      </c>
      <c r="U72" t="s">
        <v>353</v>
      </c>
    </row>
    <row r="73" spans="1:21">
      <c r="A73" t="s">
        <v>166</v>
      </c>
      <c r="B73">
        <v>1459</v>
      </c>
      <c r="C73">
        <v>1499</v>
      </c>
      <c r="D73">
        <v>0.03</v>
      </c>
      <c r="L73" t="s">
        <v>340</v>
      </c>
      <c r="M73">
        <v>40</v>
      </c>
      <c r="N73" t="s">
        <v>353</v>
      </c>
      <c r="O73" t="s">
        <v>351</v>
      </c>
      <c r="P73" t="s">
        <v>349</v>
      </c>
      <c r="Q73" t="s">
        <v>353</v>
      </c>
      <c r="R73" t="s">
        <v>353</v>
      </c>
      <c r="S73" t="s">
        <v>353</v>
      </c>
      <c r="T73" t="s">
        <v>353</v>
      </c>
      <c r="U73" t="s">
        <v>353</v>
      </c>
    </row>
    <row r="74" spans="1:21">
      <c r="A74" t="s">
        <v>169</v>
      </c>
      <c r="B74">
        <v>799</v>
      </c>
      <c r="C74">
        <v>1343</v>
      </c>
      <c r="D74">
        <v>0.41</v>
      </c>
      <c r="L74" t="s">
        <v>340</v>
      </c>
      <c r="M74">
        <v>544</v>
      </c>
      <c r="N74" t="s">
        <v>353</v>
      </c>
      <c r="O74" t="s">
        <v>342</v>
      </c>
      <c r="P74" t="s">
        <v>349</v>
      </c>
      <c r="Q74" t="s">
        <v>353</v>
      </c>
      <c r="R74" t="s">
        <v>353</v>
      </c>
      <c r="S74" t="s">
        <v>353</v>
      </c>
      <c r="T74" t="s">
        <v>353</v>
      </c>
      <c r="U74" t="s">
        <v>353</v>
      </c>
    </row>
    <row r="75" spans="1:21">
      <c r="A75" t="s">
        <v>171</v>
      </c>
      <c r="B75">
        <v>499</v>
      </c>
      <c r="C75">
        <v>900</v>
      </c>
      <c r="D75">
        <v>0.45</v>
      </c>
      <c r="L75" t="s">
        <v>340</v>
      </c>
      <c r="M75">
        <v>401</v>
      </c>
      <c r="N75" t="s">
        <v>353</v>
      </c>
      <c r="O75" t="s">
        <v>342</v>
      </c>
      <c r="P75" t="s">
        <v>349</v>
      </c>
      <c r="Q75" t="s">
        <v>353</v>
      </c>
      <c r="R75" t="s">
        <v>353</v>
      </c>
      <c r="S75" t="s">
        <v>353</v>
      </c>
      <c r="T75" t="s">
        <v>353</v>
      </c>
      <c r="U75" t="s">
        <v>353</v>
      </c>
    </row>
    <row r="76" spans="1:21">
      <c r="A76" t="s">
        <v>174</v>
      </c>
      <c r="B76">
        <v>699</v>
      </c>
      <c r="C76">
        <v>1343</v>
      </c>
      <c r="D76">
        <v>0.48</v>
      </c>
      <c r="L76" t="s">
        <v>340</v>
      </c>
      <c r="M76">
        <v>644</v>
      </c>
      <c r="N76" t="s">
        <v>353</v>
      </c>
      <c r="O76" t="s">
        <v>342</v>
      </c>
      <c r="P76" t="s">
        <v>349</v>
      </c>
      <c r="Q76" t="s">
        <v>353</v>
      </c>
      <c r="R76" t="s">
        <v>353</v>
      </c>
      <c r="S76" t="s">
        <v>353</v>
      </c>
      <c r="T76" t="s">
        <v>353</v>
      </c>
      <c r="U76" t="s">
        <v>353</v>
      </c>
    </row>
    <row r="77" spans="1:21">
      <c r="A77" t="s">
        <v>176</v>
      </c>
      <c r="B77">
        <v>799</v>
      </c>
      <c r="C77">
        <v>1567</v>
      </c>
      <c r="D77">
        <v>0.49</v>
      </c>
      <c r="L77" t="s">
        <v>340</v>
      </c>
      <c r="M77">
        <v>768</v>
      </c>
      <c r="N77" t="s">
        <v>353</v>
      </c>
      <c r="O77" t="s">
        <v>342</v>
      </c>
      <c r="P77" t="s">
        <v>349</v>
      </c>
      <c r="Q77" t="s">
        <v>353</v>
      </c>
      <c r="R77" t="s">
        <v>353</v>
      </c>
      <c r="S77" t="s">
        <v>353</v>
      </c>
      <c r="T77" t="s">
        <v>353</v>
      </c>
      <c r="U77" t="s">
        <v>353</v>
      </c>
    </row>
    <row r="78" spans="1:21">
      <c r="A78" t="s">
        <v>178</v>
      </c>
      <c r="B78">
        <v>2799</v>
      </c>
      <c r="C78">
        <v>3810</v>
      </c>
      <c r="D78">
        <v>0.27</v>
      </c>
      <c r="L78" t="s">
        <v>340</v>
      </c>
      <c r="M78">
        <v>1011</v>
      </c>
      <c r="N78" t="s">
        <v>353</v>
      </c>
      <c r="O78" t="s">
        <v>347</v>
      </c>
      <c r="P78" t="s">
        <v>348</v>
      </c>
      <c r="Q78" t="s">
        <v>353</v>
      </c>
      <c r="R78" t="s">
        <v>353</v>
      </c>
      <c r="S78" t="s">
        <v>353</v>
      </c>
      <c r="T78" t="s">
        <v>353</v>
      </c>
      <c r="U78" t="s">
        <v>353</v>
      </c>
    </row>
    <row r="79" spans="1:21">
      <c r="A79" t="s">
        <v>171</v>
      </c>
      <c r="B79">
        <v>399</v>
      </c>
      <c r="C79">
        <v>896</v>
      </c>
      <c r="D79">
        <v>0.55000000000000004</v>
      </c>
      <c r="L79" t="s">
        <v>340</v>
      </c>
      <c r="M79">
        <v>497</v>
      </c>
      <c r="N79" t="s">
        <v>353</v>
      </c>
      <c r="O79" t="s">
        <v>342</v>
      </c>
      <c r="P79" t="s">
        <v>343</v>
      </c>
      <c r="Q79" t="s">
        <v>353</v>
      </c>
      <c r="R79" t="s">
        <v>353</v>
      </c>
      <c r="S79" t="s">
        <v>353</v>
      </c>
      <c r="T79" t="s">
        <v>353</v>
      </c>
      <c r="U79" t="s">
        <v>353</v>
      </c>
    </row>
    <row r="80" spans="1:21">
      <c r="A80" t="s">
        <v>233</v>
      </c>
      <c r="B80">
        <v>790</v>
      </c>
      <c r="C80">
        <v>1485</v>
      </c>
      <c r="D80">
        <v>0.47</v>
      </c>
      <c r="L80" t="s">
        <v>340</v>
      </c>
      <c r="M80">
        <v>695</v>
      </c>
      <c r="N80" t="s">
        <v>353</v>
      </c>
      <c r="O80" t="s">
        <v>342</v>
      </c>
      <c r="P80" t="s">
        <v>349</v>
      </c>
      <c r="Q80" t="s">
        <v>353</v>
      </c>
      <c r="R80" t="s">
        <v>353</v>
      </c>
      <c r="S80" t="s">
        <v>353</v>
      </c>
      <c r="T80" t="s">
        <v>353</v>
      </c>
      <c r="U80" t="s">
        <v>353</v>
      </c>
    </row>
    <row r="81" spans="1:21">
      <c r="A81" t="s">
        <v>236</v>
      </c>
      <c r="B81">
        <v>690</v>
      </c>
      <c r="C81">
        <v>1200</v>
      </c>
      <c r="D81">
        <v>0.43</v>
      </c>
      <c r="L81" t="s">
        <v>340</v>
      </c>
      <c r="M81">
        <v>510</v>
      </c>
      <c r="N81" t="s">
        <v>353</v>
      </c>
      <c r="O81" t="s">
        <v>342</v>
      </c>
      <c r="P81" t="s">
        <v>349</v>
      </c>
      <c r="Q81" t="s">
        <v>353</v>
      </c>
      <c r="R81" t="s">
        <v>353</v>
      </c>
      <c r="S81" t="s">
        <v>353</v>
      </c>
      <c r="T81" t="s">
        <v>353</v>
      </c>
      <c r="U81" t="s">
        <v>353</v>
      </c>
    </row>
    <row r="82" spans="1:21">
      <c r="A82" t="s">
        <v>238</v>
      </c>
      <c r="B82">
        <v>1732</v>
      </c>
      <c r="C82">
        <v>1799</v>
      </c>
      <c r="D82">
        <v>0.04</v>
      </c>
      <c r="L82" t="s">
        <v>340</v>
      </c>
      <c r="M82">
        <v>67</v>
      </c>
      <c r="N82" t="s">
        <v>353</v>
      </c>
      <c r="O82" t="s">
        <v>351</v>
      </c>
      <c r="P82" t="s">
        <v>348</v>
      </c>
      <c r="Q82" t="s">
        <v>353</v>
      </c>
      <c r="R82" t="s">
        <v>353</v>
      </c>
      <c r="S82" t="s">
        <v>353</v>
      </c>
      <c r="T82" t="s">
        <v>353</v>
      </c>
      <c r="U82" t="s">
        <v>353</v>
      </c>
    </row>
    <row r="83" spans="1:21">
      <c r="A83" t="s">
        <v>241</v>
      </c>
      <c r="B83">
        <v>230</v>
      </c>
      <c r="C83">
        <v>450</v>
      </c>
      <c r="D83">
        <v>0.49</v>
      </c>
      <c r="L83" t="s">
        <v>340</v>
      </c>
      <c r="M83">
        <v>220</v>
      </c>
      <c r="N83" t="s">
        <v>353</v>
      </c>
      <c r="O83" t="s">
        <v>342</v>
      </c>
      <c r="P83" t="s">
        <v>343</v>
      </c>
      <c r="Q83" t="s">
        <v>353</v>
      </c>
      <c r="R83" t="s">
        <v>353</v>
      </c>
      <c r="S83" t="s">
        <v>353</v>
      </c>
      <c r="T83" t="s">
        <v>353</v>
      </c>
      <c r="U83" t="s">
        <v>353</v>
      </c>
    </row>
    <row r="84" spans="1:21">
      <c r="A84" t="s">
        <v>249</v>
      </c>
      <c r="B84">
        <v>1460</v>
      </c>
      <c r="C84">
        <v>2290</v>
      </c>
      <c r="D84">
        <v>0.36</v>
      </c>
      <c r="L84" t="s">
        <v>340</v>
      </c>
      <c r="M84">
        <v>830</v>
      </c>
      <c r="N84" t="s">
        <v>353</v>
      </c>
      <c r="O84" t="s">
        <v>347</v>
      </c>
      <c r="P84" t="s">
        <v>349</v>
      </c>
      <c r="Q84" t="s">
        <v>353</v>
      </c>
      <c r="R84" t="s">
        <v>353</v>
      </c>
      <c r="S84" t="s">
        <v>353</v>
      </c>
      <c r="T84" t="s">
        <v>353</v>
      </c>
      <c r="U84" t="s">
        <v>353</v>
      </c>
    </row>
    <row r="85" spans="1:21">
      <c r="A85" t="s">
        <v>252</v>
      </c>
      <c r="B85">
        <v>1666</v>
      </c>
      <c r="C85">
        <v>1699</v>
      </c>
      <c r="D85">
        <v>0.02</v>
      </c>
      <c r="L85" t="s">
        <v>340</v>
      </c>
      <c r="M85">
        <v>33</v>
      </c>
      <c r="N85" t="s">
        <v>353</v>
      </c>
      <c r="O85" t="s">
        <v>351</v>
      </c>
      <c r="P85" t="s">
        <v>348</v>
      </c>
      <c r="Q85" t="s">
        <v>353</v>
      </c>
      <c r="R85" t="s">
        <v>353</v>
      </c>
      <c r="S85" t="s">
        <v>353</v>
      </c>
      <c r="T85" t="s">
        <v>353</v>
      </c>
      <c r="U85" t="s">
        <v>353</v>
      </c>
    </row>
    <row r="86" spans="1:21">
      <c r="A86" t="s">
        <v>155</v>
      </c>
      <c r="B86">
        <v>176</v>
      </c>
      <c r="C86">
        <v>345</v>
      </c>
      <c r="D86">
        <v>0.49</v>
      </c>
      <c r="L86" t="s">
        <v>340</v>
      </c>
      <c r="M86">
        <v>169</v>
      </c>
      <c r="N86" t="s">
        <v>353</v>
      </c>
      <c r="O86" t="s">
        <v>342</v>
      </c>
      <c r="P86" t="s">
        <v>343</v>
      </c>
      <c r="Q86" t="s">
        <v>353</v>
      </c>
      <c r="R86" t="s">
        <v>353</v>
      </c>
      <c r="S86" t="s">
        <v>353</v>
      </c>
      <c r="T86" t="s">
        <v>353</v>
      </c>
      <c r="U86" t="s">
        <v>353</v>
      </c>
    </row>
    <row r="87" spans="1:21">
      <c r="A87" t="s">
        <v>257</v>
      </c>
      <c r="B87">
        <v>1466</v>
      </c>
      <c r="C87">
        <v>1699</v>
      </c>
      <c r="D87">
        <v>0.14000000000000001</v>
      </c>
      <c r="L87" t="s">
        <v>340</v>
      </c>
      <c r="M87">
        <v>233</v>
      </c>
      <c r="N87" t="s">
        <v>353</v>
      </c>
      <c r="O87" t="s">
        <v>351</v>
      </c>
      <c r="P87" t="s">
        <v>349</v>
      </c>
      <c r="Q87" t="s">
        <v>353</v>
      </c>
      <c r="R87" t="s">
        <v>353</v>
      </c>
      <c r="S87" t="s">
        <v>353</v>
      </c>
      <c r="T87" t="s">
        <v>353</v>
      </c>
      <c r="U87" t="s">
        <v>353</v>
      </c>
    </row>
    <row r="88" spans="1:21">
      <c r="A88" t="s">
        <v>259</v>
      </c>
      <c r="B88">
        <v>274</v>
      </c>
      <c r="C88">
        <v>537</v>
      </c>
      <c r="D88">
        <v>0.49</v>
      </c>
      <c r="L88" t="s">
        <v>340</v>
      </c>
      <c r="M88">
        <v>263</v>
      </c>
      <c r="N88" t="s">
        <v>353</v>
      </c>
      <c r="O88" t="s">
        <v>342</v>
      </c>
      <c r="P88" t="s">
        <v>343</v>
      </c>
      <c r="Q88" t="s">
        <v>353</v>
      </c>
      <c r="R88" t="s">
        <v>353</v>
      </c>
      <c r="S88" t="s">
        <v>353</v>
      </c>
      <c r="T88" t="s">
        <v>353</v>
      </c>
      <c r="U88" t="s">
        <v>353</v>
      </c>
    </row>
    <row r="89" spans="1:21">
      <c r="A89" t="s">
        <v>262</v>
      </c>
      <c r="B89">
        <v>799</v>
      </c>
      <c r="C89">
        <v>900</v>
      </c>
      <c r="D89">
        <v>0.11</v>
      </c>
      <c r="L89" t="s">
        <v>340</v>
      </c>
      <c r="M89">
        <v>101</v>
      </c>
      <c r="N89" t="s">
        <v>353</v>
      </c>
      <c r="O89" t="s">
        <v>351</v>
      </c>
      <c r="P89" t="s">
        <v>349</v>
      </c>
      <c r="Q89" t="s">
        <v>353</v>
      </c>
      <c r="R89" t="s">
        <v>353</v>
      </c>
      <c r="S89" t="s">
        <v>353</v>
      </c>
      <c r="T89" t="s">
        <v>353</v>
      </c>
      <c r="U89" t="s">
        <v>353</v>
      </c>
    </row>
    <row r="90" spans="1:21">
      <c r="A90" t="s">
        <v>176</v>
      </c>
      <c r="B90">
        <v>657</v>
      </c>
      <c r="C90">
        <v>1288</v>
      </c>
      <c r="D90">
        <v>0.49</v>
      </c>
      <c r="L90" t="s">
        <v>340</v>
      </c>
      <c r="M90">
        <v>631</v>
      </c>
      <c r="N90" t="s">
        <v>353</v>
      </c>
      <c r="O90" t="s">
        <v>342</v>
      </c>
      <c r="P90" t="s">
        <v>349</v>
      </c>
      <c r="Q90" t="s">
        <v>353</v>
      </c>
      <c r="R90" t="s">
        <v>353</v>
      </c>
      <c r="S90" t="s">
        <v>353</v>
      </c>
      <c r="T90" t="s">
        <v>353</v>
      </c>
      <c r="U90" t="s">
        <v>353</v>
      </c>
    </row>
    <row r="91" spans="1:21">
      <c r="A91" t="s">
        <v>265</v>
      </c>
      <c r="B91">
        <v>1468</v>
      </c>
      <c r="C91">
        <v>1699</v>
      </c>
      <c r="D91">
        <v>0.14000000000000001</v>
      </c>
      <c r="L91" t="s">
        <v>340</v>
      </c>
      <c r="M91">
        <v>231</v>
      </c>
      <c r="N91" t="s">
        <v>353</v>
      </c>
      <c r="O91" t="s">
        <v>351</v>
      </c>
      <c r="P91" t="s">
        <v>349</v>
      </c>
      <c r="Q91" t="s">
        <v>353</v>
      </c>
      <c r="R91" t="s">
        <v>353</v>
      </c>
      <c r="S91" t="s">
        <v>353</v>
      </c>
      <c r="T91" t="s">
        <v>353</v>
      </c>
      <c r="U91" t="s">
        <v>353</v>
      </c>
    </row>
    <row r="92" spans="1:21">
      <c r="A92" t="s">
        <v>267</v>
      </c>
      <c r="B92">
        <v>630</v>
      </c>
      <c r="C92">
        <v>1100</v>
      </c>
      <c r="D92">
        <v>0.43</v>
      </c>
      <c r="L92" t="s">
        <v>340</v>
      </c>
      <c r="M92">
        <v>470</v>
      </c>
      <c r="N92" t="s">
        <v>353</v>
      </c>
      <c r="O92" t="s">
        <v>342</v>
      </c>
      <c r="P92" t="s">
        <v>349</v>
      </c>
      <c r="Q92" t="s">
        <v>353</v>
      </c>
      <c r="R92" t="s">
        <v>353</v>
      </c>
      <c r="S92" t="s">
        <v>353</v>
      </c>
      <c r="T92" t="s">
        <v>353</v>
      </c>
      <c r="U92" t="s">
        <v>353</v>
      </c>
    </row>
    <row r="93" spans="1:21">
      <c r="A93" t="s">
        <v>270</v>
      </c>
      <c r="B93">
        <v>850</v>
      </c>
      <c r="C93">
        <v>1700</v>
      </c>
      <c r="D93">
        <v>0.5</v>
      </c>
      <c r="L93" t="s">
        <v>340</v>
      </c>
      <c r="M93">
        <v>850</v>
      </c>
      <c r="N93" t="s">
        <v>353</v>
      </c>
      <c r="O93" t="s">
        <v>342</v>
      </c>
      <c r="P93" t="s">
        <v>349</v>
      </c>
      <c r="Q93" t="s">
        <v>353</v>
      </c>
      <c r="R93" t="s">
        <v>353</v>
      </c>
      <c r="S93" t="s">
        <v>353</v>
      </c>
      <c r="T93" t="s">
        <v>353</v>
      </c>
      <c r="U93" t="s">
        <v>353</v>
      </c>
    </row>
    <row r="94" spans="1:21">
      <c r="A94" t="s">
        <v>273</v>
      </c>
      <c r="B94">
        <v>1300</v>
      </c>
      <c r="C94">
        <v>2500</v>
      </c>
      <c r="D94">
        <v>0.48</v>
      </c>
      <c r="L94" t="s">
        <v>340</v>
      </c>
      <c r="M94">
        <v>1200</v>
      </c>
      <c r="N94" t="s">
        <v>353</v>
      </c>
      <c r="O94" t="s">
        <v>342</v>
      </c>
      <c r="P94" t="s">
        <v>349</v>
      </c>
      <c r="Q94" t="s">
        <v>353</v>
      </c>
      <c r="R94" t="s">
        <v>353</v>
      </c>
      <c r="S94" t="s">
        <v>353</v>
      </c>
      <c r="T94" t="s">
        <v>353</v>
      </c>
      <c r="U94" t="s">
        <v>353</v>
      </c>
    </row>
    <row r="95" spans="1:21">
      <c r="A95" t="s">
        <v>275</v>
      </c>
      <c r="B95">
        <v>105</v>
      </c>
      <c r="C95">
        <v>200</v>
      </c>
      <c r="D95">
        <v>0.48</v>
      </c>
      <c r="L95" t="s">
        <v>340</v>
      </c>
      <c r="M95">
        <v>95</v>
      </c>
      <c r="N95" t="s">
        <v>353</v>
      </c>
      <c r="O95" t="s">
        <v>342</v>
      </c>
      <c r="P95" t="s">
        <v>343</v>
      </c>
      <c r="Q95" t="s">
        <v>353</v>
      </c>
      <c r="R95" t="s">
        <v>353</v>
      </c>
      <c r="S95" t="s">
        <v>353</v>
      </c>
      <c r="T95" t="s">
        <v>353</v>
      </c>
      <c r="U95" t="s">
        <v>353</v>
      </c>
    </row>
    <row r="96" spans="1:21">
      <c r="A96" t="s">
        <v>278</v>
      </c>
      <c r="B96">
        <v>899</v>
      </c>
      <c r="C96">
        <v>1699</v>
      </c>
      <c r="D96">
        <v>0.47</v>
      </c>
      <c r="L96" t="s">
        <v>340</v>
      </c>
      <c r="M96">
        <v>800</v>
      </c>
      <c r="N96" t="s">
        <v>353</v>
      </c>
      <c r="O96" t="s">
        <v>342</v>
      </c>
      <c r="P96" t="s">
        <v>349</v>
      </c>
      <c r="Q96" t="s">
        <v>353</v>
      </c>
      <c r="R96" t="s">
        <v>353</v>
      </c>
      <c r="S96" t="s">
        <v>353</v>
      </c>
      <c r="T96" t="s">
        <v>353</v>
      </c>
      <c r="U96" t="s">
        <v>353</v>
      </c>
    </row>
    <row r="97" spans="1:21">
      <c r="A97" t="s">
        <v>279</v>
      </c>
      <c r="B97">
        <v>1200</v>
      </c>
      <c r="C97">
        <v>2400</v>
      </c>
      <c r="D97">
        <v>0.5</v>
      </c>
      <c r="L97" t="s">
        <v>340</v>
      </c>
      <c r="M97">
        <v>1200</v>
      </c>
      <c r="N97" t="s">
        <v>353</v>
      </c>
      <c r="O97" t="s">
        <v>342</v>
      </c>
      <c r="P97" t="s">
        <v>349</v>
      </c>
      <c r="Q97" t="s">
        <v>353</v>
      </c>
      <c r="R97" t="s">
        <v>353</v>
      </c>
      <c r="S97" t="s">
        <v>353</v>
      </c>
      <c r="T97" t="s">
        <v>353</v>
      </c>
      <c r="U97" t="s">
        <v>353</v>
      </c>
    </row>
    <row r="98" spans="1:21">
      <c r="A98" t="s">
        <v>281</v>
      </c>
      <c r="B98">
        <v>1526</v>
      </c>
      <c r="C98">
        <v>1660</v>
      </c>
      <c r="D98">
        <v>0.08</v>
      </c>
      <c r="L98" t="s">
        <v>340</v>
      </c>
      <c r="M98">
        <v>134</v>
      </c>
      <c r="N98" t="s">
        <v>353</v>
      </c>
      <c r="O98" t="s">
        <v>351</v>
      </c>
      <c r="P98" t="s">
        <v>349</v>
      </c>
      <c r="Q98" t="s">
        <v>353</v>
      </c>
      <c r="R98" t="s">
        <v>353</v>
      </c>
      <c r="S98" t="s">
        <v>353</v>
      </c>
      <c r="T98" t="s">
        <v>353</v>
      </c>
      <c r="U98" t="s">
        <v>353</v>
      </c>
    </row>
    <row r="99" spans="1:21">
      <c r="A99" t="s">
        <v>283</v>
      </c>
      <c r="B99">
        <v>1462</v>
      </c>
      <c r="C99">
        <v>1499</v>
      </c>
      <c r="D99">
        <v>0.02</v>
      </c>
      <c r="L99" t="s">
        <v>340</v>
      </c>
      <c r="M99">
        <v>37</v>
      </c>
      <c r="N99" t="s">
        <v>353</v>
      </c>
      <c r="O99" t="s">
        <v>351</v>
      </c>
      <c r="P99" t="s">
        <v>349</v>
      </c>
      <c r="Q99" t="s">
        <v>353</v>
      </c>
      <c r="R99" t="s">
        <v>353</v>
      </c>
      <c r="S99" t="s">
        <v>353</v>
      </c>
      <c r="T99" t="s">
        <v>353</v>
      </c>
      <c r="U99" t="s">
        <v>353</v>
      </c>
    </row>
    <row r="100" spans="1:21">
      <c r="A100" t="s">
        <v>285</v>
      </c>
      <c r="B100">
        <v>248</v>
      </c>
      <c r="C100">
        <v>486</v>
      </c>
      <c r="D100">
        <v>0.49</v>
      </c>
      <c r="L100" t="s">
        <v>340</v>
      </c>
      <c r="M100">
        <v>238</v>
      </c>
      <c r="N100" t="s">
        <v>353</v>
      </c>
      <c r="O100" t="s">
        <v>342</v>
      </c>
      <c r="P100" t="s">
        <v>343</v>
      </c>
      <c r="Q100" t="s">
        <v>353</v>
      </c>
      <c r="R100" t="s">
        <v>353</v>
      </c>
      <c r="S100" t="s">
        <v>353</v>
      </c>
      <c r="T100" t="s">
        <v>353</v>
      </c>
      <c r="U100" t="s">
        <v>353</v>
      </c>
    </row>
    <row r="101" spans="1:21">
      <c r="A101" t="s">
        <v>288</v>
      </c>
      <c r="B101">
        <v>3546</v>
      </c>
      <c r="C101">
        <v>3699</v>
      </c>
      <c r="D101">
        <v>0.04</v>
      </c>
      <c r="L101" t="s">
        <v>340</v>
      </c>
      <c r="M101">
        <v>153</v>
      </c>
      <c r="N101" t="s">
        <v>353</v>
      </c>
      <c r="O101" t="s">
        <v>351</v>
      </c>
      <c r="P101" t="s">
        <v>348</v>
      </c>
      <c r="Q101" t="s">
        <v>353</v>
      </c>
      <c r="R101" t="s">
        <v>353</v>
      </c>
      <c r="S101" t="s">
        <v>353</v>
      </c>
      <c r="T101" t="s">
        <v>353</v>
      </c>
      <c r="U101" t="s">
        <v>353</v>
      </c>
    </row>
    <row r="102" spans="1:21">
      <c r="A102" t="s">
        <v>290</v>
      </c>
      <c r="B102">
        <v>525</v>
      </c>
      <c r="C102">
        <v>1029</v>
      </c>
      <c r="D102">
        <v>0.49</v>
      </c>
      <c r="L102" t="s">
        <v>340</v>
      </c>
      <c r="M102">
        <v>504</v>
      </c>
      <c r="N102" t="s">
        <v>353</v>
      </c>
      <c r="O102" t="s">
        <v>342</v>
      </c>
      <c r="P102" t="s">
        <v>349</v>
      </c>
      <c r="Q102" t="s">
        <v>353</v>
      </c>
      <c r="R102" t="s">
        <v>353</v>
      </c>
      <c r="S102" t="s">
        <v>353</v>
      </c>
      <c r="T102" t="s">
        <v>353</v>
      </c>
      <c r="U102" t="s">
        <v>353</v>
      </c>
    </row>
    <row r="103" spans="1:21">
      <c r="A103" t="s">
        <v>293</v>
      </c>
      <c r="B103">
        <v>1080</v>
      </c>
      <c r="C103">
        <v>1874</v>
      </c>
      <c r="D103">
        <v>0.42</v>
      </c>
      <c r="L103" t="s">
        <v>340</v>
      </c>
      <c r="M103">
        <v>794</v>
      </c>
      <c r="N103" t="s">
        <v>353</v>
      </c>
      <c r="O103" t="s">
        <v>342</v>
      </c>
      <c r="P103" t="s">
        <v>349</v>
      </c>
      <c r="Q103" t="s">
        <v>353</v>
      </c>
      <c r="R103" t="s">
        <v>353</v>
      </c>
      <c r="S103" t="s">
        <v>353</v>
      </c>
      <c r="T103" t="s">
        <v>353</v>
      </c>
      <c r="U103" t="s">
        <v>353</v>
      </c>
    </row>
    <row r="104" spans="1:21">
      <c r="A104" t="s">
        <v>299</v>
      </c>
      <c r="B104">
        <v>1420</v>
      </c>
      <c r="C104">
        <v>2420</v>
      </c>
      <c r="D104">
        <v>0.41</v>
      </c>
      <c r="L104" t="s">
        <v>340</v>
      </c>
      <c r="M104">
        <v>1000</v>
      </c>
      <c r="N104" t="s">
        <v>353</v>
      </c>
      <c r="O104" t="s">
        <v>342</v>
      </c>
      <c r="P104" t="s">
        <v>349</v>
      </c>
      <c r="Q104" t="s">
        <v>353</v>
      </c>
      <c r="R104" t="s">
        <v>353</v>
      </c>
      <c r="S104" t="s">
        <v>353</v>
      </c>
      <c r="T104" t="s">
        <v>353</v>
      </c>
      <c r="U104" t="s">
        <v>353</v>
      </c>
    </row>
    <row r="105" spans="1:21">
      <c r="A105" t="s">
        <v>302</v>
      </c>
      <c r="B105">
        <v>1875</v>
      </c>
      <c r="C105">
        <v>1899</v>
      </c>
      <c r="D105">
        <v>0.01</v>
      </c>
      <c r="L105" t="s">
        <v>340</v>
      </c>
      <c r="M105">
        <v>24</v>
      </c>
      <c r="N105" t="s">
        <v>353</v>
      </c>
      <c r="O105" t="s">
        <v>351</v>
      </c>
      <c r="P105" t="s">
        <v>348</v>
      </c>
      <c r="Q105" t="s">
        <v>353</v>
      </c>
      <c r="R105" t="s">
        <v>353</v>
      </c>
      <c r="S105" t="s">
        <v>353</v>
      </c>
      <c r="T105" t="s">
        <v>353</v>
      </c>
      <c r="U105" t="s">
        <v>353</v>
      </c>
    </row>
    <row r="106" spans="1:21">
      <c r="A106" t="s">
        <v>305</v>
      </c>
      <c r="B106">
        <v>198</v>
      </c>
      <c r="C106">
        <v>260</v>
      </c>
      <c r="D106">
        <v>0.24</v>
      </c>
      <c r="L106" t="s">
        <v>340</v>
      </c>
      <c r="M106">
        <v>62</v>
      </c>
      <c r="N106" t="s">
        <v>353</v>
      </c>
      <c r="O106" t="s">
        <v>347</v>
      </c>
      <c r="P106" t="s">
        <v>343</v>
      </c>
      <c r="Q106" t="s">
        <v>353</v>
      </c>
      <c r="R106" t="s">
        <v>353</v>
      </c>
      <c r="S106" t="s">
        <v>353</v>
      </c>
      <c r="T106" t="s">
        <v>353</v>
      </c>
      <c r="U106" t="s">
        <v>353</v>
      </c>
    </row>
    <row r="107" spans="1:21">
      <c r="A107" t="s">
        <v>308</v>
      </c>
      <c r="B107">
        <v>1150</v>
      </c>
      <c r="C107">
        <v>1737</v>
      </c>
      <c r="D107">
        <v>0.34</v>
      </c>
      <c r="L107" t="s">
        <v>340</v>
      </c>
      <c r="M107">
        <v>587</v>
      </c>
      <c r="N107" t="s">
        <v>353</v>
      </c>
      <c r="O107" t="s">
        <v>347</v>
      </c>
      <c r="P107" t="s">
        <v>349</v>
      </c>
      <c r="Q107" t="s">
        <v>353</v>
      </c>
      <c r="R107" t="s">
        <v>353</v>
      </c>
      <c r="S107" t="s">
        <v>353</v>
      </c>
      <c r="T107" t="s">
        <v>353</v>
      </c>
      <c r="U107" t="s">
        <v>353</v>
      </c>
    </row>
    <row r="108" spans="1:21">
      <c r="A108" t="s">
        <v>311</v>
      </c>
      <c r="B108">
        <v>1190</v>
      </c>
      <c r="C108">
        <v>1810</v>
      </c>
      <c r="D108">
        <v>0.34</v>
      </c>
      <c r="L108" t="s">
        <v>340</v>
      </c>
      <c r="M108">
        <v>620</v>
      </c>
      <c r="N108" t="s">
        <v>353</v>
      </c>
      <c r="O108" t="s">
        <v>347</v>
      </c>
      <c r="P108" t="s">
        <v>349</v>
      </c>
      <c r="Q108" t="s">
        <v>353</v>
      </c>
      <c r="R108" t="s">
        <v>353</v>
      </c>
      <c r="S108" t="s">
        <v>353</v>
      </c>
      <c r="T108" t="s">
        <v>353</v>
      </c>
      <c r="U108" t="s">
        <v>353</v>
      </c>
    </row>
    <row r="109" spans="1:21">
      <c r="A109" t="s">
        <v>313</v>
      </c>
      <c r="B109">
        <v>1658</v>
      </c>
      <c r="C109">
        <v>1699</v>
      </c>
      <c r="D109">
        <v>0.02</v>
      </c>
      <c r="L109" t="s">
        <v>340</v>
      </c>
      <c r="M109">
        <v>41</v>
      </c>
      <c r="N109" t="s">
        <v>353</v>
      </c>
      <c r="O109" t="s">
        <v>351</v>
      </c>
      <c r="P109" t="s">
        <v>349</v>
      </c>
      <c r="Q109" t="s">
        <v>353</v>
      </c>
      <c r="R109" t="s">
        <v>353</v>
      </c>
      <c r="S109" t="s">
        <v>353</v>
      </c>
      <c r="T109" t="s">
        <v>353</v>
      </c>
      <c r="U109" t="s">
        <v>353</v>
      </c>
    </row>
    <row r="110" spans="1:21">
      <c r="A110" t="s">
        <v>315</v>
      </c>
      <c r="B110">
        <v>1768</v>
      </c>
      <c r="C110">
        <v>1799</v>
      </c>
      <c r="D110">
        <v>0.02</v>
      </c>
      <c r="L110" t="s">
        <v>340</v>
      </c>
      <c r="M110">
        <v>31</v>
      </c>
      <c r="N110" t="s">
        <v>353</v>
      </c>
      <c r="O110" t="s">
        <v>351</v>
      </c>
      <c r="P110" t="s">
        <v>348</v>
      </c>
      <c r="Q110" t="s">
        <v>353</v>
      </c>
      <c r="R110" t="s">
        <v>353</v>
      </c>
      <c r="S110" t="s">
        <v>353</v>
      </c>
      <c r="T110" t="s">
        <v>353</v>
      </c>
      <c r="U110" t="s">
        <v>353</v>
      </c>
    </row>
    <row r="111" spans="1:21">
      <c r="A111" t="s">
        <v>317</v>
      </c>
      <c r="B111">
        <v>199</v>
      </c>
      <c r="C111">
        <v>553</v>
      </c>
      <c r="D111">
        <v>0.64</v>
      </c>
      <c r="L111" t="s">
        <v>340</v>
      </c>
      <c r="M111">
        <v>354</v>
      </c>
      <c r="N111" t="s">
        <v>353</v>
      </c>
      <c r="O111" t="s">
        <v>342</v>
      </c>
      <c r="P111" t="s">
        <v>343</v>
      </c>
      <c r="Q111" t="s">
        <v>353</v>
      </c>
      <c r="R111" t="s">
        <v>353</v>
      </c>
      <c r="S111" t="s">
        <v>353</v>
      </c>
      <c r="T111" t="s">
        <v>353</v>
      </c>
      <c r="U111" t="s">
        <v>353</v>
      </c>
    </row>
    <row r="112" spans="1:21">
      <c r="A112" t="s">
        <v>321</v>
      </c>
      <c r="B112">
        <v>169</v>
      </c>
      <c r="C112">
        <v>320</v>
      </c>
      <c r="D112">
        <v>0.47</v>
      </c>
      <c r="L112" t="s">
        <v>340</v>
      </c>
      <c r="M112">
        <v>151</v>
      </c>
      <c r="N112" t="s">
        <v>353</v>
      </c>
      <c r="O112" t="s">
        <v>342</v>
      </c>
      <c r="P112" t="s">
        <v>343</v>
      </c>
      <c r="Q112" t="s">
        <v>353</v>
      </c>
      <c r="R112" t="s">
        <v>353</v>
      </c>
      <c r="S112" t="s">
        <v>353</v>
      </c>
      <c r="T112" t="s">
        <v>353</v>
      </c>
      <c r="U112" t="s">
        <v>353</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C1416-A9D8-403E-95C1-24579787B586}">
  <dimension ref="I49"/>
  <sheetViews>
    <sheetView showGridLines="0" zoomScale="95" zoomScaleNormal="95" workbookViewId="0">
      <selection activeCell="N4" sqref="N4"/>
    </sheetView>
  </sheetViews>
  <sheetFormatPr defaultRowHeight="15"/>
  <cols>
    <col min="1" max="15" width="9.140625" style="6"/>
    <col min="16" max="16" width="9" style="6" customWidth="1"/>
    <col min="17" max="16384" width="9.140625" style="6"/>
  </cols>
  <sheetData>
    <row r="49" spans="9:9">
      <c r="I49" s="6">
        <f>COUNTA(cleaned!A2:A112)</f>
        <v>111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B36E0-735F-47D5-8DD7-4859211A8D33}">
  <dimension ref="A1:XFD21"/>
  <sheetViews>
    <sheetView workbookViewId="0"/>
  </sheetViews>
  <sheetFormatPr defaultRowHeight="15"/>
  <cols>
    <col min="1" max="1" width="37.7109375" customWidth="1"/>
    <col min="2" max="2" width="11.28515625" customWidth="1"/>
    <col min="3" max="3" width="25" customWidth="1"/>
    <col min="4" max="4" width="16.42578125" customWidth="1"/>
    <col min="5" max="5" width="25.28515625" customWidth="1"/>
    <col min="6" max="6" width="56.42578125" customWidth="1"/>
    <col min="7" max="14" width="11.28515625" customWidth="1"/>
    <col min="15" max="104" width="12.28515625" customWidth="1"/>
    <col min="105" max="1004" width="13.28515625" customWidth="1"/>
    <col min="1005" max="10004" width="14.28515625" customWidth="1"/>
    <col min="10005" max="16384" width="15.28515625" customWidth="1"/>
  </cols>
  <sheetData>
    <row r="1" spans="1:16384" s="7" customFormat="1">
      <c r="A1" s="7" t="s">
        <v>354</v>
      </c>
      <c r="B1" s="7" t="s">
        <v>355</v>
      </c>
      <c r="C1" s="7" t="s">
        <v>356</v>
      </c>
      <c r="D1" s="7" t="s">
        <v>357</v>
      </c>
      <c r="E1" s="7" t="s">
        <v>358</v>
      </c>
      <c r="F1" s="7" t="s">
        <v>359</v>
      </c>
      <c r="G1" s="7" t="s">
        <v>360</v>
      </c>
      <c r="H1" s="7" t="s">
        <v>361</v>
      </c>
      <c r="I1" s="7" t="s">
        <v>362</v>
      </c>
      <c r="J1" s="7" t="s">
        <v>363</v>
      </c>
      <c r="K1" s="7" t="s">
        <v>364</v>
      </c>
      <c r="L1" s="7" t="s">
        <v>365</v>
      </c>
      <c r="M1" s="7" t="s">
        <v>366</v>
      </c>
      <c r="N1" s="7" t="s">
        <v>367</v>
      </c>
      <c r="O1" s="7" t="s">
        <v>368</v>
      </c>
      <c r="P1" s="7" t="s">
        <v>369</v>
      </c>
      <c r="Q1" s="7" t="s">
        <v>370</v>
      </c>
      <c r="R1" s="7" t="s">
        <v>371</v>
      </c>
      <c r="S1" s="7" t="s">
        <v>372</v>
      </c>
      <c r="T1" s="7" t="s">
        <v>373</v>
      </c>
      <c r="U1" s="7" t="s">
        <v>374</v>
      </c>
      <c r="V1" s="7" t="s">
        <v>375</v>
      </c>
      <c r="W1" s="7" t="s">
        <v>376</v>
      </c>
      <c r="X1" s="7" t="s">
        <v>377</v>
      </c>
      <c r="Y1" s="7" t="s">
        <v>378</v>
      </c>
      <c r="Z1" s="7" t="s">
        <v>379</v>
      </c>
      <c r="AA1" s="7" t="s">
        <v>380</v>
      </c>
      <c r="AB1" s="7" t="s">
        <v>381</v>
      </c>
      <c r="AC1" s="7" t="s">
        <v>382</v>
      </c>
      <c r="AD1" s="7" t="s">
        <v>383</v>
      </c>
      <c r="AE1" s="7" t="s">
        <v>384</v>
      </c>
      <c r="AF1" s="7" t="s">
        <v>385</v>
      </c>
      <c r="AG1" s="7" t="s">
        <v>386</v>
      </c>
      <c r="AH1" s="7" t="s">
        <v>387</v>
      </c>
      <c r="AI1" s="7" t="s">
        <v>388</v>
      </c>
      <c r="AJ1" s="7" t="s">
        <v>389</v>
      </c>
      <c r="AK1" s="7" t="s">
        <v>390</v>
      </c>
      <c r="AL1" s="7" t="s">
        <v>391</v>
      </c>
      <c r="AM1" s="7" t="s">
        <v>392</v>
      </c>
      <c r="AN1" s="7" t="s">
        <v>393</v>
      </c>
      <c r="AO1" s="7" t="s">
        <v>394</v>
      </c>
      <c r="AP1" s="7" t="s">
        <v>395</v>
      </c>
      <c r="AQ1" s="7" t="s">
        <v>396</v>
      </c>
      <c r="AR1" s="7" t="s">
        <v>397</v>
      </c>
      <c r="AS1" s="7" t="s">
        <v>398</v>
      </c>
      <c r="AT1" s="7" t="s">
        <v>399</v>
      </c>
      <c r="AU1" s="7" t="s">
        <v>400</v>
      </c>
      <c r="AV1" s="7" t="s">
        <v>401</v>
      </c>
      <c r="AW1" s="7" t="s">
        <v>402</v>
      </c>
      <c r="AX1" s="7" t="s">
        <v>403</v>
      </c>
      <c r="AY1" s="7" t="s">
        <v>404</v>
      </c>
      <c r="AZ1" s="7" t="s">
        <v>405</v>
      </c>
      <c r="BA1" s="7" t="s">
        <v>406</v>
      </c>
      <c r="BB1" s="7" t="s">
        <v>407</v>
      </c>
      <c r="BC1" s="7" t="s">
        <v>408</v>
      </c>
      <c r="BD1" s="7" t="s">
        <v>409</v>
      </c>
      <c r="BE1" s="7" t="s">
        <v>410</v>
      </c>
      <c r="BF1" s="7" t="s">
        <v>411</v>
      </c>
      <c r="BG1" s="7" t="s">
        <v>412</v>
      </c>
      <c r="BH1" s="7" t="s">
        <v>413</v>
      </c>
      <c r="BI1" s="7" t="s">
        <v>414</v>
      </c>
      <c r="BJ1" s="7" t="s">
        <v>415</v>
      </c>
      <c r="BK1" s="7" t="s">
        <v>416</v>
      </c>
      <c r="BL1" s="7" t="s">
        <v>417</v>
      </c>
      <c r="BM1" s="7" t="s">
        <v>418</v>
      </c>
      <c r="BN1" s="7" t="s">
        <v>419</v>
      </c>
      <c r="BO1" s="7" t="s">
        <v>420</v>
      </c>
      <c r="BP1" s="7" t="s">
        <v>421</v>
      </c>
      <c r="BQ1" s="7" t="s">
        <v>422</v>
      </c>
      <c r="BR1" s="7" t="s">
        <v>423</v>
      </c>
      <c r="BS1" s="7" t="s">
        <v>424</v>
      </c>
      <c r="BT1" s="7" t="s">
        <v>425</v>
      </c>
      <c r="BU1" s="7" t="s">
        <v>426</v>
      </c>
      <c r="BV1" s="7" t="s">
        <v>427</v>
      </c>
      <c r="BW1" s="7" t="s">
        <v>428</v>
      </c>
      <c r="BX1" s="7" t="s">
        <v>429</v>
      </c>
      <c r="BY1" s="7" t="s">
        <v>430</v>
      </c>
      <c r="BZ1" s="7" t="s">
        <v>431</v>
      </c>
      <c r="CA1" s="7" t="s">
        <v>432</v>
      </c>
      <c r="CB1" s="7" t="s">
        <v>433</v>
      </c>
      <c r="CC1" s="7" t="s">
        <v>434</v>
      </c>
      <c r="CD1" s="7" t="s">
        <v>435</v>
      </c>
      <c r="CE1" s="7" t="s">
        <v>436</v>
      </c>
      <c r="CF1" s="7" t="s">
        <v>437</v>
      </c>
      <c r="CG1" s="7" t="s">
        <v>438</v>
      </c>
      <c r="CH1" s="7" t="s">
        <v>439</v>
      </c>
      <c r="CI1" s="7" t="s">
        <v>440</v>
      </c>
      <c r="CJ1" s="7" t="s">
        <v>441</v>
      </c>
      <c r="CK1" s="7" t="s">
        <v>442</v>
      </c>
      <c r="CL1" s="7" t="s">
        <v>443</v>
      </c>
      <c r="CM1" s="7" t="s">
        <v>444</v>
      </c>
      <c r="CN1" s="7" t="s">
        <v>445</v>
      </c>
      <c r="CO1" s="7" t="s">
        <v>446</v>
      </c>
      <c r="CP1" s="7" t="s">
        <v>447</v>
      </c>
      <c r="CQ1" s="7" t="s">
        <v>448</v>
      </c>
      <c r="CR1" s="7" t="s">
        <v>449</v>
      </c>
      <c r="CS1" s="7" t="s">
        <v>450</v>
      </c>
      <c r="CT1" s="7" t="s">
        <v>451</v>
      </c>
      <c r="CU1" s="7" t="s">
        <v>452</v>
      </c>
      <c r="CV1" s="7" t="s">
        <v>453</v>
      </c>
      <c r="CW1" s="7" t="s">
        <v>454</v>
      </c>
      <c r="CX1" s="7" t="s">
        <v>455</v>
      </c>
      <c r="CY1" s="7" t="s">
        <v>456</v>
      </c>
      <c r="CZ1" s="7" t="s">
        <v>457</v>
      </c>
      <c r="DA1" s="7" t="s">
        <v>458</v>
      </c>
      <c r="DB1" s="7" t="s">
        <v>459</v>
      </c>
      <c r="DC1" s="7" t="s">
        <v>460</v>
      </c>
      <c r="DD1" s="7" t="s">
        <v>461</v>
      </c>
      <c r="DE1" s="7" t="s">
        <v>462</v>
      </c>
      <c r="DF1" s="7" t="s">
        <v>463</v>
      </c>
      <c r="DG1" s="7" t="s">
        <v>464</v>
      </c>
      <c r="DH1" s="7" t="s">
        <v>465</v>
      </c>
      <c r="DI1" s="7" t="s">
        <v>466</v>
      </c>
      <c r="DJ1" s="7" t="s">
        <v>467</v>
      </c>
      <c r="DK1" s="7" t="s">
        <v>468</v>
      </c>
      <c r="DL1" s="7" t="s">
        <v>469</v>
      </c>
      <c r="DM1" s="7" t="s">
        <v>470</v>
      </c>
      <c r="DN1" s="7" t="s">
        <v>471</v>
      </c>
      <c r="DO1" s="7" t="s">
        <v>472</v>
      </c>
      <c r="DP1" s="7" t="s">
        <v>473</v>
      </c>
      <c r="DQ1" s="7" t="s">
        <v>474</v>
      </c>
      <c r="DR1" s="7" t="s">
        <v>475</v>
      </c>
      <c r="DS1" s="7" t="s">
        <v>476</v>
      </c>
      <c r="DT1" s="7" t="s">
        <v>477</v>
      </c>
      <c r="DU1" s="7" t="s">
        <v>478</v>
      </c>
      <c r="DV1" s="7" t="s">
        <v>479</v>
      </c>
      <c r="DW1" s="7" t="s">
        <v>480</v>
      </c>
      <c r="DX1" s="7" t="s">
        <v>481</v>
      </c>
      <c r="DY1" s="7" t="s">
        <v>482</v>
      </c>
      <c r="DZ1" s="7" t="s">
        <v>483</v>
      </c>
      <c r="EA1" s="7" t="s">
        <v>484</v>
      </c>
      <c r="EB1" s="7" t="s">
        <v>485</v>
      </c>
      <c r="EC1" s="7" t="s">
        <v>486</v>
      </c>
      <c r="ED1" s="7" t="s">
        <v>487</v>
      </c>
      <c r="EE1" s="7" t="s">
        <v>488</v>
      </c>
      <c r="EF1" s="7" t="s">
        <v>489</v>
      </c>
      <c r="EG1" s="7" t="s">
        <v>490</v>
      </c>
      <c r="EH1" s="7" t="s">
        <v>491</v>
      </c>
      <c r="EI1" s="7" t="s">
        <v>492</v>
      </c>
      <c r="EJ1" s="7" t="s">
        <v>493</v>
      </c>
      <c r="EK1" s="7" t="s">
        <v>494</v>
      </c>
      <c r="EL1" s="7" t="s">
        <v>495</v>
      </c>
      <c r="EM1" s="7" t="s">
        <v>496</v>
      </c>
      <c r="EN1" s="7" t="s">
        <v>497</v>
      </c>
      <c r="EO1" s="7" t="s">
        <v>498</v>
      </c>
      <c r="EP1" s="7" t="s">
        <v>499</v>
      </c>
      <c r="EQ1" s="7" t="s">
        <v>500</v>
      </c>
      <c r="ER1" s="7" t="s">
        <v>501</v>
      </c>
      <c r="ES1" s="7" t="s">
        <v>502</v>
      </c>
      <c r="ET1" s="7" t="s">
        <v>503</v>
      </c>
      <c r="EU1" s="7" t="s">
        <v>504</v>
      </c>
      <c r="EV1" s="7" t="s">
        <v>505</v>
      </c>
      <c r="EW1" s="7" t="s">
        <v>506</v>
      </c>
      <c r="EX1" s="7" t="s">
        <v>507</v>
      </c>
      <c r="EY1" s="7" t="s">
        <v>508</v>
      </c>
      <c r="EZ1" s="7" t="s">
        <v>509</v>
      </c>
      <c r="FA1" s="7" t="s">
        <v>510</v>
      </c>
      <c r="FB1" s="7" t="s">
        <v>511</v>
      </c>
      <c r="FC1" s="7" t="s">
        <v>512</v>
      </c>
      <c r="FD1" s="7" t="s">
        <v>513</v>
      </c>
      <c r="FE1" s="7" t="s">
        <v>514</v>
      </c>
      <c r="FF1" s="7" t="s">
        <v>515</v>
      </c>
      <c r="FG1" s="7" t="s">
        <v>516</v>
      </c>
      <c r="FH1" s="7" t="s">
        <v>517</v>
      </c>
      <c r="FI1" s="7" t="s">
        <v>518</v>
      </c>
      <c r="FJ1" s="7" t="s">
        <v>519</v>
      </c>
      <c r="FK1" s="7" t="s">
        <v>520</v>
      </c>
      <c r="FL1" s="7" t="s">
        <v>521</v>
      </c>
      <c r="FM1" s="7" t="s">
        <v>522</v>
      </c>
      <c r="FN1" s="7" t="s">
        <v>523</v>
      </c>
      <c r="FO1" s="7" t="s">
        <v>524</v>
      </c>
      <c r="FP1" s="7" t="s">
        <v>525</v>
      </c>
      <c r="FQ1" s="7" t="s">
        <v>526</v>
      </c>
      <c r="FR1" s="7" t="s">
        <v>527</v>
      </c>
      <c r="FS1" s="7" t="s">
        <v>528</v>
      </c>
      <c r="FT1" s="7" t="s">
        <v>529</v>
      </c>
      <c r="FU1" s="7" t="s">
        <v>530</v>
      </c>
      <c r="FV1" s="7" t="s">
        <v>531</v>
      </c>
      <c r="FW1" s="7" t="s">
        <v>532</v>
      </c>
      <c r="FX1" s="7" t="s">
        <v>533</v>
      </c>
      <c r="FY1" s="7" t="s">
        <v>534</v>
      </c>
      <c r="FZ1" s="7" t="s">
        <v>535</v>
      </c>
      <c r="GA1" s="7" t="s">
        <v>536</v>
      </c>
      <c r="GB1" s="7" t="s">
        <v>537</v>
      </c>
      <c r="GC1" s="7" t="s">
        <v>538</v>
      </c>
      <c r="GD1" s="7" t="s">
        <v>539</v>
      </c>
      <c r="GE1" s="7" t="s">
        <v>540</v>
      </c>
      <c r="GF1" s="7" t="s">
        <v>541</v>
      </c>
      <c r="GG1" s="7" t="s">
        <v>542</v>
      </c>
      <c r="GH1" s="7" t="s">
        <v>543</v>
      </c>
      <c r="GI1" s="7" t="s">
        <v>544</v>
      </c>
      <c r="GJ1" s="7" t="s">
        <v>545</v>
      </c>
      <c r="GK1" s="7" t="s">
        <v>546</v>
      </c>
      <c r="GL1" s="7" t="s">
        <v>547</v>
      </c>
      <c r="GM1" s="7" t="s">
        <v>548</v>
      </c>
      <c r="GN1" s="7" t="s">
        <v>549</v>
      </c>
      <c r="GO1" s="7" t="s">
        <v>550</v>
      </c>
      <c r="GP1" s="7" t="s">
        <v>551</v>
      </c>
      <c r="GQ1" s="7" t="s">
        <v>552</v>
      </c>
      <c r="GR1" s="7" t="s">
        <v>553</v>
      </c>
      <c r="GS1" s="7" t="s">
        <v>554</v>
      </c>
      <c r="GT1" s="7" t="s">
        <v>555</v>
      </c>
      <c r="GU1" s="7" t="s">
        <v>556</v>
      </c>
      <c r="GV1" s="7" t="s">
        <v>557</v>
      </c>
      <c r="GW1" s="7" t="s">
        <v>558</v>
      </c>
      <c r="GX1" s="7" t="s">
        <v>559</v>
      </c>
      <c r="GY1" s="7" t="s">
        <v>560</v>
      </c>
      <c r="GZ1" s="7" t="s">
        <v>561</v>
      </c>
      <c r="HA1" s="7" t="s">
        <v>562</v>
      </c>
      <c r="HB1" s="7" t="s">
        <v>563</v>
      </c>
      <c r="HC1" s="7" t="s">
        <v>564</v>
      </c>
      <c r="HD1" s="7" t="s">
        <v>565</v>
      </c>
      <c r="HE1" s="7" t="s">
        <v>566</v>
      </c>
      <c r="HF1" s="7" t="s">
        <v>567</v>
      </c>
      <c r="HG1" s="7" t="s">
        <v>568</v>
      </c>
      <c r="HH1" s="7" t="s">
        <v>569</v>
      </c>
      <c r="HI1" s="7" t="s">
        <v>570</v>
      </c>
      <c r="HJ1" s="7" t="s">
        <v>571</v>
      </c>
      <c r="HK1" s="7" t="s">
        <v>572</v>
      </c>
      <c r="HL1" s="7" t="s">
        <v>573</v>
      </c>
      <c r="HM1" s="7" t="s">
        <v>574</v>
      </c>
      <c r="HN1" s="7" t="s">
        <v>575</v>
      </c>
      <c r="HO1" s="7" t="s">
        <v>576</v>
      </c>
      <c r="HP1" s="7" t="s">
        <v>577</v>
      </c>
      <c r="HQ1" s="7" t="s">
        <v>578</v>
      </c>
      <c r="HR1" s="7" t="s">
        <v>579</v>
      </c>
      <c r="HS1" s="7" t="s">
        <v>580</v>
      </c>
      <c r="HT1" s="7" t="s">
        <v>581</v>
      </c>
      <c r="HU1" s="7" t="s">
        <v>582</v>
      </c>
      <c r="HV1" s="7" t="s">
        <v>583</v>
      </c>
      <c r="HW1" s="7" t="s">
        <v>584</v>
      </c>
      <c r="HX1" s="7" t="s">
        <v>585</v>
      </c>
      <c r="HY1" s="7" t="s">
        <v>586</v>
      </c>
      <c r="HZ1" s="7" t="s">
        <v>587</v>
      </c>
      <c r="IA1" s="7" t="s">
        <v>588</v>
      </c>
      <c r="IB1" s="7" t="s">
        <v>589</v>
      </c>
      <c r="IC1" s="7" t="s">
        <v>590</v>
      </c>
      <c r="ID1" s="7" t="s">
        <v>591</v>
      </c>
      <c r="IE1" s="7" t="s">
        <v>592</v>
      </c>
      <c r="IF1" s="7" t="s">
        <v>593</v>
      </c>
      <c r="IG1" s="7" t="s">
        <v>594</v>
      </c>
      <c r="IH1" s="7" t="s">
        <v>595</v>
      </c>
      <c r="II1" s="7" t="s">
        <v>596</v>
      </c>
      <c r="IJ1" s="7" t="s">
        <v>597</v>
      </c>
      <c r="IK1" s="7" t="s">
        <v>598</v>
      </c>
      <c r="IL1" s="7" t="s">
        <v>599</v>
      </c>
      <c r="IM1" s="7" t="s">
        <v>600</v>
      </c>
      <c r="IN1" s="7" t="s">
        <v>601</v>
      </c>
      <c r="IO1" s="7" t="s">
        <v>602</v>
      </c>
      <c r="IP1" s="7" t="s">
        <v>603</v>
      </c>
      <c r="IQ1" s="7" t="s">
        <v>604</v>
      </c>
      <c r="IR1" s="7" t="s">
        <v>605</v>
      </c>
      <c r="IS1" s="7" t="s">
        <v>606</v>
      </c>
      <c r="IT1" s="7" t="s">
        <v>607</v>
      </c>
      <c r="IU1" s="7" t="s">
        <v>608</v>
      </c>
      <c r="IV1" s="7" t="s">
        <v>609</v>
      </c>
      <c r="IW1" s="7" t="s">
        <v>610</v>
      </c>
      <c r="IX1" s="7" t="s">
        <v>611</v>
      </c>
      <c r="IY1" s="7" t="s">
        <v>612</v>
      </c>
      <c r="IZ1" s="7" t="s">
        <v>613</v>
      </c>
      <c r="JA1" s="7" t="s">
        <v>614</v>
      </c>
      <c r="JB1" s="7" t="s">
        <v>615</v>
      </c>
      <c r="JC1" s="7" t="s">
        <v>616</v>
      </c>
      <c r="JD1" s="7" t="s">
        <v>617</v>
      </c>
      <c r="JE1" s="7" t="s">
        <v>618</v>
      </c>
      <c r="JF1" s="7" t="s">
        <v>619</v>
      </c>
      <c r="JG1" s="7" t="s">
        <v>620</v>
      </c>
      <c r="JH1" s="7" t="s">
        <v>621</v>
      </c>
      <c r="JI1" s="7" t="s">
        <v>622</v>
      </c>
      <c r="JJ1" s="7" t="s">
        <v>623</v>
      </c>
      <c r="JK1" s="7" t="s">
        <v>624</v>
      </c>
      <c r="JL1" s="7" t="s">
        <v>625</v>
      </c>
      <c r="JM1" s="7" t="s">
        <v>626</v>
      </c>
      <c r="JN1" s="7" t="s">
        <v>627</v>
      </c>
      <c r="JO1" s="7" t="s">
        <v>628</v>
      </c>
      <c r="JP1" s="7" t="s">
        <v>629</v>
      </c>
      <c r="JQ1" s="7" t="s">
        <v>630</v>
      </c>
      <c r="JR1" s="7" t="s">
        <v>631</v>
      </c>
      <c r="JS1" s="7" t="s">
        <v>632</v>
      </c>
      <c r="JT1" s="7" t="s">
        <v>633</v>
      </c>
      <c r="JU1" s="7" t="s">
        <v>634</v>
      </c>
      <c r="JV1" s="7" t="s">
        <v>635</v>
      </c>
      <c r="JW1" s="7" t="s">
        <v>636</v>
      </c>
      <c r="JX1" s="7" t="s">
        <v>637</v>
      </c>
      <c r="JY1" s="7" t="s">
        <v>638</v>
      </c>
      <c r="JZ1" s="7" t="s">
        <v>639</v>
      </c>
      <c r="KA1" s="7" t="s">
        <v>640</v>
      </c>
      <c r="KB1" s="7" t="s">
        <v>641</v>
      </c>
      <c r="KC1" s="7" t="s">
        <v>642</v>
      </c>
      <c r="KD1" s="7" t="s">
        <v>643</v>
      </c>
      <c r="KE1" s="7" t="s">
        <v>644</v>
      </c>
      <c r="KF1" s="7" t="s">
        <v>645</v>
      </c>
      <c r="KG1" s="7" t="s">
        <v>646</v>
      </c>
      <c r="KH1" s="7" t="s">
        <v>647</v>
      </c>
      <c r="KI1" s="7" t="s">
        <v>648</v>
      </c>
      <c r="KJ1" s="7" t="s">
        <v>649</v>
      </c>
      <c r="KK1" s="7" t="s">
        <v>650</v>
      </c>
      <c r="KL1" s="7" t="s">
        <v>651</v>
      </c>
      <c r="KM1" s="7" t="s">
        <v>652</v>
      </c>
      <c r="KN1" s="7" t="s">
        <v>653</v>
      </c>
      <c r="KO1" s="7" t="s">
        <v>654</v>
      </c>
      <c r="KP1" s="7" t="s">
        <v>655</v>
      </c>
      <c r="KQ1" s="7" t="s">
        <v>656</v>
      </c>
      <c r="KR1" s="7" t="s">
        <v>657</v>
      </c>
      <c r="KS1" s="7" t="s">
        <v>658</v>
      </c>
      <c r="KT1" s="7" t="s">
        <v>659</v>
      </c>
      <c r="KU1" s="7" t="s">
        <v>660</v>
      </c>
      <c r="KV1" s="7" t="s">
        <v>661</v>
      </c>
      <c r="KW1" s="7" t="s">
        <v>662</v>
      </c>
      <c r="KX1" s="7" t="s">
        <v>663</v>
      </c>
      <c r="KY1" s="7" t="s">
        <v>664</v>
      </c>
      <c r="KZ1" s="7" t="s">
        <v>665</v>
      </c>
      <c r="LA1" s="7" t="s">
        <v>666</v>
      </c>
      <c r="LB1" s="7" t="s">
        <v>667</v>
      </c>
      <c r="LC1" s="7" t="s">
        <v>668</v>
      </c>
      <c r="LD1" s="7" t="s">
        <v>669</v>
      </c>
      <c r="LE1" s="7" t="s">
        <v>670</v>
      </c>
      <c r="LF1" s="7" t="s">
        <v>671</v>
      </c>
      <c r="LG1" s="7" t="s">
        <v>672</v>
      </c>
      <c r="LH1" s="7" t="s">
        <v>673</v>
      </c>
      <c r="LI1" s="7" t="s">
        <v>674</v>
      </c>
      <c r="LJ1" s="7" t="s">
        <v>675</v>
      </c>
      <c r="LK1" s="7" t="s">
        <v>676</v>
      </c>
      <c r="LL1" s="7" t="s">
        <v>677</v>
      </c>
      <c r="LM1" s="7" t="s">
        <v>678</v>
      </c>
      <c r="LN1" s="7" t="s">
        <v>679</v>
      </c>
      <c r="LO1" s="7" t="s">
        <v>680</v>
      </c>
      <c r="LP1" s="7" t="s">
        <v>681</v>
      </c>
      <c r="LQ1" s="7" t="s">
        <v>682</v>
      </c>
      <c r="LR1" s="7" t="s">
        <v>683</v>
      </c>
      <c r="LS1" s="7" t="s">
        <v>684</v>
      </c>
      <c r="LT1" s="7" t="s">
        <v>685</v>
      </c>
      <c r="LU1" s="7" t="s">
        <v>686</v>
      </c>
      <c r="LV1" s="7" t="s">
        <v>687</v>
      </c>
      <c r="LW1" s="7" t="s">
        <v>688</v>
      </c>
      <c r="LX1" s="7" t="s">
        <v>689</v>
      </c>
      <c r="LY1" s="7" t="s">
        <v>690</v>
      </c>
      <c r="LZ1" s="7" t="s">
        <v>691</v>
      </c>
      <c r="MA1" s="7" t="s">
        <v>692</v>
      </c>
      <c r="MB1" s="7" t="s">
        <v>693</v>
      </c>
      <c r="MC1" s="7" t="s">
        <v>694</v>
      </c>
      <c r="MD1" s="7" t="s">
        <v>695</v>
      </c>
      <c r="ME1" s="7" t="s">
        <v>696</v>
      </c>
      <c r="MF1" s="7" t="s">
        <v>697</v>
      </c>
      <c r="MG1" s="7" t="s">
        <v>698</v>
      </c>
      <c r="MH1" s="7" t="s">
        <v>699</v>
      </c>
      <c r="MI1" s="7" t="s">
        <v>700</v>
      </c>
      <c r="MJ1" s="7" t="s">
        <v>701</v>
      </c>
      <c r="MK1" s="7" t="s">
        <v>702</v>
      </c>
      <c r="ML1" s="7" t="s">
        <v>703</v>
      </c>
      <c r="MM1" s="7" t="s">
        <v>704</v>
      </c>
      <c r="MN1" s="7" t="s">
        <v>705</v>
      </c>
      <c r="MO1" s="7" t="s">
        <v>706</v>
      </c>
      <c r="MP1" s="7" t="s">
        <v>707</v>
      </c>
      <c r="MQ1" s="7" t="s">
        <v>708</v>
      </c>
      <c r="MR1" s="7" t="s">
        <v>709</v>
      </c>
      <c r="MS1" s="7" t="s">
        <v>710</v>
      </c>
      <c r="MT1" s="7" t="s">
        <v>711</v>
      </c>
      <c r="MU1" s="7" t="s">
        <v>712</v>
      </c>
      <c r="MV1" s="7" t="s">
        <v>713</v>
      </c>
      <c r="MW1" s="7" t="s">
        <v>714</v>
      </c>
      <c r="MX1" s="7" t="s">
        <v>715</v>
      </c>
      <c r="MY1" s="7" t="s">
        <v>716</v>
      </c>
      <c r="MZ1" s="7" t="s">
        <v>717</v>
      </c>
      <c r="NA1" s="7" t="s">
        <v>718</v>
      </c>
      <c r="NB1" s="7" t="s">
        <v>719</v>
      </c>
      <c r="NC1" s="7" t="s">
        <v>720</v>
      </c>
      <c r="ND1" s="7" t="s">
        <v>721</v>
      </c>
      <c r="NE1" s="7" t="s">
        <v>722</v>
      </c>
      <c r="NF1" s="7" t="s">
        <v>723</v>
      </c>
      <c r="NG1" s="7" t="s">
        <v>724</v>
      </c>
      <c r="NH1" s="7" t="s">
        <v>725</v>
      </c>
      <c r="NI1" s="7" t="s">
        <v>726</v>
      </c>
      <c r="NJ1" s="7" t="s">
        <v>727</v>
      </c>
      <c r="NK1" s="7" t="s">
        <v>728</v>
      </c>
      <c r="NL1" s="7" t="s">
        <v>729</v>
      </c>
      <c r="NM1" s="7" t="s">
        <v>730</v>
      </c>
      <c r="NN1" s="7" t="s">
        <v>731</v>
      </c>
      <c r="NO1" s="7" t="s">
        <v>732</v>
      </c>
      <c r="NP1" s="7" t="s">
        <v>733</v>
      </c>
      <c r="NQ1" s="7" t="s">
        <v>734</v>
      </c>
      <c r="NR1" s="7" t="s">
        <v>735</v>
      </c>
      <c r="NS1" s="7" t="s">
        <v>736</v>
      </c>
      <c r="NT1" s="7" t="s">
        <v>737</v>
      </c>
      <c r="NU1" s="7" t="s">
        <v>738</v>
      </c>
      <c r="NV1" s="7" t="s">
        <v>739</v>
      </c>
      <c r="NW1" s="7" t="s">
        <v>740</v>
      </c>
      <c r="NX1" s="7" t="s">
        <v>741</v>
      </c>
      <c r="NY1" s="7" t="s">
        <v>742</v>
      </c>
      <c r="NZ1" s="7" t="s">
        <v>743</v>
      </c>
      <c r="OA1" s="7" t="s">
        <v>744</v>
      </c>
      <c r="OB1" s="7" t="s">
        <v>745</v>
      </c>
      <c r="OC1" s="7" t="s">
        <v>746</v>
      </c>
      <c r="OD1" s="7" t="s">
        <v>747</v>
      </c>
      <c r="OE1" s="7" t="s">
        <v>748</v>
      </c>
      <c r="OF1" s="7" t="s">
        <v>749</v>
      </c>
      <c r="OG1" s="7" t="s">
        <v>750</v>
      </c>
      <c r="OH1" s="7" t="s">
        <v>751</v>
      </c>
      <c r="OI1" s="7" t="s">
        <v>752</v>
      </c>
      <c r="OJ1" s="7" t="s">
        <v>753</v>
      </c>
      <c r="OK1" s="7" t="s">
        <v>754</v>
      </c>
      <c r="OL1" s="7" t="s">
        <v>755</v>
      </c>
      <c r="OM1" s="7" t="s">
        <v>756</v>
      </c>
      <c r="ON1" s="7" t="s">
        <v>757</v>
      </c>
      <c r="OO1" s="7" t="s">
        <v>758</v>
      </c>
      <c r="OP1" s="7" t="s">
        <v>759</v>
      </c>
      <c r="OQ1" s="7" t="s">
        <v>760</v>
      </c>
      <c r="OR1" s="7" t="s">
        <v>761</v>
      </c>
      <c r="OS1" s="7" t="s">
        <v>762</v>
      </c>
      <c r="OT1" s="7" t="s">
        <v>763</v>
      </c>
      <c r="OU1" s="7" t="s">
        <v>764</v>
      </c>
      <c r="OV1" s="7" t="s">
        <v>765</v>
      </c>
      <c r="OW1" s="7" t="s">
        <v>766</v>
      </c>
      <c r="OX1" s="7" t="s">
        <v>767</v>
      </c>
      <c r="OY1" s="7" t="s">
        <v>768</v>
      </c>
      <c r="OZ1" s="7" t="s">
        <v>769</v>
      </c>
      <c r="PA1" s="7" t="s">
        <v>770</v>
      </c>
      <c r="PB1" s="7" t="s">
        <v>771</v>
      </c>
      <c r="PC1" s="7" t="s">
        <v>772</v>
      </c>
      <c r="PD1" s="7" t="s">
        <v>773</v>
      </c>
      <c r="PE1" s="7" t="s">
        <v>774</v>
      </c>
      <c r="PF1" s="7" t="s">
        <v>775</v>
      </c>
      <c r="PG1" s="7" t="s">
        <v>776</v>
      </c>
      <c r="PH1" s="7" t="s">
        <v>777</v>
      </c>
      <c r="PI1" s="7" t="s">
        <v>778</v>
      </c>
      <c r="PJ1" s="7" t="s">
        <v>779</v>
      </c>
      <c r="PK1" s="7" t="s">
        <v>780</v>
      </c>
      <c r="PL1" s="7" t="s">
        <v>781</v>
      </c>
      <c r="PM1" s="7" t="s">
        <v>782</v>
      </c>
      <c r="PN1" s="7" t="s">
        <v>783</v>
      </c>
      <c r="PO1" s="7" t="s">
        <v>784</v>
      </c>
      <c r="PP1" s="7" t="s">
        <v>785</v>
      </c>
      <c r="PQ1" s="7" t="s">
        <v>786</v>
      </c>
      <c r="PR1" s="7" t="s">
        <v>787</v>
      </c>
      <c r="PS1" s="7" t="s">
        <v>788</v>
      </c>
      <c r="PT1" s="7" t="s">
        <v>789</v>
      </c>
      <c r="PU1" s="7" t="s">
        <v>790</v>
      </c>
      <c r="PV1" s="7" t="s">
        <v>791</v>
      </c>
      <c r="PW1" s="7" t="s">
        <v>792</v>
      </c>
      <c r="PX1" s="7" t="s">
        <v>793</v>
      </c>
      <c r="PY1" s="7" t="s">
        <v>794</v>
      </c>
      <c r="PZ1" s="7" t="s">
        <v>795</v>
      </c>
      <c r="QA1" s="7" t="s">
        <v>796</v>
      </c>
      <c r="QB1" s="7" t="s">
        <v>797</v>
      </c>
      <c r="QC1" s="7" t="s">
        <v>798</v>
      </c>
      <c r="QD1" s="7" t="s">
        <v>799</v>
      </c>
      <c r="QE1" s="7" t="s">
        <v>800</v>
      </c>
      <c r="QF1" s="7" t="s">
        <v>801</v>
      </c>
      <c r="QG1" s="7" t="s">
        <v>802</v>
      </c>
      <c r="QH1" s="7" t="s">
        <v>803</v>
      </c>
      <c r="QI1" s="7" t="s">
        <v>804</v>
      </c>
      <c r="QJ1" s="7" t="s">
        <v>805</v>
      </c>
      <c r="QK1" s="7" t="s">
        <v>806</v>
      </c>
      <c r="QL1" s="7" t="s">
        <v>807</v>
      </c>
      <c r="QM1" s="7" t="s">
        <v>808</v>
      </c>
      <c r="QN1" s="7" t="s">
        <v>809</v>
      </c>
      <c r="QO1" s="7" t="s">
        <v>810</v>
      </c>
      <c r="QP1" s="7" t="s">
        <v>811</v>
      </c>
      <c r="QQ1" s="7" t="s">
        <v>812</v>
      </c>
      <c r="QR1" s="7" t="s">
        <v>813</v>
      </c>
      <c r="QS1" s="7" t="s">
        <v>814</v>
      </c>
      <c r="QT1" s="7" t="s">
        <v>815</v>
      </c>
      <c r="QU1" s="7" t="s">
        <v>816</v>
      </c>
      <c r="QV1" s="7" t="s">
        <v>817</v>
      </c>
      <c r="QW1" s="7" t="s">
        <v>818</v>
      </c>
      <c r="QX1" s="7" t="s">
        <v>819</v>
      </c>
      <c r="QY1" s="7" t="s">
        <v>820</v>
      </c>
      <c r="QZ1" s="7" t="s">
        <v>821</v>
      </c>
      <c r="RA1" s="7" t="s">
        <v>822</v>
      </c>
      <c r="RB1" s="7" t="s">
        <v>823</v>
      </c>
      <c r="RC1" s="7" t="s">
        <v>824</v>
      </c>
      <c r="RD1" s="7" t="s">
        <v>825</v>
      </c>
      <c r="RE1" s="7" t="s">
        <v>826</v>
      </c>
      <c r="RF1" s="7" t="s">
        <v>827</v>
      </c>
      <c r="RG1" s="7" t="s">
        <v>828</v>
      </c>
      <c r="RH1" s="7" t="s">
        <v>829</v>
      </c>
      <c r="RI1" s="7" t="s">
        <v>830</v>
      </c>
      <c r="RJ1" s="7" t="s">
        <v>831</v>
      </c>
      <c r="RK1" s="7" t="s">
        <v>832</v>
      </c>
      <c r="RL1" s="7" t="s">
        <v>833</v>
      </c>
      <c r="RM1" s="7" t="s">
        <v>834</v>
      </c>
      <c r="RN1" s="7" t="s">
        <v>835</v>
      </c>
      <c r="RO1" s="7" t="s">
        <v>836</v>
      </c>
      <c r="RP1" s="7" t="s">
        <v>837</v>
      </c>
      <c r="RQ1" s="7" t="s">
        <v>838</v>
      </c>
      <c r="RR1" s="7" t="s">
        <v>839</v>
      </c>
      <c r="RS1" s="7" t="s">
        <v>840</v>
      </c>
      <c r="RT1" s="7" t="s">
        <v>841</v>
      </c>
      <c r="RU1" s="7" t="s">
        <v>842</v>
      </c>
      <c r="RV1" s="7" t="s">
        <v>843</v>
      </c>
      <c r="RW1" s="7" t="s">
        <v>844</v>
      </c>
      <c r="RX1" s="7" t="s">
        <v>845</v>
      </c>
      <c r="RY1" s="7" t="s">
        <v>846</v>
      </c>
      <c r="RZ1" s="7" t="s">
        <v>847</v>
      </c>
      <c r="SA1" s="7" t="s">
        <v>848</v>
      </c>
      <c r="SB1" s="7" t="s">
        <v>849</v>
      </c>
      <c r="SC1" s="7" t="s">
        <v>850</v>
      </c>
      <c r="SD1" s="7" t="s">
        <v>851</v>
      </c>
      <c r="SE1" s="7" t="s">
        <v>852</v>
      </c>
      <c r="SF1" s="7" t="s">
        <v>853</v>
      </c>
      <c r="SG1" s="7" t="s">
        <v>854</v>
      </c>
      <c r="SH1" s="7" t="s">
        <v>855</v>
      </c>
      <c r="SI1" s="7" t="s">
        <v>856</v>
      </c>
      <c r="SJ1" s="7" t="s">
        <v>857</v>
      </c>
      <c r="SK1" s="7" t="s">
        <v>858</v>
      </c>
      <c r="SL1" s="7" t="s">
        <v>859</v>
      </c>
      <c r="SM1" s="7" t="s">
        <v>860</v>
      </c>
      <c r="SN1" s="7" t="s">
        <v>861</v>
      </c>
      <c r="SO1" s="7" t="s">
        <v>862</v>
      </c>
      <c r="SP1" s="7" t="s">
        <v>863</v>
      </c>
      <c r="SQ1" s="7" t="s">
        <v>864</v>
      </c>
      <c r="SR1" s="7" t="s">
        <v>865</v>
      </c>
      <c r="SS1" s="7" t="s">
        <v>866</v>
      </c>
      <c r="ST1" s="7" t="s">
        <v>867</v>
      </c>
      <c r="SU1" s="7" t="s">
        <v>868</v>
      </c>
      <c r="SV1" s="7" t="s">
        <v>869</v>
      </c>
      <c r="SW1" s="7" t="s">
        <v>870</v>
      </c>
      <c r="SX1" s="7" t="s">
        <v>871</v>
      </c>
      <c r="SY1" s="7" t="s">
        <v>872</v>
      </c>
      <c r="SZ1" s="7" t="s">
        <v>873</v>
      </c>
      <c r="TA1" s="7" t="s">
        <v>874</v>
      </c>
      <c r="TB1" s="7" t="s">
        <v>875</v>
      </c>
      <c r="TC1" s="7" t="s">
        <v>876</v>
      </c>
      <c r="TD1" s="7" t="s">
        <v>877</v>
      </c>
      <c r="TE1" s="7" t="s">
        <v>878</v>
      </c>
      <c r="TF1" s="7" t="s">
        <v>879</v>
      </c>
      <c r="TG1" s="7" t="s">
        <v>880</v>
      </c>
      <c r="TH1" s="7" t="s">
        <v>881</v>
      </c>
      <c r="TI1" s="7" t="s">
        <v>882</v>
      </c>
      <c r="TJ1" s="7" t="s">
        <v>883</v>
      </c>
      <c r="TK1" s="7" t="s">
        <v>884</v>
      </c>
      <c r="TL1" s="7" t="s">
        <v>885</v>
      </c>
      <c r="TM1" s="7" t="s">
        <v>886</v>
      </c>
      <c r="TN1" s="7" t="s">
        <v>887</v>
      </c>
      <c r="TO1" s="7" t="s">
        <v>888</v>
      </c>
      <c r="TP1" s="7" t="s">
        <v>889</v>
      </c>
      <c r="TQ1" s="7" t="s">
        <v>890</v>
      </c>
      <c r="TR1" s="7" t="s">
        <v>891</v>
      </c>
      <c r="TS1" s="7" t="s">
        <v>892</v>
      </c>
      <c r="TT1" s="7" t="s">
        <v>893</v>
      </c>
      <c r="TU1" s="7" t="s">
        <v>894</v>
      </c>
      <c r="TV1" s="7" t="s">
        <v>895</v>
      </c>
      <c r="TW1" s="7" t="s">
        <v>896</v>
      </c>
      <c r="TX1" s="7" t="s">
        <v>897</v>
      </c>
      <c r="TY1" s="7" t="s">
        <v>898</v>
      </c>
      <c r="TZ1" s="7" t="s">
        <v>899</v>
      </c>
      <c r="UA1" s="7" t="s">
        <v>900</v>
      </c>
      <c r="UB1" s="7" t="s">
        <v>901</v>
      </c>
      <c r="UC1" s="7" t="s">
        <v>902</v>
      </c>
      <c r="UD1" s="7" t="s">
        <v>903</v>
      </c>
      <c r="UE1" s="7" t="s">
        <v>904</v>
      </c>
      <c r="UF1" s="7" t="s">
        <v>905</v>
      </c>
      <c r="UG1" s="7" t="s">
        <v>906</v>
      </c>
      <c r="UH1" s="7" t="s">
        <v>907</v>
      </c>
      <c r="UI1" s="7" t="s">
        <v>908</v>
      </c>
      <c r="UJ1" s="7" t="s">
        <v>909</v>
      </c>
      <c r="UK1" s="7" t="s">
        <v>910</v>
      </c>
      <c r="UL1" s="7" t="s">
        <v>911</v>
      </c>
      <c r="UM1" s="7" t="s">
        <v>912</v>
      </c>
      <c r="UN1" s="7" t="s">
        <v>913</v>
      </c>
      <c r="UO1" s="7" t="s">
        <v>914</v>
      </c>
      <c r="UP1" s="7" t="s">
        <v>915</v>
      </c>
      <c r="UQ1" s="7" t="s">
        <v>916</v>
      </c>
      <c r="UR1" s="7" t="s">
        <v>917</v>
      </c>
      <c r="US1" s="7" t="s">
        <v>918</v>
      </c>
      <c r="UT1" s="7" t="s">
        <v>919</v>
      </c>
      <c r="UU1" s="7" t="s">
        <v>920</v>
      </c>
      <c r="UV1" s="7" t="s">
        <v>921</v>
      </c>
      <c r="UW1" s="7" t="s">
        <v>922</v>
      </c>
      <c r="UX1" s="7" t="s">
        <v>923</v>
      </c>
      <c r="UY1" s="7" t="s">
        <v>924</v>
      </c>
      <c r="UZ1" s="7" t="s">
        <v>925</v>
      </c>
      <c r="VA1" s="7" t="s">
        <v>926</v>
      </c>
      <c r="VB1" s="7" t="s">
        <v>927</v>
      </c>
      <c r="VC1" s="7" t="s">
        <v>928</v>
      </c>
      <c r="VD1" s="7" t="s">
        <v>929</v>
      </c>
      <c r="VE1" s="7" t="s">
        <v>930</v>
      </c>
      <c r="VF1" s="7" t="s">
        <v>931</v>
      </c>
      <c r="VG1" s="7" t="s">
        <v>932</v>
      </c>
      <c r="VH1" s="7" t="s">
        <v>933</v>
      </c>
      <c r="VI1" s="7" t="s">
        <v>934</v>
      </c>
      <c r="VJ1" s="7" t="s">
        <v>935</v>
      </c>
      <c r="VK1" s="7" t="s">
        <v>936</v>
      </c>
      <c r="VL1" s="7" t="s">
        <v>937</v>
      </c>
      <c r="VM1" s="7" t="s">
        <v>938</v>
      </c>
      <c r="VN1" s="7" t="s">
        <v>939</v>
      </c>
      <c r="VO1" s="7" t="s">
        <v>940</v>
      </c>
      <c r="VP1" s="7" t="s">
        <v>941</v>
      </c>
      <c r="VQ1" s="7" t="s">
        <v>942</v>
      </c>
      <c r="VR1" s="7" t="s">
        <v>943</v>
      </c>
      <c r="VS1" s="7" t="s">
        <v>944</v>
      </c>
      <c r="VT1" s="7" t="s">
        <v>945</v>
      </c>
      <c r="VU1" s="7" t="s">
        <v>946</v>
      </c>
      <c r="VV1" s="7" t="s">
        <v>947</v>
      </c>
      <c r="VW1" s="7" t="s">
        <v>948</v>
      </c>
      <c r="VX1" s="7" t="s">
        <v>949</v>
      </c>
      <c r="VY1" s="7" t="s">
        <v>950</v>
      </c>
      <c r="VZ1" s="7" t="s">
        <v>951</v>
      </c>
      <c r="WA1" s="7" t="s">
        <v>952</v>
      </c>
      <c r="WB1" s="7" t="s">
        <v>953</v>
      </c>
      <c r="WC1" s="7" t="s">
        <v>954</v>
      </c>
      <c r="WD1" s="7" t="s">
        <v>955</v>
      </c>
      <c r="WE1" s="7" t="s">
        <v>956</v>
      </c>
      <c r="WF1" s="7" t="s">
        <v>957</v>
      </c>
      <c r="WG1" s="7" t="s">
        <v>958</v>
      </c>
      <c r="WH1" s="7" t="s">
        <v>959</v>
      </c>
      <c r="WI1" s="7" t="s">
        <v>960</v>
      </c>
      <c r="WJ1" s="7" t="s">
        <v>961</v>
      </c>
      <c r="WK1" s="7" t="s">
        <v>962</v>
      </c>
      <c r="WL1" s="7" t="s">
        <v>963</v>
      </c>
      <c r="WM1" s="7" t="s">
        <v>964</v>
      </c>
      <c r="WN1" s="7" t="s">
        <v>965</v>
      </c>
      <c r="WO1" s="7" t="s">
        <v>966</v>
      </c>
      <c r="WP1" s="7" t="s">
        <v>967</v>
      </c>
      <c r="WQ1" s="7" t="s">
        <v>968</v>
      </c>
      <c r="WR1" s="7" t="s">
        <v>969</v>
      </c>
      <c r="WS1" s="7" t="s">
        <v>970</v>
      </c>
      <c r="WT1" s="7" t="s">
        <v>971</v>
      </c>
      <c r="WU1" s="7" t="s">
        <v>972</v>
      </c>
      <c r="WV1" s="7" t="s">
        <v>973</v>
      </c>
      <c r="WW1" s="7" t="s">
        <v>974</v>
      </c>
      <c r="WX1" s="7" t="s">
        <v>975</v>
      </c>
      <c r="WY1" s="7" t="s">
        <v>976</v>
      </c>
      <c r="WZ1" s="7" t="s">
        <v>977</v>
      </c>
      <c r="XA1" s="7" t="s">
        <v>978</v>
      </c>
      <c r="XB1" s="7" t="s">
        <v>979</v>
      </c>
      <c r="XC1" s="7" t="s">
        <v>980</v>
      </c>
      <c r="XD1" s="7" t="s">
        <v>981</v>
      </c>
      <c r="XE1" s="7" t="s">
        <v>982</v>
      </c>
      <c r="XF1" s="7" t="s">
        <v>983</v>
      </c>
      <c r="XG1" s="7" t="s">
        <v>984</v>
      </c>
      <c r="XH1" s="7" t="s">
        <v>985</v>
      </c>
      <c r="XI1" s="7" t="s">
        <v>986</v>
      </c>
      <c r="XJ1" s="7" t="s">
        <v>987</v>
      </c>
      <c r="XK1" s="7" t="s">
        <v>988</v>
      </c>
      <c r="XL1" s="7" t="s">
        <v>989</v>
      </c>
      <c r="XM1" s="7" t="s">
        <v>990</v>
      </c>
      <c r="XN1" s="7" t="s">
        <v>991</v>
      </c>
      <c r="XO1" s="7" t="s">
        <v>992</v>
      </c>
      <c r="XP1" s="7" t="s">
        <v>993</v>
      </c>
      <c r="XQ1" s="7" t="s">
        <v>994</v>
      </c>
      <c r="XR1" s="7" t="s">
        <v>995</v>
      </c>
      <c r="XS1" s="7" t="s">
        <v>996</v>
      </c>
      <c r="XT1" s="7" t="s">
        <v>997</v>
      </c>
      <c r="XU1" s="7" t="s">
        <v>998</v>
      </c>
      <c r="XV1" s="7" t="s">
        <v>999</v>
      </c>
      <c r="XW1" s="7" t="s">
        <v>1000</v>
      </c>
      <c r="XX1" s="7" t="s">
        <v>1001</v>
      </c>
      <c r="XY1" s="7" t="s">
        <v>1002</v>
      </c>
      <c r="XZ1" s="7" t="s">
        <v>1003</v>
      </c>
      <c r="YA1" s="7" t="s">
        <v>1004</v>
      </c>
      <c r="YB1" s="7" t="s">
        <v>1005</v>
      </c>
      <c r="YC1" s="7" t="s">
        <v>1006</v>
      </c>
      <c r="YD1" s="7" t="s">
        <v>1007</v>
      </c>
      <c r="YE1" s="7" t="s">
        <v>1008</v>
      </c>
      <c r="YF1" s="7" t="s">
        <v>1009</v>
      </c>
      <c r="YG1" s="7" t="s">
        <v>1010</v>
      </c>
      <c r="YH1" s="7" t="s">
        <v>1011</v>
      </c>
      <c r="YI1" s="7" t="s">
        <v>1012</v>
      </c>
      <c r="YJ1" s="7" t="s">
        <v>1013</v>
      </c>
      <c r="YK1" s="7" t="s">
        <v>1014</v>
      </c>
      <c r="YL1" s="7" t="s">
        <v>1015</v>
      </c>
      <c r="YM1" s="7" t="s">
        <v>1016</v>
      </c>
      <c r="YN1" s="7" t="s">
        <v>1017</v>
      </c>
      <c r="YO1" s="7" t="s">
        <v>1018</v>
      </c>
      <c r="YP1" s="7" t="s">
        <v>1019</v>
      </c>
      <c r="YQ1" s="7" t="s">
        <v>1020</v>
      </c>
      <c r="YR1" s="7" t="s">
        <v>1021</v>
      </c>
      <c r="YS1" s="7" t="s">
        <v>1022</v>
      </c>
      <c r="YT1" s="7" t="s">
        <v>1023</v>
      </c>
      <c r="YU1" s="7" t="s">
        <v>1024</v>
      </c>
      <c r="YV1" s="7" t="s">
        <v>1025</v>
      </c>
      <c r="YW1" s="7" t="s">
        <v>1026</v>
      </c>
      <c r="YX1" s="7" t="s">
        <v>1027</v>
      </c>
      <c r="YY1" s="7" t="s">
        <v>1028</v>
      </c>
      <c r="YZ1" s="7" t="s">
        <v>1029</v>
      </c>
      <c r="ZA1" s="7" t="s">
        <v>1030</v>
      </c>
      <c r="ZB1" s="7" t="s">
        <v>1031</v>
      </c>
      <c r="ZC1" s="7" t="s">
        <v>1032</v>
      </c>
      <c r="ZD1" s="7" t="s">
        <v>1033</v>
      </c>
      <c r="ZE1" s="7" t="s">
        <v>1034</v>
      </c>
      <c r="ZF1" s="7" t="s">
        <v>1035</v>
      </c>
      <c r="ZG1" s="7" t="s">
        <v>1036</v>
      </c>
      <c r="ZH1" s="7" t="s">
        <v>1037</v>
      </c>
      <c r="ZI1" s="7" t="s">
        <v>1038</v>
      </c>
      <c r="ZJ1" s="7" t="s">
        <v>1039</v>
      </c>
      <c r="ZK1" s="7" t="s">
        <v>1040</v>
      </c>
      <c r="ZL1" s="7" t="s">
        <v>1041</v>
      </c>
      <c r="ZM1" s="7" t="s">
        <v>1042</v>
      </c>
      <c r="ZN1" s="7" t="s">
        <v>1043</v>
      </c>
      <c r="ZO1" s="7" t="s">
        <v>1044</v>
      </c>
      <c r="ZP1" s="7" t="s">
        <v>1045</v>
      </c>
      <c r="ZQ1" s="7" t="s">
        <v>1046</v>
      </c>
      <c r="ZR1" s="7" t="s">
        <v>1047</v>
      </c>
      <c r="ZS1" s="7" t="s">
        <v>1048</v>
      </c>
      <c r="ZT1" s="7" t="s">
        <v>1049</v>
      </c>
      <c r="ZU1" s="7" t="s">
        <v>1050</v>
      </c>
      <c r="ZV1" s="7" t="s">
        <v>1051</v>
      </c>
      <c r="ZW1" s="7" t="s">
        <v>1052</v>
      </c>
      <c r="ZX1" s="7" t="s">
        <v>1053</v>
      </c>
      <c r="ZY1" s="7" t="s">
        <v>1054</v>
      </c>
      <c r="ZZ1" s="7" t="s">
        <v>1055</v>
      </c>
      <c r="AAA1" s="7" t="s">
        <v>1056</v>
      </c>
      <c r="AAB1" s="7" t="s">
        <v>1057</v>
      </c>
      <c r="AAC1" s="7" t="s">
        <v>1058</v>
      </c>
      <c r="AAD1" s="7" t="s">
        <v>1059</v>
      </c>
      <c r="AAE1" s="7" t="s">
        <v>1060</v>
      </c>
      <c r="AAF1" s="7" t="s">
        <v>1061</v>
      </c>
      <c r="AAG1" s="7" t="s">
        <v>1062</v>
      </c>
      <c r="AAH1" s="7" t="s">
        <v>1063</v>
      </c>
      <c r="AAI1" s="7" t="s">
        <v>1064</v>
      </c>
      <c r="AAJ1" s="7" t="s">
        <v>1065</v>
      </c>
      <c r="AAK1" s="7" t="s">
        <v>1066</v>
      </c>
      <c r="AAL1" s="7" t="s">
        <v>1067</v>
      </c>
      <c r="AAM1" s="7" t="s">
        <v>1068</v>
      </c>
      <c r="AAN1" s="7" t="s">
        <v>1069</v>
      </c>
      <c r="AAO1" s="7" t="s">
        <v>1070</v>
      </c>
      <c r="AAP1" s="7" t="s">
        <v>1071</v>
      </c>
      <c r="AAQ1" s="7" t="s">
        <v>1072</v>
      </c>
      <c r="AAR1" s="7" t="s">
        <v>1073</v>
      </c>
      <c r="AAS1" s="7" t="s">
        <v>1074</v>
      </c>
      <c r="AAT1" s="7" t="s">
        <v>1075</v>
      </c>
      <c r="AAU1" s="7" t="s">
        <v>1076</v>
      </c>
      <c r="AAV1" s="7" t="s">
        <v>1077</v>
      </c>
      <c r="AAW1" s="7" t="s">
        <v>1078</v>
      </c>
      <c r="AAX1" s="7" t="s">
        <v>1079</v>
      </c>
      <c r="AAY1" s="7" t="s">
        <v>1080</v>
      </c>
      <c r="AAZ1" s="7" t="s">
        <v>1081</v>
      </c>
      <c r="ABA1" s="7" t="s">
        <v>1082</v>
      </c>
      <c r="ABB1" s="7" t="s">
        <v>1083</v>
      </c>
      <c r="ABC1" s="7" t="s">
        <v>1084</v>
      </c>
      <c r="ABD1" s="7" t="s">
        <v>1085</v>
      </c>
      <c r="ABE1" s="7" t="s">
        <v>1086</v>
      </c>
      <c r="ABF1" s="7" t="s">
        <v>1087</v>
      </c>
      <c r="ABG1" s="7" t="s">
        <v>1088</v>
      </c>
      <c r="ABH1" s="7" t="s">
        <v>1089</v>
      </c>
      <c r="ABI1" s="7" t="s">
        <v>1090</v>
      </c>
      <c r="ABJ1" s="7" t="s">
        <v>1091</v>
      </c>
      <c r="ABK1" s="7" t="s">
        <v>1092</v>
      </c>
      <c r="ABL1" s="7" t="s">
        <v>1093</v>
      </c>
      <c r="ABM1" s="7" t="s">
        <v>1094</v>
      </c>
      <c r="ABN1" s="7" t="s">
        <v>1095</v>
      </c>
      <c r="ABO1" s="7" t="s">
        <v>1096</v>
      </c>
      <c r="ABP1" s="7" t="s">
        <v>1097</v>
      </c>
      <c r="ABQ1" s="7" t="s">
        <v>1098</v>
      </c>
      <c r="ABR1" s="7" t="s">
        <v>1099</v>
      </c>
      <c r="ABS1" s="7" t="s">
        <v>1100</v>
      </c>
      <c r="ABT1" s="7" t="s">
        <v>1101</v>
      </c>
      <c r="ABU1" s="7" t="s">
        <v>1102</v>
      </c>
      <c r="ABV1" s="7" t="s">
        <v>1103</v>
      </c>
      <c r="ABW1" s="7" t="s">
        <v>1104</v>
      </c>
      <c r="ABX1" s="7" t="s">
        <v>1105</v>
      </c>
      <c r="ABY1" s="7" t="s">
        <v>1106</v>
      </c>
      <c r="ABZ1" s="7" t="s">
        <v>1107</v>
      </c>
      <c r="ACA1" s="7" t="s">
        <v>1108</v>
      </c>
      <c r="ACB1" s="7" t="s">
        <v>1109</v>
      </c>
      <c r="ACC1" s="7" t="s">
        <v>1110</v>
      </c>
      <c r="ACD1" s="7" t="s">
        <v>1111</v>
      </c>
      <c r="ACE1" s="7" t="s">
        <v>1112</v>
      </c>
      <c r="ACF1" s="7" t="s">
        <v>1113</v>
      </c>
      <c r="ACG1" s="7" t="s">
        <v>1114</v>
      </c>
      <c r="ACH1" s="7" t="s">
        <v>1115</v>
      </c>
      <c r="ACI1" s="7" t="s">
        <v>1116</v>
      </c>
      <c r="ACJ1" s="7" t="s">
        <v>1117</v>
      </c>
      <c r="ACK1" s="7" t="s">
        <v>1118</v>
      </c>
      <c r="ACL1" s="7" t="s">
        <v>1119</v>
      </c>
      <c r="ACM1" s="7" t="s">
        <v>1120</v>
      </c>
      <c r="ACN1" s="7" t="s">
        <v>1121</v>
      </c>
      <c r="ACO1" s="7" t="s">
        <v>1122</v>
      </c>
      <c r="ACP1" s="7" t="s">
        <v>1123</v>
      </c>
      <c r="ACQ1" s="7" t="s">
        <v>1124</v>
      </c>
      <c r="ACR1" s="7" t="s">
        <v>1125</v>
      </c>
      <c r="ACS1" s="7" t="s">
        <v>1126</v>
      </c>
      <c r="ACT1" s="7" t="s">
        <v>1127</v>
      </c>
      <c r="ACU1" s="7" t="s">
        <v>1128</v>
      </c>
      <c r="ACV1" s="7" t="s">
        <v>1129</v>
      </c>
      <c r="ACW1" s="7" t="s">
        <v>1130</v>
      </c>
      <c r="ACX1" s="7" t="s">
        <v>1131</v>
      </c>
      <c r="ACY1" s="7" t="s">
        <v>1132</v>
      </c>
      <c r="ACZ1" s="7" t="s">
        <v>1133</v>
      </c>
      <c r="ADA1" s="7" t="s">
        <v>1134</v>
      </c>
      <c r="ADB1" s="7" t="s">
        <v>1135</v>
      </c>
      <c r="ADC1" s="7" t="s">
        <v>1136</v>
      </c>
      <c r="ADD1" s="7" t="s">
        <v>1137</v>
      </c>
      <c r="ADE1" s="7" t="s">
        <v>1138</v>
      </c>
      <c r="ADF1" s="7" t="s">
        <v>1139</v>
      </c>
      <c r="ADG1" s="7" t="s">
        <v>1140</v>
      </c>
      <c r="ADH1" s="7" t="s">
        <v>1141</v>
      </c>
      <c r="ADI1" s="7" t="s">
        <v>1142</v>
      </c>
      <c r="ADJ1" s="7" t="s">
        <v>1143</v>
      </c>
      <c r="ADK1" s="7" t="s">
        <v>1144</v>
      </c>
      <c r="ADL1" s="7" t="s">
        <v>1145</v>
      </c>
      <c r="ADM1" s="7" t="s">
        <v>1146</v>
      </c>
      <c r="ADN1" s="7" t="s">
        <v>1147</v>
      </c>
      <c r="ADO1" s="7" t="s">
        <v>1148</v>
      </c>
      <c r="ADP1" s="7" t="s">
        <v>1149</v>
      </c>
      <c r="ADQ1" s="7" t="s">
        <v>1150</v>
      </c>
      <c r="ADR1" s="7" t="s">
        <v>1151</v>
      </c>
      <c r="ADS1" s="7" t="s">
        <v>1152</v>
      </c>
      <c r="ADT1" s="7" t="s">
        <v>1153</v>
      </c>
      <c r="ADU1" s="7" t="s">
        <v>1154</v>
      </c>
      <c r="ADV1" s="7" t="s">
        <v>1155</v>
      </c>
      <c r="ADW1" s="7" t="s">
        <v>1156</v>
      </c>
      <c r="ADX1" s="7" t="s">
        <v>1157</v>
      </c>
      <c r="ADY1" s="7" t="s">
        <v>1158</v>
      </c>
      <c r="ADZ1" s="7" t="s">
        <v>1159</v>
      </c>
      <c r="AEA1" s="7" t="s">
        <v>1160</v>
      </c>
      <c r="AEB1" s="7" t="s">
        <v>1161</v>
      </c>
      <c r="AEC1" s="7" t="s">
        <v>1162</v>
      </c>
      <c r="AED1" s="7" t="s">
        <v>1163</v>
      </c>
      <c r="AEE1" s="7" t="s">
        <v>1164</v>
      </c>
      <c r="AEF1" s="7" t="s">
        <v>1165</v>
      </c>
      <c r="AEG1" s="7" t="s">
        <v>1166</v>
      </c>
      <c r="AEH1" s="7" t="s">
        <v>1167</v>
      </c>
      <c r="AEI1" s="7" t="s">
        <v>1168</v>
      </c>
      <c r="AEJ1" s="7" t="s">
        <v>1169</v>
      </c>
      <c r="AEK1" s="7" t="s">
        <v>1170</v>
      </c>
      <c r="AEL1" s="7" t="s">
        <v>1171</v>
      </c>
      <c r="AEM1" s="7" t="s">
        <v>1172</v>
      </c>
      <c r="AEN1" s="7" t="s">
        <v>1173</v>
      </c>
      <c r="AEO1" s="7" t="s">
        <v>1174</v>
      </c>
      <c r="AEP1" s="7" t="s">
        <v>1175</v>
      </c>
      <c r="AEQ1" s="7" t="s">
        <v>1176</v>
      </c>
      <c r="AER1" s="7" t="s">
        <v>1177</v>
      </c>
      <c r="AES1" s="7" t="s">
        <v>1178</v>
      </c>
      <c r="AET1" s="7" t="s">
        <v>1179</v>
      </c>
      <c r="AEU1" s="7" t="s">
        <v>1180</v>
      </c>
      <c r="AEV1" s="7" t="s">
        <v>1181</v>
      </c>
      <c r="AEW1" s="7" t="s">
        <v>1182</v>
      </c>
      <c r="AEX1" s="7" t="s">
        <v>1183</v>
      </c>
      <c r="AEY1" s="7" t="s">
        <v>1184</v>
      </c>
      <c r="AEZ1" s="7" t="s">
        <v>1185</v>
      </c>
      <c r="AFA1" s="7" t="s">
        <v>1186</v>
      </c>
      <c r="AFB1" s="7" t="s">
        <v>1187</v>
      </c>
      <c r="AFC1" s="7" t="s">
        <v>1188</v>
      </c>
      <c r="AFD1" s="7" t="s">
        <v>1189</v>
      </c>
      <c r="AFE1" s="7" t="s">
        <v>1190</v>
      </c>
      <c r="AFF1" s="7" t="s">
        <v>1191</v>
      </c>
      <c r="AFG1" s="7" t="s">
        <v>1192</v>
      </c>
      <c r="AFH1" s="7" t="s">
        <v>1193</v>
      </c>
      <c r="AFI1" s="7" t="s">
        <v>1194</v>
      </c>
      <c r="AFJ1" s="7" t="s">
        <v>1195</v>
      </c>
      <c r="AFK1" s="7" t="s">
        <v>1196</v>
      </c>
      <c r="AFL1" s="7" t="s">
        <v>1197</v>
      </c>
      <c r="AFM1" s="7" t="s">
        <v>1198</v>
      </c>
      <c r="AFN1" s="7" t="s">
        <v>1199</v>
      </c>
      <c r="AFO1" s="7" t="s">
        <v>1200</v>
      </c>
      <c r="AFP1" s="7" t="s">
        <v>1201</v>
      </c>
      <c r="AFQ1" s="7" t="s">
        <v>1202</v>
      </c>
      <c r="AFR1" s="7" t="s">
        <v>1203</v>
      </c>
      <c r="AFS1" s="7" t="s">
        <v>1204</v>
      </c>
      <c r="AFT1" s="7" t="s">
        <v>1205</v>
      </c>
      <c r="AFU1" s="7" t="s">
        <v>1206</v>
      </c>
      <c r="AFV1" s="7" t="s">
        <v>1207</v>
      </c>
      <c r="AFW1" s="7" t="s">
        <v>1208</v>
      </c>
      <c r="AFX1" s="7" t="s">
        <v>1209</v>
      </c>
      <c r="AFY1" s="7" t="s">
        <v>1210</v>
      </c>
      <c r="AFZ1" s="7" t="s">
        <v>1211</v>
      </c>
      <c r="AGA1" s="7" t="s">
        <v>1212</v>
      </c>
      <c r="AGB1" s="7" t="s">
        <v>1213</v>
      </c>
      <c r="AGC1" s="7" t="s">
        <v>1214</v>
      </c>
      <c r="AGD1" s="7" t="s">
        <v>1215</v>
      </c>
      <c r="AGE1" s="7" t="s">
        <v>1216</v>
      </c>
      <c r="AGF1" s="7" t="s">
        <v>1217</v>
      </c>
      <c r="AGG1" s="7" t="s">
        <v>1218</v>
      </c>
      <c r="AGH1" s="7" t="s">
        <v>1219</v>
      </c>
      <c r="AGI1" s="7" t="s">
        <v>1220</v>
      </c>
      <c r="AGJ1" s="7" t="s">
        <v>1221</v>
      </c>
      <c r="AGK1" s="7" t="s">
        <v>1222</v>
      </c>
      <c r="AGL1" s="7" t="s">
        <v>1223</v>
      </c>
      <c r="AGM1" s="7" t="s">
        <v>1224</v>
      </c>
      <c r="AGN1" s="7" t="s">
        <v>1225</v>
      </c>
      <c r="AGO1" s="7" t="s">
        <v>1226</v>
      </c>
      <c r="AGP1" s="7" t="s">
        <v>1227</v>
      </c>
      <c r="AGQ1" s="7" t="s">
        <v>1228</v>
      </c>
      <c r="AGR1" s="7" t="s">
        <v>1229</v>
      </c>
      <c r="AGS1" s="7" t="s">
        <v>1230</v>
      </c>
      <c r="AGT1" s="7" t="s">
        <v>1231</v>
      </c>
      <c r="AGU1" s="7" t="s">
        <v>1232</v>
      </c>
      <c r="AGV1" s="7" t="s">
        <v>1233</v>
      </c>
      <c r="AGW1" s="7" t="s">
        <v>1234</v>
      </c>
      <c r="AGX1" s="7" t="s">
        <v>1235</v>
      </c>
      <c r="AGY1" s="7" t="s">
        <v>1236</v>
      </c>
      <c r="AGZ1" s="7" t="s">
        <v>1237</v>
      </c>
      <c r="AHA1" s="7" t="s">
        <v>1238</v>
      </c>
      <c r="AHB1" s="7" t="s">
        <v>1239</v>
      </c>
      <c r="AHC1" s="7" t="s">
        <v>1240</v>
      </c>
      <c r="AHD1" s="7" t="s">
        <v>1241</v>
      </c>
      <c r="AHE1" s="7" t="s">
        <v>1242</v>
      </c>
      <c r="AHF1" s="7" t="s">
        <v>1243</v>
      </c>
      <c r="AHG1" s="7" t="s">
        <v>1244</v>
      </c>
      <c r="AHH1" s="7" t="s">
        <v>1245</v>
      </c>
      <c r="AHI1" s="7" t="s">
        <v>1246</v>
      </c>
      <c r="AHJ1" s="7" t="s">
        <v>1247</v>
      </c>
      <c r="AHK1" s="7" t="s">
        <v>1248</v>
      </c>
      <c r="AHL1" s="7" t="s">
        <v>1249</v>
      </c>
      <c r="AHM1" s="7" t="s">
        <v>1250</v>
      </c>
      <c r="AHN1" s="7" t="s">
        <v>1251</v>
      </c>
      <c r="AHO1" s="7" t="s">
        <v>1252</v>
      </c>
      <c r="AHP1" s="7" t="s">
        <v>1253</v>
      </c>
      <c r="AHQ1" s="7" t="s">
        <v>1254</v>
      </c>
      <c r="AHR1" s="7" t="s">
        <v>1255</v>
      </c>
      <c r="AHS1" s="7" t="s">
        <v>1256</v>
      </c>
      <c r="AHT1" s="7" t="s">
        <v>1257</v>
      </c>
      <c r="AHU1" s="7" t="s">
        <v>1258</v>
      </c>
      <c r="AHV1" s="7" t="s">
        <v>1259</v>
      </c>
      <c r="AHW1" s="7" t="s">
        <v>1260</v>
      </c>
      <c r="AHX1" s="7" t="s">
        <v>1261</v>
      </c>
      <c r="AHY1" s="7" t="s">
        <v>1262</v>
      </c>
      <c r="AHZ1" s="7" t="s">
        <v>1263</v>
      </c>
      <c r="AIA1" s="7" t="s">
        <v>1264</v>
      </c>
      <c r="AIB1" s="7" t="s">
        <v>1265</v>
      </c>
      <c r="AIC1" s="7" t="s">
        <v>1266</v>
      </c>
      <c r="AID1" s="7" t="s">
        <v>1267</v>
      </c>
      <c r="AIE1" s="7" t="s">
        <v>1268</v>
      </c>
      <c r="AIF1" s="7" t="s">
        <v>1269</v>
      </c>
      <c r="AIG1" s="7" t="s">
        <v>1270</v>
      </c>
      <c r="AIH1" s="7" t="s">
        <v>1271</v>
      </c>
      <c r="AII1" s="7" t="s">
        <v>1272</v>
      </c>
      <c r="AIJ1" s="7" t="s">
        <v>1273</v>
      </c>
      <c r="AIK1" s="7" t="s">
        <v>1274</v>
      </c>
      <c r="AIL1" s="7" t="s">
        <v>1275</v>
      </c>
      <c r="AIM1" s="7" t="s">
        <v>1276</v>
      </c>
      <c r="AIN1" s="7" t="s">
        <v>1277</v>
      </c>
      <c r="AIO1" s="7" t="s">
        <v>1278</v>
      </c>
      <c r="AIP1" s="7" t="s">
        <v>1279</v>
      </c>
      <c r="AIQ1" s="7" t="s">
        <v>1280</v>
      </c>
      <c r="AIR1" s="7" t="s">
        <v>1281</v>
      </c>
      <c r="AIS1" s="7" t="s">
        <v>1282</v>
      </c>
      <c r="AIT1" s="7" t="s">
        <v>1283</v>
      </c>
      <c r="AIU1" s="7" t="s">
        <v>1284</v>
      </c>
      <c r="AIV1" s="7" t="s">
        <v>1285</v>
      </c>
      <c r="AIW1" s="7" t="s">
        <v>1286</v>
      </c>
      <c r="AIX1" s="7" t="s">
        <v>1287</v>
      </c>
      <c r="AIY1" s="7" t="s">
        <v>1288</v>
      </c>
      <c r="AIZ1" s="7" t="s">
        <v>1289</v>
      </c>
      <c r="AJA1" s="7" t="s">
        <v>1290</v>
      </c>
      <c r="AJB1" s="7" t="s">
        <v>1291</v>
      </c>
      <c r="AJC1" s="7" t="s">
        <v>1292</v>
      </c>
      <c r="AJD1" s="7" t="s">
        <v>1293</v>
      </c>
      <c r="AJE1" s="7" t="s">
        <v>1294</v>
      </c>
      <c r="AJF1" s="7" t="s">
        <v>1295</v>
      </c>
      <c r="AJG1" s="7" t="s">
        <v>1296</v>
      </c>
      <c r="AJH1" s="7" t="s">
        <v>1297</v>
      </c>
      <c r="AJI1" s="7" t="s">
        <v>1298</v>
      </c>
      <c r="AJJ1" s="7" t="s">
        <v>1299</v>
      </c>
      <c r="AJK1" s="7" t="s">
        <v>1300</v>
      </c>
      <c r="AJL1" s="7" t="s">
        <v>1301</v>
      </c>
      <c r="AJM1" s="7" t="s">
        <v>1302</v>
      </c>
      <c r="AJN1" s="7" t="s">
        <v>1303</v>
      </c>
      <c r="AJO1" s="7" t="s">
        <v>1304</v>
      </c>
      <c r="AJP1" s="7" t="s">
        <v>1305</v>
      </c>
      <c r="AJQ1" s="7" t="s">
        <v>1306</v>
      </c>
      <c r="AJR1" s="7" t="s">
        <v>1307</v>
      </c>
      <c r="AJS1" s="7" t="s">
        <v>1308</v>
      </c>
      <c r="AJT1" s="7" t="s">
        <v>1309</v>
      </c>
      <c r="AJU1" s="7" t="s">
        <v>1310</v>
      </c>
      <c r="AJV1" s="7" t="s">
        <v>1311</v>
      </c>
      <c r="AJW1" s="7" t="s">
        <v>1312</v>
      </c>
      <c r="AJX1" s="7" t="s">
        <v>1313</v>
      </c>
      <c r="AJY1" s="7" t="s">
        <v>1314</v>
      </c>
      <c r="AJZ1" s="7" t="s">
        <v>1315</v>
      </c>
      <c r="AKA1" s="7" t="s">
        <v>1316</v>
      </c>
      <c r="AKB1" s="7" t="s">
        <v>1317</v>
      </c>
      <c r="AKC1" s="7" t="s">
        <v>1318</v>
      </c>
      <c r="AKD1" s="7" t="s">
        <v>1319</v>
      </c>
      <c r="AKE1" s="7" t="s">
        <v>1320</v>
      </c>
      <c r="AKF1" s="7" t="s">
        <v>1321</v>
      </c>
      <c r="AKG1" s="7" t="s">
        <v>1322</v>
      </c>
      <c r="AKH1" s="7" t="s">
        <v>1323</v>
      </c>
      <c r="AKI1" s="7" t="s">
        <v>1324</v>
      </c>
      <c r="AKJ1" s="7" t="s">
        <v>1325</v>
      </c>
      <c r="AKK1" s="7" t="s">
        <v>1326</v>
      </c>
      <c r="AKL1" s="7" t="s">
        <v>1327</v>
      </c>
      <c r="AKM1" s="7" t="s">
        <v>1328</v>
      </c>
      <c r="AKN1" s="7" t="s">
        <v>1329</v>
      </c>
      <c r="AKO1" s="7" t="s">
        <v>1330</v>
      </c>
      <c r="AKP1" s="7" t="s">
        <v>1331</v>
      </c>
      <c r="AKQ1" s="7" t="s">
        <v>1332</v>
      </c>
      <c r="AKR1" s="7" t="s">
        <v>1333</v>
      </c>
      <c r="AKS1" s="7" t="s">
        <v>1334</v>
      </c>
      <c r="AKT1" s="7" t="s">
        <v>1335</v>
      </c>
      <c r="AKU1" s="7" t="s">
        <v>1336</v>
      </c>
      <c r="AKV1" s="7" t="s">
        <v>1337</v>
      </c>
      <c r="AKW1" s="7" t="s">
        <v>1338</v>
      </c>
      <c r="AKX1" s="7" t="s">
        <v>1339</v>
      </c>
      <c r="AKY1" s="7" t="s">
        <v>1340</v>
      </c>
      <c r="AKZ1" s="7" t="s">
        <v>1341</v>
      </c>
      <c r="ALA1" s="7" t="s">
        <v>1342</v>
      </c>
      <c r="ALB1" s="7" t="s">
        <v>1343</v>
      </c>
      <c r="ALC1" s="7" t="s">
        <v>1344</v>
      </c>
      <c r="ALD1" s="7" t="s">
        <v>1345</v>
      </c>
      <c r="ALE1" s="7" t="s">
        <v>1346</v>
      </c>
      <c r="ALF1" s="7" t="s">
        <v>1347</v>
      </c>
      <c r="ALG1" s="7" t="s">
        <v>1348</v>
      </c>
      <c r="ALH1" s="7" t="s">
        <v>1349</v>
      </c>
      <c r="ALI1" s="7" t="s">
        <v>1350</v>
      </c>
      <c r="ALJ1" s="7" t="s">
        <v>1351</v>
      </c>
      <c r="ALK1" s="7" t="s">
        <v>1352</v>
      </c>
      <c r="ALL1" s="7" t="s">
        <v>1353</v>
      </c>
      <c r="ALM1" s="7" t="s">
        <v>1354</v>
      </c>
      <c r="ALN1" s="7" t="s">
        <v>1355</v>
      </c>
      <c r="ALO1" s="7" t="s">
        <v>1356</v>
      </c>
      <c r="ALP1" s="7" t="s">
        <v>1357</v>
      </c>
      <c r="ALQ1" s="7" t="s">
        <v>1358</v>
      </c>
      <c r="ALR1" s="7" t="s">
        <v>1359</v>
      </c>
      <c r="ALS1" s="7" t="s">
        <v>1360</v>
      </c>
      <c r="ALT1" s="7" t="s">
        <v>1361</v>
      </c>
      <c r="ALU1" s="7" t="s">
        <v>1362</v>
      </c>
      <c r="ALV1" s="7" t="s">
        <v>1363</v>
      </c>
      <c r="ALW1" s="7" t="s">
        <v>1364</v>
      </c>
      <c r="ALX1" s="7" t="s">
        <v>1365</v>
      </c>
      <c r="ALY1" s="7" t="s">
        <v>1366</v>
      </c>
      <c r="ALZ1" s="7" t="s">
        <v>1367</v>
      </c>
      <c r="AMA1" s="7" t="s">
        <v>1368</v>
      </c>
      <c r="AMB1" s="7" t="s">
        <v>1369</v>
      </c>
      <c r="AMC1" s="7" t="s">
        <v>1370</v>
      </c>
      <c r="AMD1" s="7" t="s">
        <v>1371</v>
      </c>
      <c r="AME1" s="7" t="s">
        <v>1372</v>
      </c>
      <c r="AMF1" s="7" t="s">
        <v>1373</v>
      </c>
      <c r="AMG1" s="7" t="s">
        <v>1374</v>
      </c>
      <c r="AMH1" s="7" t="s">
        <v>1375</v>
      </c>
      <c r="AMI1" s="7" t="s">
        <v>1376</v>
      </c>
      <c r="AMJ1" s="7" t="s">
        <v>1377</v>
      </c>
      <c r="AMK1" s="7" t="s">
        <v>1378</v>
      </c>
      <c r="AML1" s="7" t="s">
        <v>1379</v>
      </c>
      <c r="AMM1" s="7" t="s">
        <v>1380</v>
      </c>
      <c r="AMN1" s="7" t="s">
        <v>1381</v>
      </c>
      <c r="AMO1" s="7" t="s">
        <v>1382</v>
      </c>
      <c r="AMP1" s="7" t="s">
        <v>1383</v>
      </c>
      <c r="AMQ1" s="7" t="s">
        <v>1384</v>
      </c>
      <c r="AMR1" s="7" t="s">
        <v>1385</v>
      </c>
      <c r="AMS1" s="7" t="s">
        <v>1386</v>
      </c>
      <c r="AMT1" s="7" t="s">
        <v>1387</v>
      </c>
      <c r="AMU1" s="7" t="s">
        <v>1388</v>
      </c>
      <c r="AMV1" s="7" t="s">
        <v>1389</v>
      </c>
      <c r="AMW1" s="7" t="s">
        <v>1390</v>
      </c>
      <c r="AMX1" s="7" t="s">
        <v>1391</v>
      </c>
      <c r="AMY1" s="7" t="s">
        <v>1392</v>
      </c>
      <c r="AMZ1" s="7" t="s">
        <v>1393</v>
      </c>
      <c r="ANA1" s="7" t="s">
        <v>1394</v>
      </c>
      <c r="ANB1" s="7" t="s">
        <v>1395</v>
      </c>
      <c r="ANC1" s="7" t="s">
        <v>1396</v>
      </c>
      <c r="AND1" s="7" t="s">
        <v>1397</v>
      </c>
      <c r="ANE1" s="7" t="s">
        <v>1398</v>
      </c>
      <c r="ANF1" s="7" t="s">
        <v>1399</v>
      </c>
      <c r="ANG1" s="7" t="s">
        <v>1400</v>
      </c>
      <c r="ANH1" s="7" t="s">
        <v>1401</v>
      </c>
      <c r="ANI1" s="7" t="s">
        <v>1402</v>
      </c>
      <c r="ANJ1" s="7" t="s">
        <v>1403</v>
      </c>
      <c r="ANK1" s="7" t="s">
        <v>1404</v>
      </c>
      <c r="ANL1" s="7" t="s">
        <v>1405</v>
      </c>
      <c r="ANM1" s="7" t="s">
        <v>1406</v>
      </c>
      <c r="ANN1" s="7" t="s">
        <v>1407</v>
      </c>
      <c r="ANO1" s="7" t="s">
        <v>1408</v>
      </c>
      <c r="ANP1" s="7" t="s">
        <v>1409</v>
      </c>
      <c r="ANQ1" s="7" t="s">
        <v>1410</v>
      </c>
      <c r="ANR1" s="7" t="s">
        <v>1411</v>
      </c>
      <c r="ANS1" s="7" t="s">
        <v>1412</v>
      </c>
      <c r="ANT1" s="7" t="s">
        <v>1413</v>
      </c>
      <c r="ANU1" s="7" t="s">
        <v>1414</v>
      </c>
      <c r="ANV1" s="7" t="s">
        <v>1415</v>
      </c>
      <c r="ANW1" s="7" t="s">
        <v>1416</v>
      </c>
      <c r="ANX1" s="7" t="s">
        <v>1417</v>
      </c>
      <c r="ANY1" s="7" t="s">
        <v>1418</v>
      </c>
      <c r="ANZ1" s="7" t="s">
        <v>1419</v>
      </c>
      <c r="AOA1" s="7" t="s">
        <v>1420</v>
      </c>
      <c r="AOB1" s="7" t="s">
        <v>1421</v>
      </c>
      <c r="AOC1" s="7" t="s">
        <v>1422</v>
      </c>
      <c r="AOD1" s="7" t="s">
        <v>1423</v>
      </c>
      <c r="AOE1" s="7" t="s">
        <v>1424</v>
      </c>
      <c r="AOF1" s="7" t="s">
        <v>1425</v>
      </c>
      <c r="AOG1" s="7" t="s">
        <v>1426</v>
      </c>
      <c r="AOH1" s="7" t="s">
        <v>1427</v>
      </c>
      <c r="AOI1" s="7" t="s">
        <v>1428</v>
      </c>
      <c r="AOJ1" s="7" t="s">
        <v>1429</v>
      </c>
      <c r="AOK1" s="7" t="s">
        <v>1430</v>
      </c>
      <c r="AOL1" s="7" t="s">
        <v>1431</v>
      </c>
      <c r="AOM1" s="7" t="s">
        <v>1432</v>
      </c>
      <c r="AON1" s="7" t="s">
        <v>1433</v>
      </c>
      <c r="AOO1" s="7" t="s">
        <v>1434</v>
      </c>
      <c r="AOP1" s="7" t="s">
        <v>1435</v>
      </c>
      <c r="AOQ1" s="7" t="s">
        <v>1436</v>
      </c>
      <c r="AOR1" s="7" t="s">
        <v>1437</v>
      </c>
      <c r="AOS1" s="7" t="s">
        <v>1438</v>
      </c>
      <c r="AOT1" s="7" t="s">
        <v>1439</v>
      </c>
      <c r="AOU1" s="7" t="s">
        <v>1440</v>
      </c>
      <c r="AOV1" s="7" t="s">
        <v>1441</v>
      </c>
      <c r="AOW1" s="7" t="s">
        <v>1442</v>
      </c>
      <c r="AOX1" s="7" t="s">
        <v>1443</v>
      </c>
      <c r="AOY1" s="7" t="s">
        <v>1444</v>
      </c>
      <c r="AOZ1" s="7" t="s">
        <v>1445</v>
      </c>
      <c r="APA1" s="7" t="s">
        <v>1446</v>
      </c>
      <c r="APB1" s="7" t="s">
        <v>1447</v>
      </c>
      <c r="APC1" s="7" t="s">
        <v>1448</v>
      </c>
      <c r="APD1" s="7" t="s">
        <v>1449</v>
      </c>
      <c r="APE1" s="7" t="s">
        <v>1450</v>
      </c>
      <c r="APF1" s="7" t="s">
        <v>1451</v>
      </c>
      <c r="APG1" s="7" t="s">
        <v>1452</v>
      </c>
      <c r="APH1" s="7" t="s">
        <v>1453</v>
      </c>
      <c r="API1" s="7" t="s">
        <v>1454</v>
      </c>
      <c r="APJ1" s="7" t="s">
        <v>1455</v>
      </c>
      <c r="APK1" s="7" t="s">
        <v>1456</v>
      </c>
      <c r="APL1" s="7" t="s">
        <v>1457</v>
      </c>
      <c r="APM1" s="7" t="s">
        <v>1458</v>
      </c>
      <c r="APN1" s="7" t="s">
        <v>1459</v>
      </c>
      <c r="APO1" s="7" t="s">
        <v>1460</v>
      </c>
      <c r="APP1" s="7" t="s">
        <v>1461</v>
      </c>
      <c r="APQ1" s="7" t="s">
        <v>1462</v>
      </c>
      <c r="APR1" s="7" t="s">
        <v>1463</v>
      </c>
      <c r="APS1" s="7" t="s">
        <v>1464</v>
      </c>
      <c r="APT1" s="7" t="s">
        <v>1465</v>
      </c>
      <c r="APU1" s="7" t="s">
        <v>1466</v>
      </c>
      <c r="APV1" s="7" t="s">
        <v>1467</v>
      </c>
      <c r="APW1" s="7" t="s">
        <v>1468</v>
      </c>
      <c r="APX1" s="7" t="s">
        <v>1469</v>
      </c>
      <c r="APY1" s="7" t="s">
        <v>1470</v>
      </c>
      <c r="APZ1" s="7" t="s">
        <v>1471</v>
      </c>
      <c r="AQA1" s="7" t="s">
        <v>1472</v>
      </c>
      <c r="AQB1" s="7" t="s">
        <v>1473</v>
      </c>
      <c r="AQC1" s="7" t="s">
        <v>1474</v>
      </c>
      <c r="AQD1" s="7" t="s">
        <v>1475</v>
      </c>
      <c r="AQE1" s="7" t="s">
        <v>1476</v>
      </c>
      <c r="AQF1" s="7" t="s">
        <v>1477</v>
      </c>
      <c r="AQG1" s="7" t="s">
        <v>1478</v>
      </c>
      <c r="AQH1" s="7" t="s">
        <v>1479</v>
      </c>
      <c r="AQI1" s="7" t="s">
        <v>1480</v>
      </c>
      <c r="AQJ1" s="7" t="s">
        <v>1481</v>
      </c>
      <c r="AQK1" s="7" t="s">
        <v>1482</v>
      </c>
      <c r="AQL1" s="7" t="s">
        <v>1483</v>
      </c>
      <c r="AQM1" s="7" t="s">
        <v>1484</v>
      </c>
      <c r="AQN1" s="7" t="s">
        <v>1485</v>
      </c>
      <c r="AQO1" s="7" t="s">
        <v>1486</v>
      </c>
      <c r="AQP1" s="7" t="s">
        <v>1487</v>
      </c>
      <c r="AQQ1" s="7" t="s">
        <v>1488</v>
      </c>
      <c r="AQR1" s="7" t="s">
        <v>1489</v>
      </c>
      <c r="AQS1" s="7" t="s">
        <v>1490</v>
      </c>
      <c r="AQT1" s="7" t="s">
        <v>1491</v>
      </c>
      <c r="AQU1" s="7" t="s">
        <v>1492</v>
      </c>
      <c r="AQV1" s="7" t="s">
        <v>1493</v>
      </c>
      <c r="AQW1" s="7" t="s">
        <v>1494</v>
      </c>
      <c r="AQX1" s="7" t="s">
        <v>1495</v>
      </c>
      <c r="AQY1" s="7" t="s">
        <v>1496</v>
      </c>
      <c r="AQZ1" s="7" t="s">
        <v>1497</v>
      </c>
      <c r="ARA1" s="7" t="s">
        <v>1498</v>
      </c>
      <c r="ARB1" s="7" t="s">
        <v>1499</v>
      </c>
      <c r="ARC1" s="7" t="s">
        <v>1500</v>
      </c>
      <c r="ARD1" s="7" t="s">
        <v>1501</v>
      </c>
      <c r="ARE1" s="7" t="s">
        <v>1502</v>
      </c>
      <c r="ARF1" s="7" t="s">
        <v>1503</v>
      </c>
      <c r="ARG1" s="7" t="s">
        <v>1504</v>
      </c>
      <c r="ARH1" s="7" t="s">
        <v>1505</v>
      </c>
      <c r="ARI1" s="7" t="s">
        <v>1506</v>
      </c>
      <c r="ARJ1" s="7" t="s">
        <v>1507</v>
      </c>
      <c r="ARK1" s="7" t="s">
        <v>1508</v>
      </c>
      <c r="ARL1" s="7" t="s">
        <v>1509</v>
      </c>
      <c r="ARM1" s="7" t="s">
        <v>1510</v>
      </c>
      <c r="ARN1" s="7" t="s">
        <v>1511</v>
      </c>
      <c r="ARO1" s="7" t="s">
        <v>1512</v>
      </c>
      <c r="ARP1" s="7" t="s">
        <v>1513</v>
      </c>
      <c r="ARQ1" s="7" t="s">
        <v>1514</v>
      </c>
      <c r="ARR1" s="7" t="s">
        <v>1515</v>
      </c>
      <c r="ARS1" s="7" t="s">
        <v>1516</v>
      </c>
      <c r="ART1" s="7" t="s">
        <v>1517</v>
      </c>
      <c r="ARU1" s="7" t="s">
        <v>1518</v>
      </c>
      <c r="ARV1" s="7" t="s">
        <v>1519</v>
      </c>
      <c r="ARW1" s="7" t="s">
        <v>1520</v>
      </c>
      <c r="ARX1" s="7" t="s">
        <v>1521</v>
      </c>
      <c r="ARY1" s="7" t="s">
        <v>1522</v>
      </c>
      <c r="ARZ1" s="7" t="s">
        <v>1523</v>
      </c>
      <c r="ASA1" s="7" t="s">
        <v>1524</v>
      </c>
      <c r="ASB1" s="7" t="s">
        <v>1525</v>
      </c>
      <c r="ASC1" s="7" t="s">
        <v>1526</v>
      </c>
      <c r="ASD1" s="7" t="s">
        <v>1527</v>
      </c>
      <c r="ASE1" s="7" t="s">
        <v>1528</v>
      </c>
      <c r="ASF1" s="7" t="s">
        <v>1529</v>
      </c>
      <c r="ASG1" s="7" t="s">
        <v>1530</v>
      </c>
      <c r="ASH1" s="7" t="s">
        <v>1531</v>
      </c>
      <c r="ASI1" s="7" t="s">
        <v>1532</v>
      </c>
      <c r="ASJ1" s="7" t="s">
        <v>1533</v>
      </c>
      <c r="ASK1" s="7" t="s">
        <v>1534</v>
      </c>
      <c r="ASL1" s="7" t="s">
        <v>1535</v>
      </c>
      <c r="ASM1" s="7" t="s">
        <v>1536</v>
      </c>
      <c r="ASN1" s="7" t="s">
        <v>1537</v>
      </c>
      <c r="ASO1" s="7" t="s">
        <v>1538</v>
      </c>
      <c r="ASP1" s="7" t="s">
        <v>1539</v>
      </c>
      <c r="ASQ1" s="7" t="s">
        <v>1540</v>
      </c>
      <c r="ASR1" s="7" t="s">
        <v>1541</v>
      </c>
      <c r="ASS1" s="7" t="s">
        <v>1542</v>
      </c>
      <c r="AST1" s="7" t="s">
        <v>1543</v>
      </c>
      <c r="ASU1" s="7" t="s">
        <v>1544</v>
      </c>
      <c r="ASV1" s="7" t="s">
        <v>1545</v>
      </c>
      <c r="ASW1" s="7" t="s">
        <v>1546</v>
      </c>
      <c r="ASX1" s="7" t="s">
        <v>1547</v>
      </c>
      <c r="ASY1" s="7" t="s">
        <v>1548</v>
      </c>
      <c r="ASZ1" s="7" t="s">
        <v>1549</v>
      </c>
      <c r="ATA1" s="7" t="s">
        <v>1550</v>
      </c>
      <c r="ATB1" s="7" t="s">
        <v>1551</v>
      </c>
      <c r="ATC1" s="7" t="s">
        <v>1552</v>
      </c>
      <c r="ATD1" s="7" t="s">
        <v>1553</v>
      </c>
      <c r="ATE1" s="7" t="s">
        <v>1554</v>
      </c>
      <c r="ATF1" s="7" t="s">
        <v>1555</v>
      </c>
      <c r="ATG1" s="7" t="s">
        <v>1556</v>
      </c>
      <c r="ATH1" s="7" t="s">
        <v>1557</v>
      </c>
      <c r="ATI1" s="7" t="s">
        <v>1558</v>
      </c>
      <c r="ATJ1" s="7" t="s">
        <v>1559</v>
      </c>
      <c r="ATK1" s="7" t="s">
        <v>1560</v>
      </c>
      <c r="ATL1" s="7" t="s">
        <v>1561</v>
      </c>
      <c r="ATM1" s="7" t="s">
        <v>1562</v>
      </c>
      <c r="ATN1" s="7" t="s">
        <v>1563</v>
      </c>
      <c r="ATO1" s="7" t="s">
        <v>1564</v>
      </c>
      <c r="ATP1" s="7" t="s">
        <v>1565</v>
      </c>
      <c r="ATQ1" s="7" t="s">
        <v>1566</v>
      </c>
      <c r="ATR1" s="7" t="s">
        <v>1567</v>
      </c>
      <c r="ATS1" s="7" t="s">
        <v>1568</v>
      </c>
      <c r="ATT1" s="7" t="s">
        <v>1569</v>
      </c>
      <c r="ATU1" s="7" t="s">
        <v>1570</v>
      </c>
      <c r="ATV1" s="7" t="s">
        <v>1571</v>
      </c>
      <c r="ATW1" s="7" t="s">
        <v>1572</v>
      </c>
      <c r="ATX1" s="7" t="s">
        <v>1573</v>
      </c>
      <c r="ATY1" s="7" t="s">
        <v>1574</v>
      </c>
      <c r="ATZ1" s="7" t="s">
        <v>1575</v>
      </c>
      <c r="AUA1" s="7" t="s">
        <v>1576</v>
      </c>
      <c r="AUB1" s="7" t="s">
        <v>1577</v>
      </c>
      <c r="AUC1" s="7" t="s">
        <v>1578</v>
      </c>
      <c r="AUD1" s="7" t="s">
        <v>1579</v>
      </c>
      <c r="AUE1" s="7" t="s">
        <v>1580</v>
      </c>
      <c r="AUF1" s="7" t="s">
        <v>1581</v>
      </c>
      <c r="AUG1" s="7" t="s">
        <v>1582</v>
      </c>
      <c r="AUH1" s="7" t="s">
        <v>1583</v>
      </c>
      <c r="AUI1" s="7" t="s">
        <v>1584</v>
      </c>
      <c r="AUJ1" s="7" t="s">
        <v>1585</v>
      </c>
      <c r="AUK1" s="7" t="s">
        <v>1586</v>
      </c>
      <c r="AUL1" s="7" t="s">
        <v>1587</v>
      </c>
      <c r="AUM1" s="7" t="s">
        <v>1588</v>
      </c>
      <c r="AUN1" s="7" t="s">
        <v>1589</v>
      </c>
      <c r="AUO1" s="7" t="s">
        <v>1590</v>
      </c>
      <c r="AUP1" s="7" t="s">
        <v>1591</v>
      </c>
      <c r="AUQ1" s="7" t="s">
        <v>1592</v>
      </c>
      <c r="AUR1" s="7" t="s">
        <v>1593</v>
      </c>
      <c r="AUS1" s="7" t="s">
        <v>1594</v>
      </c>
      <c r="AUT1" s="7" t="s">
        <v>1595</v>
      </c>
      <c r="AUU1" s="7" t="s">
        <v>1596</v>
      </c>
      <c r="AUV1" s="7" t="s">
        <v>1597</v>
      </c>
      <c r="AUW1" s="7" t="s">
        <v>1598</v>
      </c>
      <c r="AUX1" s="7" t="s">
        <v>1599</v>
      </c>
      <c r="AUY1" s="7" t="s">
        <v>1600</v>
      </c>
      <c r="AUZ1" s="7" t="s">
        <v>1601</v>
      </c>
      <c r="AVA1" s="7" t="s">
        <v>1602</v>
      </c>
      <c r="AVB1" s="7" t="s">
        <v>1603</v>
      </c>
      <c r="AVC1" s="7" t="s">
        <v>1604</v>
      </c>
      <c r="AVD1" s="7" t="s">
        <v>1605</v>
      </c>
      <c r="AVE1" s="7" t="s">
        <v>1606</v>
      </c>
      <c r="AVF1" s="7" t="s">
        <v>1607</v>
      </c>
      <c r="AVG1" s="7" t="s">
        <v>1608</v>
      </c>
      <c r="AVH1" s="7" t="s">
        <v>1609</v>
      </c>
      <c r="AVI1" s="7" t="s">
        <v>1610</v>
      </c>
      <c r="AVJ1" s="7" t="s">
        <v>1611</v>
      </c>
      <c r="AVK1" s="7" t="s">
        <v>1612</v>
      </c>
      <c r="AVL1" s="7" t="s">
        <v>1613</v>
      </c>
      <c r="AVM1" s="7" t="s">
        <v>1614</v>
      </c>
      <c r="AVN1" s="7" t="s">
        <v>1615</v>
      </c>
      <c r="AVO1" s="7" t="s">
        <v>1616</v>
      </c>
      <c r="AVP1" s="7" t="s">
        <v>1617</v>
      </c>
      <c r="AVQ1" s="7" t="s">
        <v>1618</v>
      </c>
      <c r="AVR1" s="7" t="s">
        <v>1619</v>
      </c>
      <c r="AVS1" s="7" t="s">
        <v>1620</v>
      </c>
      <c r="AVT1" s="7" t="s">
        <v>1621</v>
      </c>
      <c r="AVU1" s="7" t="s">
        <v>1622</v>
      </c>
      <c r="AVV1" s="7" t="s">
        <v>1623</v>
      </c>
      <c r="AVW1" s="7" t="s">
        <v>1624</v>
      </c>
      <c r="AVX1" s="7" t="s">
        <v>1625</v>
      </c>
      <c r="AVY1" s="7" t="s">
        <v>1626</v>
      </c>
      <c r="AVZ1" s="7" t="s">
        <v>1627</v>
      </c>
      <c r="AWA1" s="7" t="s">
        <v>1628</v>
      </c>
      <c r="AWB1" s="7" t="s">
        <v>1629</v>
      </c>
      <c r="AWC1" s="7" t="s">
        <v>1630</v>
      </c>
      <c r="AWD1" s="7" t="s">
        <v>1631</v>
      </c>
      <c r="AWE1" s="7" t="s">
        <v>1632</v>
      </c>
      <c r="AWF1" s="7" t="s">
        <v>1633</v>
      </c>
      <c r="AWG1" s="7" t="s">
        <v>1634</v>
      </c>
      <c r="AWH1" s="7" t="s">
        <v>1635</v>
      </c>
      <c r="AWI1" s="7" t="s">
        <v>1636</v>
      </c>
      <c r="AWJ1" s="7" t="s">
        <v>1637</v>
      </c>
      <c r="AWK1" s="7" t="s">
        <v>1638</v>
      </c>
      <c r="AWL1" s="7" t="s">
        <v>1639</v>
      </c>
      <c r="AWM1" s="7" t="s">
        <v>1640</v>
      </c>
      <c r="AWN1" s="7" t="s">
        <v>1641</v>
      </c>
      <c r="AWO1" s="7" t="s">
        <v>1642</v>
      </c>
      <c r="AWP1" s="7" t="s">
        <v>1643</v>
      </c>
      <c r="AWQ1" s="7" t="s">
        <v>1644</v>
      </c>
      <c r="AWR1" s="7" t="s">
        <v>1645</v>
      </c>
      <c r="AWS1" s="7" t="s">
        <v>1646</v>
      </c>
      <c r="AWT1" s="7" t="s">
        <v>1647</v>
      </c>
      <c r="AWU1" s="7" t="s">
        <v>1648</v>
      </c>
      <c r="AWV1" s="7" t="s">
        <v>1649</v>
      </c>
      <c r="AWW1" s="7" t="s">
        <v>1650</v>
      </c>
      <c r="AWX1" s="7" t="s">
        <v>1651</v>
      </c>
      <c r="AWY1" s="7" t="s">
        <v>1652</v>
      </c>
      <c r="AWZ1" s="7" t="s">
        <v>1653</v>
      </c>
      <c r="AXA1" s="7" t="s">
        <v>1654</v>
      </c>
      <c r="AXB1" s="7" t="s">
        <v>1655</v>
      </c>
      <c r="AXC1" s="7" t="s">
        <v>1656</v>
      </c>
      <c r="AXD1" s="7" t="s">
        <v>1657</v>
      </c>
      <c r="AXE1" s="7" t="s">
        <v>1658</v>
      </c>
      <c r="AXF1" s="7" t="s">
        <v>1659</v>
      </c>
      <c r="AXG1" s="7" t="s">
        <v>1660</v>
      </c>
      <c r="AXH1" s="7" t="s">
        <v>1661</v>
      </c>
      <c r="AXI1" s="7" t="s">
        <v>1662</v>
      </c>
      <c r="AXJ1" s="7" t="s">
        <v>1663</v>
      </c>
      <c r="AXK1" s="7" t="s">
        <v>1664</v>
      </c>
      <c r="AXL1" s="7" t="s">
        <v>1665</v>
      </c>
      <c r="AXM1" s="7" t="s">
        <v>1666</v>
      </c>
      <c r="AXN1" s="7" t="s">
        <v>1667</v>
      </c>
      <c r="AXO1" s="7" t="s">
        <v>1668</v>
      </c>
      <c r="AXP1" s="7" t="s">
        <v>1669</v>
      </c>
      <c r="AXQ1" s="7" t="s">
        <v>1670</v>
      </c>
      <c r="AXR1" s="7" t="s">
        <v>1671</v>
      </c>
      <c r="AXS1" s="7" t="s">
        <v>1672</v>
      </c>
      <c r="AXT1" s="7" t="s">
        <v>1673</v>
      </c>
      <c r="AXU1" s="7" t="s">
        <v>1674</v>
      </c>
      <c r="AXV1" s="7" t="s">
        <v>1675</v>
      </c>
      <c r="AXW1" s="7" t="s">
        <v>1676</v>
      </c>
      <c r="AXX1" s="7" t="s">
        <v>1677</v>
      </c>
      <c r="AXY1" s="7" t="s">
        <v>1678</v>
      </c>
      <c r="AXZ1" s="7" t="s">
        <v>1679</v>
      </c>
      <c r="AYA1" s="7" t="s">
        <v>1680</v>
      </c>
      <c r="AYB1" s="7" t="s">
        <v>1681</v>
      </c>
      <c r="AYC1" s="7" t="s">
        <v>1682</v>
      </c>
      <c r="AYD1" s="7" t="s">
        <v>1683</v>
      </c>
      <c r="AYE1" s="7" t="s">
        <v>1684</v>
      </c>
      <c r="AYF1" s="7" t="s">
        <v>1685</v>
      </c>
      <c r="AYG1" s="7" t="s">
        <v>1686</v>
      </c>
      <c r="AYH1" s="7" t="s">
        <v>1687</v>
      </c>
      <c r="AYI1" s="7" t="s">
        <v>1688</v>
      </c>
      <c r="AYJ1" s="7" t="s">
        <v>1689</v>
      </c>
      <c r="AYK1" s="7" t="s">
        <v>1690</v>
      </c>
      <c r="AYL1" s="7" t="s">
        <v>1691</v>
      </c>
      <c r="AYM1" s="7" t="s">
        <v>1692</v>
      </c>
      <c r="AYN1" s="7" t="s">
        <v>1693</v>
      </c>
      <c r="AYO1" s="7" t="s">
        <v>1694</v>
      </c>
      <c r="AYP1" s="7" t="s">
        <v>1695</v>
      </c>
      <c r="AYQ1" s="7" t="s">
        <v>1696</v>
      </c>
      <c r="AYR1" s="7" t="s">
        <v>1697</v>
      </c>
      <c r="AYS1" s="7" t="s">
        <v>1698</v>
      </c>
      <c r="AYT1" s="7" t="s">
        <v>1699</v>
      </c>
      <c r="AYU1" s="7" t="s">
        <v>1700</v>
      </c>
      <c r="AYV1" s="7" t="s">
        <v>1701</v>
      </c>
      <c r="AYW1" s="7" t="s">
        <v>1702</v>
      </c>
      <c r="AYX1" s="7" t="s">
        <v>1703</v>
      </c>
      <c r="AYY1" s="7" t="s">
        <v>1704</v>
      </c>
      <c r="AYZ1" s="7" t="s">
        <v>1705</v>
      </c>
      <c r="AZA1" s="7" t="s">
        <v>1706</v>
      </c>
      <c r="AZB1" s="7" t="s">
        <v>1707</v>
      </c>
      <c r="AZC1" s="7" t="s">
        <v>1708</v>
      </c>
      <c r="AZD1" s="7" t="s">
        <v>1709</v>
      </c>
      <c r="AZE1" s="7" t="s">
        <v>1710</v>
      </c>
      <c r="AZF1" s="7" t="s">
        <v>1711</v>
      </c>
      <c r="AZG1" s="7" t="s">
        <v>1712</v>
      </c>
      <c r="AZH1" s="7" t="s">
        <v>1713</v>
      </c>
      <c r="AZI1" s="7" t="s">
        <v>1714</v>
      </c>
      <c r="AZJ1" s="7" t="s">
        <v>1715</v>
      </c>
      <c r="AZK1" s="7" t="s">
        <v>1716</v>
      </c>
      <c r="AZL1" s="7" t="s">
        <v>1717</v>
      </c>
      <c r="AZM1" s="7" t="s">
        <v>1718</v>
      </c>
      <c r="AZN1" s="7" t="s">
        <v>1719</v>
      </c>
      <c r="AZO1" s="7" t="s">
        <v>1720</v>
      </c>
      <c r="AZP1" s="7" t="s">
        <v>1721</v>
      </c>
      <c r="AZQ1" s="7" t="s">
        <v>1722</v>
      </c>
      <c r="AZR1" s="7" t="s">
        <v>1723</v>
      </c>
      <c r="AZS1" s="7" t="s">
        <v>1724</v>
      </c>
      <c r="AZT1" s="7" t="s">
        <v>1725</v>
      </c>
      <c r="AZU1" s="7" t="s">
        <v>1726</v>
      </c>
      <c r="AZV1" s="7" t="s">
        <v>1727</v>
      </c>
      <c r="AZW1" s="7" t="s">
        <v>1728</v>
      </c>
      <c r="AZX1" s="7" t="s">
        <v>1729</v>
      </c>
      <c r="AZY1" s="7" t="s">
        <v>1730</v>
      </c>
      <c r="AZZ1" s="7" t="s">
        <v>1731</v>
      </c>
      <c r="BAA1" s="7" t="s">
        <v>1732</v>
      </c>
      <c r="BAB1" s="7" t="s">
        <v>1733</v>
      </c>
      <c r="BAC1" s="7" t="s">
        <v>1734</v>
      </c>
      <c r="BAD1" s="7" t="s">
        <v>1735</v>
      </c>
      <c r="BAE1" s="7" t="s">
        <v>1736</v>
      </c>
      <c r="BAF1" s="7" t="s">
        <v>1737</v>
      </c>
      <c r="BAG1" s="7" t="s">
        <v>1738</v>
      </c>
      <c r="BAH1" s="7" t="s">
        <v>1739</v>
      </c>
      <c r="BAI1" s="7" t="s">
        <v>1740</v>
      </c>
      <c r="BAJ1" s="7" t="s">
        <v>1741</v>
      </c>
      <c r="BAK1" s="7" t="s">
        <v>1742</v>
      </c>
      <c r="BAL1" s="7" t="s">
        <v>1743</v>
      </c>
      <c r="BAM1" s="7" t="s">
        <v>1744</v>
      </c>
      <c r="BAN1" s="7" t="s">
        <v>1745</v>
      </c>
      <c r="BAO1" s="7" t="s">
        <v>1746</v>
      </c>
      <c r="BAP1" s="7" t="s">
        <v>1747</v>
      </c>
      <c r="BAQ1" s="7" t="s">
        <v>1748</v>
      </c>
      <c r="BAR1" s="7" t="s">
        <v>1749</v>
      </c>
      <c r="BAS1" s="7" t="s">
        <v>1750</v>
      </c>
      <c r="BAT1" s="7" t="s">
        <v>1751</v>
      </c>
      <c r="BAU1" s="7" t="s">
        <v>1752</v>
      </c>
      <c r="BAV1" s="7" t="s">
        <v>1753</v>
      </c>
      <c r="BAW1" s="7" t="s">
        <v>1754</v>
      </c>
      <c r="BAX1" s="7" t="s">
        <v>1755</v>
      </c>
      <c r="BAY1" s="7" t="s">
        <v>1756</v>
      </c>
      <c r="BAZ1" s="7" t="s">
        <v>1757</v>
      </c>
      <c r="BBA1" s="7" t="s">
        <v>1758</v>
      </c>
      <c r="BBB1" s="7" t="s">
        <v>1759</v>
      </c>
      <c r="BBC1" s="7" t="s">
        <v>1760</v>
      </c>
      <c r="BBD1" s="7" t="s">
        <v>1761</v>
      </c>
      <c r="BBE1" s="7" t="s">
        <v>1762</v>
      </c>
      <c r="BBF1" s="7" t="s">
        <v>1763</v>
      </c>
      <c r="BBG1" s="7" t="s">
        <v>1764</v>
      </c>
      <c r="BBH1" s="7" t="s">
        <v>1765</v>
      </c>
      <c r="BBI1" s="7" t="s">
        <v>1766</v>
      </c>
      <c r="BBJ1" s="7" t="s">
        <v>1767</v>
      </c>
      <c r="BBK1" s="7" t="s">
        <v>1768</v>
      </c>
      <c r="BBL1" s="7" t="s">
        <v>1769</v>
      </c>
      <c r="BBM1" s="7" t="s">
        <v>1770</v>
      </c>
      <c r="BBN1" s="7" t="s">
        <v>1771</v>
      </c>
      <c r="BBO1" s="7" t="s">
        <v>1772</v>
      </c>
      <c r="BBP1" s="7" t="s">
        <v>1773</v>
      </c>
      <c r="BBQ1" s="7" t="s">
        <v>1774</v>
      </c>
      <c r="BBR1" s="7" t="s">
        <v>1775</v>
      </c>
      <c r="BBS1" s="7" t="s">
        <v>1776</v>
      </c>
      <c r="BBT1" s="7" t="s">
        <v>1777</v>
      </c>
      <c r="BBU1" s="7" t="s">
        <v>1778</v>
      </c>
      <c r="BBV1" s="7" t="s">
        <v>1779</v>
      </c>
      <c r="BBW1" s="7" t="s">
        <v>1780</v>
      </c>
      <c r="BBX1" s="7" t="s">
        <v>1781</v>
      </c>
      <c r="BBY1" s="7" t="s">
        <v>1782</v>
      </c>
      <c r="BBZ1" s="7" t="s">
        <v>1783</v>
      </c>
      <c r="BCA1" s="7" t="s">
        <v>1784</v>
      </c>
      <c r="BCB1" s="7" t="s">
        <v>1785</v>
      </c>
      <c r="BCC1" s="7" t="s">
        <v>1786</v>
      </c>
      <c r="BCD1" s="7" t="s">
        <v>1787</v>
      </c>
      <c r="BCE1" s="7" t="s">
        <v>1788</v>
      </c>
      <c r="BCF1" s="7" t="s">
        <v>1789</v>
      </c>
      <c r="BCG1" s="7" t="s">
        <v>1790</v>
      </c>
      <c r="BCH1" s="7" t="s">
        <v>1791</v>
      </c>
      <c r="BCI1" s="7" t="s">
        <v>1792</v>
      </c>
      <c r="BCJ1" s="7" t="s">
        <v>1793</v>
      </c>
      <c r="BCK1" s="7" t="s">
        <v>1794</v>
      </c>
      <c r="BCL1" s="7" t="s">
        <v>1795</v>
      </c>
      <c r="BCM1" s="7" t="s">
        <v>1796</v>
      </c>
      <c r="BCN1" s="7" t="s">
        <v>1797</v>
      </c>
      <c r="BCO1" s="7" t="s">
        <v>1798</v>
      </c>
      <c r="BCP1" s="7" t="s">
        <v>1799</v>
      </c>
      <c r="BCQ1" s="7" t="s">
        <v>1800</v>
      </c>
      <c r="BCR1" s="7" t="s">
        <v>1801</v>
      </c>
      <c r="BCS1" s="7" t="s">
        <v>1802</v>
      </c>
      <c r="BCT1" s="7" t="s">
        <v>1803</v>
      </c>
      <c r="BCU1" s="7" t="s">
        <v>1804</v>
      </c>
      <c r="BCV1" s="7" t="s">
        <v>1805</v>
      </c>
      <c r="BCW1" s="7" t="s">
        <v>1806</v>
      </c>
      <c r="BCX1" s="7" t="s">
        <v>1807</v>
      </c>
      <c r="BCY1" s="7" t="s">
        <v>1808</v>
      </c>
      <c r="BCZ1" s="7" t="s">
        <v>1809</v>
      </c>
      <c r="BDA1" s="7" t="s">
        <v>1810</v>
      </c>
      <c r="BDB1" s="7" t="s">
        <v>1811</v>
      </c>
      <c r="BDC1" s="7" t="s">
        <v>1812</v>
      </c>
      <c r="BDD1" s="7" t="s">
        <v>1813</v>
      </c>
      <c r="BDE1" s="7" t="s">
        <v>1814</v>
      </c>
      <c r="BDF1" s="7" t="s">
        <v>1815</v>
      </c>
      <c r="BDG1" s="7" t="s">
        <v>1816</v>
      </c>
      <c r="BDH1" s="7" t="s">
        <v>1817</v>
      </c>
      <c r="BDI1" s="7" t="s">
        <v>1818</v>
      </c>
      <c r="BDJ1" s="7" t="s">
        <v>1819</v>
      </c>
      <c r="BDK1" s="7" t="s">
        <v>1820</v>
      </c>
      <c r="BDL1" s="7" t="s">
        <v>1821</v>
      </c>
      <c r="BDM1" s="7" t="s">
        <v>1822</v>
      </c>
      <c r="BDN1" s="7" t="s">
        <v>1823</v>
      </c>
      <c r="BDO1" s="7" t="s">
        <v>1824</v>
      </c>
      <c r="BDP1" s="7" t="s">
        <v>1825</v>
      </c>
      <c r="BDQ1" s="7" t="s">
        <v>1826</v>
      </c>
      <c r="BDR1" s="7" t="s">
        <v>1827</v>
      </c>
      <c r="BDS1" s="7" t="s">
        <v>1828</v>
      </c>
      <c r="BDT1" s="7" t="s">
        <v>1829</v>
      </c>
      <c r="BDU1" s="7" t="s">
        <v>1830</v>
      </c>
      <c r="BDV1" s="7" t="s">
        <v>1831</v>
      </c>
      <c r="BDW1" s="7" t="s">
        <v>1832</v>
      </c>
      <c r="BDX1" s="7" t="s">
        <v>1833</v>
      </c>
      <c r="BDY1" s="7" t="s">
        <v>1834</v>
      </c>
      <c r="BDZ1" s="7" t="s">
        <v>1835</v>
      </c>
      <c r="BEA1" s="7" t="s">
        <v>1836</v>
      </c>
      <c r="BEB1" s="7" t="s">
        <v>1837</v>
      </c>
      <c r="BEC1" s="7" t="s">
        <v>1838</v>
      </c>
      <c r="BED1" s="7" t="s">
        <v>1839</v>
      </c>
      <c r="BEE1" s="7" t="s">
        <v>1840</v>
      </c>
      <c r="BEF1" s="7" t="s">
        <v>1841</v>
      </c>
      <c r="BEG1" s="7" t="s">
        <v>1842</v>
      </c>
      <c r="BEH1" s="7" t="s">
        <v>1843</v>
      </c>
      <c r="BEI1" s="7" t="s">
        <v>1844</v>
      </c>
      <c r="BEJ1" s="7" t="s">
        <v>1845</v>
      </c>
      <c r="BEK1" s="7" t="s">
        <v>1846</v>
      </c>
      <c r="BEL1" s="7" t="s">
        <v>1847</v>
      </c>
      <c r="BEM1" s="7" t="s">
        <v>1848</v>
      </c>
      <c r="BEN1" s="7" t="s">
        <v>1849</v>
      </c>
      <c r="BEO1" s="7" t="s">
        <v>1850</v>
      </c>
      <c r="BEP1" s="7" t="s">
        <v>1851</v>
      </c>
      <c r="BEQ1" s="7" t="s">
        <v>1852</v>
      </c>
      <c r="BER1" s="7" t="s">
        <v>1853</v>
      </c>
      <c r="BES1" s="7" t="s">
        <v>1854</v>
      </c>
      <c r="BET1" s="7" t="s">
        <v>1855</v>
      </c>
      <c r="BEU1" s="7" t="s">
        <v>1856</v>
      </c>
      <c r="BEV1" s="7" t="s">
        <v>1857</v>
      </c>
      <c r="BEW1" s="7" t="s">
        <v>1858</v>
      </c>
      <c r="BEX1" s="7" t="s">
        <v>1859</v>
      </c>
      <c r="BEY1" s="7" t="s">
        <v>1860</v>
      </c>
      <c r="BEZ1" s="7" t="s">
        <v>1861</v>
      </c>
      <c r="BFA1" s="7" t="s">
        <v>1862</v>
      </c>
      <c r="BFB1" s="7" t="s">
        <v>1863</v>
      </c>
      <c r="BFC1" s="7" t="s">
        <v>1864</v>
      </c>
      <c r="BFD1" s="7" t="s">
        <v>1865</v>
      </c>
      <c r="BFE1" s="7" t="s">
        <v>1866</v>
      </c>
      <c r="BFF1" s="7" t="s">
        <v>1867</v>
      </c>
      <c r="BFG1" s="7" t="s">
        <v>1868</v>
      </c>
      <c r="BFH1" s="7" t="s">
        <v>1869</v>
      </c>
      <c r="BFI1" s="7" t="s">
        <v>1870</v>
      </c>
      <c r="BFJ1" s="7" t="s">
        <v>1871</v>
      </c>
      <c r="BFK1" s="7" t="s">
        <v>1872</v>
      </c>
      <c r="BFL1" s="7" t="s">
        <v>1873</v>
      </c>
      <c r="BFM1" s="7" t="s">
        <v>1874</v>
      </c>
      <c r="BFN1" s="7" t="s">
        <v>1875</v>
      </c>
      <c r="BFO1" s="7" t="s">
        <v>1876</v>
      </c>
      <c r="BFP1" s="7" t="s">
        <v>1877</v>
      </c>
      <c r="BFQ1" s="7" t="s">
        <v>1878</v>
      </c>
      <c r="BFR1" s="7" t="s">
        <v>1879</v>
      </c>
      <c r="BFS1" s="7" t="s">
        <v>1880</v>
      </c>
      <c r="BFT1" s="7" t="s">
        <v>1881</v>
      </c>
      <c r="BFU1" s="7" t="s">
        <v>1882</v>
      </c>
      <c r="BFV1" s="7" t="s">
        <v>1883</v>
      </c>
      <c r="BFW1" s="7" t="s">
        <v>1884</v>
      </c>
      <c r="BFX1" s="7" t="s">
        <v>1885</v>
      </c>
      <c r="BFY1" s="7" t="s">
        <v>1886</v>
      </c>
      <c r="BFZ1" s="7" t="s">
        <v>1887</v>
      </c>
      <c r="BGA1" s="7" t="s">
        <v>1888</v>
      </c>
      <c r="BGB1" s="7" t="s">
        <v>1889</v>
      </c>
      <c r="BGC1" s="7" t="s">
        <v>1890</v>
      </c>
      <c r="BGD1" s="7" t="s">
        <v>1891</v>
      </c>
      <c r="BGE1" s="7" t="s">
        <v>1892</v>
      </c>
      <c r="BGF1" s="7" t="s">
        <v>1893</v>
      </c>
      <c r="BGG1" s="7" t="s">
        <v>1894</v>
      </c>
      <c r="BGH1" s="7" t="s">
        <v>1895</v>
      </c>
      <c r="BGI1" s="7" t="s">
        <v>1896</v>
      </c>
      <c r="BGJ1" s="7" t="s">
        <v>1897</v>
      </c>
      <c r="BGK1" s="7" t="s">
        <v>1898</v>
      </c>
      <c r="BGL1" s="7" t="s">
        <v>1899</v>
      </c>
      <c r="BGM1" s="7" t="s">
        <v>1900</v>
      </c>
      <c r="BGN1" s="7" t="s">
        <v>1901</v>
      </c>
      <c r="BGO1" s="7" t="s">
        <v>1902</v>
      </c>
      <c r="BGP1" s="7" t="s">
        <v>1903</v>
      </c>
      <c r="BGQ1" s="7" t="s">
        <v>1904</v>
      </c>
      <c r="BGR1" s="7" t="s">
        <v>1905</v>
      </c>
      <c r="BGS1" s="7" t="s">
        <v>1906</v>
      </c>
      <c r="BGT1" s="7" t="s">
        <v>1907</v>
      </c>
      <c r="BGU1" s="7" t="s">
        <v>1908</v>
      </c>
      <c r="BGV1" s="7" t="s">
        <v>1909</v>
      </c>
      <c r="BGW1" s="7" t="s">
        <v>1910</v>
      </c>
      <c r="BGX1" s="7" t="s">
        <v>1911</v>
      </c>
      <c r="BGY1" s="7" t="s">
        <v>1912</v>
      </c>
      <c r="BGZ1" s="7" t="s">
        <v>1913</v>
      </c>
      <c r="BHA1" s="7" t="s">
        <v>1914</v>
      </c>
      <c r="BHB1" s="7" t="s">
        <v>1915</v>
      </c>
      <c r="BHC1" s="7" t="s">
        <v>1916</v>
      </c>
      <c r="BHD1" s="7" t="s">
        <v>1917</v>
      </c>
      <c r="BHE1" s="7" t="s">
        <v>1918</v>
      </c>
      <c r="BHF1" s="7" t="s">
        <v>1919</v>
      </c>
      <c r="BHG1" s="7" t="s">
        <v>1920</v>
      </c>
      <c r="BHH1" s="7" t="s">
        <v>1921</v>
      </c>
      <c r="BHI1" s="7" t="s">
        <v>1922</v>
      </c>
      <c r="BHJ1" s="7" t="s">
        <v>1923</v>
      </c>
      <c r="BHK1" s="7" t="s">
        <v>1924</v>
      </c>
      <c r="BHL1" s="7" t="s">
        <v>1925</v>
      </c>
      <c r="BHM1" s="7" t="s">
        <v>1926</v>
      </c>
      <c r="BHN1" s="7" t="s">
        <v>1927</v>
      </c>
      <c r="BHO1" s="7" t="s">
        <v>1928</v>
      </c>
      <c r="BHP1" s="7" t="s">
        <v>1929</v>
      </c>
      <c r="BHQ1" s="7" t="s">
        <v>1930</v>
      </c>
      <c r="BHR1" s="7" t="s">
        <v>1931</v>
      </c>
      <c r="BHS1" s="7" t="s">
        <v>1932</v>
      </c>
      <c r="BHT1" s="7" t="s">
        <v>1933</v>
      </c>
      <c r="BHU1" s="7" t="s">
        <v>1934</v>
      </c>
      <c r="BHV1" s="7" t="s">
        <v>1935</v>
      </c>
      <c r="BHW1" s="7" t="s">
        <v>1936</v>
      </c>
      <c r="BHX1" s="7" t="s">
        <v>1937</v>
      </c>
      <c r="BHY1" s="7" t="s">
        <v>1938</v>
      </c>
      <c r="BHZ1" s="7" t="s">
        <v>1939</v>
      </c>
      <c r="BIA1" s="7" t="s">
        <v>1940</v>
      </c>
      <c r="BIB1" s="7" t="s">
        <v>1941</v>
      </c>
      <c r="BIC1" s="7" t="s">
        <v>1942</v>
      </c>
      <c r="BID1" s="7" t="s">
        <v>1943</v>
      </c>
      <c r="BIE1" s="7" t="s">
        <v>1944</v>
      </c>
      <c r="BIF1" s="7" t="s">
        <v>1945</v>
      </c>
      <c r="BIG1" s="7" t="s">
        <v>1946</v>
      </c>
      <c r="BIH1" s="7" t="s">
        <v>1947</v>
      </c>
      <c r="BII1" s="7" t="s">
        <v>1948</v>
      </c>
      <c r="BIJ1" s="7" t="s">
        <v>1949</v>
      </c>
      <c r="BIK1" s="7" t="s">
        <v>1950</v>
      </c>
      <c r="BIL1" s="7" t="s">
        <v>1951</v>
      </c>
      <c r="BIM1" s="7" t="s">
        <v>1952</v>
      </c>
      <c r="BIN1" s="7" t="s">
        <v>1953</v>
      </c>
      <c r="BIO1" s="7" t="s">
        <v>1954</v>
      </c>
      <c r="BIP1" s="7" t="s">
        <v>1955</v>
      </c>
      <c r="BIQ1" s="7" t="s">
        <v>1956</v>
      </c>
      <c r="BIR1" s="7" t="s">
        <v>1957</v>
      </c>
      <c r="BIS1" s="7" t="s">
        <v>1958</v>
      </c>
      <c r="BIT1" s="7" t="s">
        <v>1959</v>
      </c>
      <c r="BIU1" s="7" t="s">
        <v>1960</v>
      </c>
      <c r="BIV1" s="7" t="s">
        <v>1961</v>
      </c>
      <c r="BIW1" s="7" t="s">
        <v>1962</v>
      </c>
      <c r="BIX1" s="7" t="s">
        <v>1963</v>
      </c>
      <c r="BIY1" s="7" t="s">
        <v>1964</v>
      </c>
      <c r="BIZ1" s="7" t="s">
        <v>1965</v>
      </c>
      <c r="BJA1" s="7" t="s">
        <v>1966</v>
      </c>
      <c r="BJB1" s="7" t="s">
        <v>1967</v>
      </c>
      <c r="BJC1" s="7" t="s">
        <v>1968</v>
      </c>
      <c r="BJD1" s="7" t="s">
        <v>1969</v>
      </c>
      <c r="BJE1" s="7" t="s">
        <v>1970</v>
      </c>
      <c r="BJF1" s="7" t="s">
        <v>1971</v>
      </c>
      <c r="BJG1" s="7" t="s">
        <v>1972</v>
      </c>
      <c r="BJH1" s="7" t="s">
        <v>1973</v>
      </c>
      <c r="BJI1" s="7" t="s">
        <v>1974</v>
      </c>
      <c r="BJJ1" s="7" t="s">
        <v>1975</v>
      </c>
      <c r="BJK1" s="7" t="s">
        <v>1976</v>
      </c>
      <c r="BJL1" s="7" t="s">
        <v>1977</v>
      </c>
      <c r="BJM1" s="7" t="s">
        <v>1978</v>
      </c>
      <c r="BJN1" s="7" t="s">
        <v>1979</v>
      </c>
      <c r="BJO1" s="7" t="s">
        <v>1980</v>
      </c>
      <c r="BJP1" s="7" t="s">
        <v>1981</v>
      </c>
      <c r="BJQ1" s="7" t="s">
        <v>1982</v>
      </c>
      <c r="BJR1" s="7" t="s">
        <v>1983</v>
      </c>
      <c r="BJS1" s="7" t="s">
        <v>1984</v>
      </c>
      <c r="BJT1" s="7" t="s">
        <v>1985</v>
      </c>
      <c r="BJU1" s="7" t="s">
        <v>1986</v>
      </c>
      <c r="BJV1" s="7" t="s">
        <v>1987</v>
      </c>
      <c r="BJW1" s="7" t="s">
        <v>1988</v>
      </c>
      <c r="BJX1" s="7" t="s">
        <v>1989</v>
      </c>
      <c r="BJY1" s="7" t="s">
        <v>1990</v>
      </c>
      <c r="BJZ1" s="7" t="s">
        <v>1991</v>
      </c>
      <c r="BKA1" s="7" t="s">
        <v>1992</v>
      </c>
      <c r="BKB1" s="7" t="s">
        <v>1993</v>
      </c>
      <c r="BKC1" s="7" t="s">
        <v>1994</v>
      </c>
      <c r="BKD1" s="7" t="s">
        <v>1995</v>
      </c>
      <c r="BKE1" s="7" t="s">
        <v>1996</v>
      </c>
      <c r="BKF1" s="7" t="s">
        <v>1997</v>
      </c>
      <c r="BKG1" s="7" t="s">
        <v>1998</v>
      </c>
      <c r="BKH1" s="7" t="s">
        <v>1999</v>
      </c>
      <c r="BKI1" s="7" t="s">
        <v>2000</v>
      </c>
      <c r="BKJ1" s="7" t="s">
        <v>2001</v>
      </c>
      <c r="BKK1" s="7" t="s">
        <v>2002</v>
      </c>
      <c r="BKL1" s="7" t="s">
        <v>2003</v>
      </c>
      <c r="BKM1" s="7" t="s">
        <v>2004</v>
      </c>
      <c r="BKN1" s="7" t="s">
        <v>2005</v>
      </c>
      <c r="BKO1" s="7" t="s">
        <v>2006</v>
      </c>
      <c r="BKP1" s="7" t="s">
        <v>2007</v>
      </c>
      <c r="BKQ1" s="7" t="s">
        <v>2008</v>
      </c>
      <c r="BKR1" s="7" t="s">
        <v>2009</v>
      </c>
      <c r="BKS1" s="7" t="s">
        <v>2010</v>
      </c>
      <c r="BKT1" s="7" t="s">
        <v>2011</v>
      </c>
      <c r="BKU1" s="7" t="s">
        <v>2012</v>
      </c>
      <c r="BKV1" s="7" t="s">
        <v>2013</v>
      </c>
      <c r="BKW1" s="7" t="s">
        <v>2014</v>
      </c>
      <c r="BKX1" s="7" t="s">
        <v>2015</v>
      </c>
      <c r="BKY1" s="7" t="s">
        <v>2016</v>
      </c>
      <c r="BKZ1" s="7" t="s">
        <v>2017</v>
      </c>
      <c r="BLA1" s="7" t="s">
        <v>2018</v>
      </c>
      <c r="BLB1" s="7" t="s">
        <v>2019</v>
      </c>
      <c r="BLC1" s="7" t="s">
        <v>2020</v>
      </c>
      <c r="BLD1" s="7" t="s">
        <v>2021</v>
      </c>
      <c r="BLE1" s="7" t="s">
        <v>2022</v>
      </c>
      <c r="BLF1" s="7" t="s">
        <v>2023</v>
      </c>
      <c r="BLG1" s="7" t="s">
        <v>2024</v>
      </c>
      <c r="BLH1" s="7" t="s">
        <v>2025</v>
      </c>
      <c r="BLI1" s="7" t="s">
        <v>2026</v>
      </c>
      <c r="BLJ1" s="7" t="s">
        <v>2027</v>
      </c>
      <c r="BLK1" s="7" t="s">
        <v>2028</v>
      </c>
      <c r="BLL1" s="7" t="s">
        <v>2029</v>
      </c>
      <c r="BLM1" s="7" t="s">
        <v>2030</v>
      </c>
      <c r="BLN1" s="7" t="s">
        <v>2031</v>
      </c>
      <c r="BLO1" s="7" t="s">
        <v>2032</v>
      </c>
      <c r="BLP1" s="7" t="s">
        <v>2033</v>
      </c>
      <c r="BLQ1" s="7" t="s">
        <v>2034</v>
      </c>
      <c r="BLR1" s="7" t="s">
        <v>2035</v>
      </c>
      <c r="BLS1" s="7" t="s">
        <v>2036</v>
      </c>
      <c r="BLT1" s="7" t="s">
        <v>2037</v>
      </c>
      <c r="BLU1" s="7" t="s">
        <v>2038</v>
      </c>
      <c r="BLV1" s="7" t="s">
        <v>2039</v>
      </c>
      <c r="BLW1" s="7" t="s">
        <v>2040</v>
      </c>
      <c r="BLX1" s="7" t="s">
        <v>2041</v>
      </c>
      <c r="BLY1" s="7" t="s">
        <v>2042</v>
      </c>
      <c r="BLZ1" s="7" t="s">
        <v>2043</v>
      </c>
      <c r="BMA1" s="7" t="s">
        <v>2044</v>
      </c>
      <c r="BMB1" s="7" t="s">
        <v>2045</v>
      </c>
      <c r="BMC1" s="7" t="s">
        <v>2046</v>
      </c>
      <c r="BMD1" s="7" t="s">
        <v>2047</v>
      </c>
      <c r="BME1" s="7" t="s">
        <v>2048</v>
      </c>
      <c r="BMF1" s="7" t="s">
        <v>2049</v>
      </c>
      <c r="BMG1" s="7" t="s">
        <v>2050</v>
      </c>
      <c r="BMH1" s="7" t="s">
        <v>2051</v>
      </c>
      <c r="BMI1" s="7" t="s">
        <v>2052</v>
      </c>
      <c r="BMJ1" s="7" t="s">
        <v>2053</v>
      </c>
      <c r="BMK1" s="7" t="s">
        <v>2054</v>
      </c>
      <c r="BML1" s="7" t="s">
        <v>2055</v>
      </c>
      <c r="BMM1" s="7" t="s">
        <v>2056</v>
      </c>
      <c r="BMN1" s="7" t="s">
        <v>2057</v>
      </c>
      <c r="BMO1" s="7" t="s">
        <v>2058</v>
      </c>
      <c r="BMP1" s="7" t="s">
        <v>2059</v>
      </c>
      <c r="BMQ1" s="7" t="s">
        <v>2060</v>
      </c>
      <c r="BMR1" s="7" t="s">
        <v>2061</v>
      </c>
      <c r="BMS1" s="7" t="s">
        <v>2062</v>
      </c>
      <c r="BMT1" s="7" t="s">
        <v>2063</v>
      </c>
      <c r="BMU1" s="7" t="s">
        <v>2064</v>
      </c>
      <c r="BMV1" s="7" t="s">
        <v>2065</v>
      </c>
      <c r="BMW1" s="7" t="s">
        <v>2066</v>
      </c>
      <c r="BMX1" s="7" t="s">
        <v>2067</v>
      </c>
      <c r="BMY1" s="7" t="s">
        <v>2068</v>
      </c>
      <c r="BMZ1" s="7" t="s">
        <v>2069</v>
      </c>
      <c r="BNA1" s="7" t="s">
        <v>2070</v>
      </c>
      <c r="BNB1" s="7" t="s">
        <v>2071</v>
      </c>
      <c r="BNC1" s="7" t="s">
        <v>2072</v>
      </c>
      <c r="BND1" s="7" t="s">
        <v>2073</v>
      </c>
      <c r="BNE1" s="7" t="s">
        <v>2074</v>
      </c>
      <c r="BNF1" s="7" t="s">
        <v>2075</v>
      </c>
      <c r="BNG1" s="7" t="s">
        <v>2076</v>
      </c>
      <c r="BNH1" s="7" t="s">
        <v>2077</v>
      </c>
      <c r="BNI1" s="7" t="s">
        <v>2078</v>
      </c>
      <c r="BNJ1" s="7" t="s">
        <v>2079</v>
      </c>
      <c r="BNK1" s="7" t="s">
        <v>2080</v>
      </c>
      <c r="BNL1" s="7" t="s">
        <v>2081</v>
      </c>
      <c r="BNM1" s="7" t="s">
        <v>2082</v>
      </c>
      <c r="BNN1" s="7" t="s">
        <v>2083</v>
      </c>
      <c r="BNO1" s="7" t="s">
        <v>2084</v>
      </c>
      <c r="BNP1" s="7" t="s">
        <v>2085</v>
      </c>
      <c r="BNQ1" s="7" t="s">
        <v>2086</v>
      </c>
      <c r="BNR1" s="7" t="s">
        <v>2087</v>
      </c>
      <c r="BNS1" s="7" t="s">
        <v>2088</v>
      </c>
      <c r="BNT1" s="7" t="s">
        <v>2089</v>
      </c>
      <c r="BNU1" s="7" t="s">
        <v>2090</v>
      </c>
      <c r="BNV1" s="7" t="s">
        <v>2091</v>
      </c>
      <c r="BNW1" s="7" t="s">
        <v>2092</v>
      </c>
      <c r="BNX1" s="7" t="s">
        <v>2093</v>
      </c>
      <c r="BNY1" s="7" t="s">
        <v>2094</v>
      </c>
      <c r="BNZ1" s="7" t="s">
        <v>2095</v>
      </c>
      <c r="BOA1" s="7" t="s">
        <v>2096</v>
      </c>
      <c r="BOB1" s="7" t="s">
        <v>2097</v>
      </c>
      <c r="BOC1" s="7" t="s">
        <v>2098</v>
      </c>
      <c r="BOD1" s="7" t="s">
        <v>2099</v>
      </c>
      <c r="BOE1" s="7" t="s">
        <v>2100</v>
      </c>
      <c r="BOF1" s="7" t="s">
        <v>2101</v>
      </c>
      <c r="BOG1" s="7" t="s">
        <v>2102</v>
      </c>
      <c r="BOH1" s="7" t="s">
        <v>2103</v>
      </c>
      <c r="BOI1" s="7" t="s">
        <v>2104</v>
      </c>
      <c r="BOJ1" s="7" t="s">
        <v>2105</v>
      </c>
      <c r="BOK1" s="7" t="s">
        <v>2106</v>
      </c>
      <c r="BOL1" s="7" t="s">
        <v>2107</v>
      </c>
      <c r="BOM1" s="7" t="s">
        <v>2108</v>
      </c>
      <c r="BON1" s="7" t="s">
        <v>2109</v>
      </c>
      <c r="BOO1" s="7" t="s">
        <v>2110</v>
      </c>
      <c r="BOP1" s="7" t="s">
        <v>2111</v>
      </c>
      <c r="BOQ1" s="7" t="s">
        <v>2112</v>
      </c>
      <c r="BOR1" s="7" t="s">
        <v>2113</v>
      </c>
      <c r="BOS1" s="7" t="s">
        <v>2114</v>
      </c>
      <c r="BOT1" s="7" t="s">
        <v>2115</v>
      </c>
      <c r="BOU1" s="7" t="s">
        <v>2116</v>
      </c>
      <c r="BOV1" s="7" t="s">
        <v>2117</v>
      </c>
      <c r="BOW1" s="7" t="s">
        <v>2118</v>
      </c>
      <c r="BOX1" s="7" t="s">
        <v>2119</v>
      </c>
      <c r="BOY1" s="7" t="s">
        <v>2120</v>
      </c>
      <c r="BOZ1" s="7" t="s">
        <v>2121</v>
      </c>
      <c r="BPA1" s="7" t="s">
        <v>2122</v>
      </c>
      <c r="BPB1" s="7" t="s">
        <v>2123</v>
      </c>
      <c r="BPC1" s="7" t="s">
        <v>2124</v>
      </c>
      <c r="BPD1" s="7" t="s">
        <v>2125</v>
      </c>
      <c r="BPE1" s="7" t="s">
        <v>2126</v>
      </c>
      <c r="BPF1" s="7" t="s">
        <v>2127</v>
      </c>
      <c r="BPG1" s="7" t="s">
        <v>2128</v>
      </c>
      <c r="BPH1" s="7" t="s">
        <v>2129</v>
      </c>
      <c r="BPI1" s="7" t="s">
        <v>2130</v>
      </c>
      <c r="BPJ1" s="7" t="s">
        <v>2131</v>
      </c>
      <c r="BPK1" s="7" t="s">
        <v>2132</v>
      </c>
      <c r="BPL1" s="7" t="s">
        <v>2133</v>
      </c>
      <c r="BPM1" s="7" t="s">
        <v>2134</v>
      </c>
      <c r="BPN1" s="7" t="s">
        <v>2135</v>
      </c>
      <c r="BPO1" s="7" t="s">
        <v>2136</v>
      </c>
      <c r="BPP1" s="7" t="s">
        <v>2137</v>
      </c>
      <c r="BPQ1" s="7" t="s">
        <v>2138</v>
      </c>
      <c r="BPR1" s="7" t="s">
        <v>2139</v>
      </c>
      <c r="BPS1" s="7" t="s">
        <v>2140</v>
      </c>
      <c r="BPT1" s="7" t="s">
        <v>2141</v>
      </c>
      <c r="BPU1" s="7" t="s">
        <v>2142</v>
      </c>
      <c r="BPV1" s="7" t="s">
        <v>2143</v>
      </c>
      <c r="BPW1" s="7" t="s">
        <v>2144</v>
      </c>
      <c r="BPX1" s="7" t="s">
        <v>2145</v>
      </c>
      <c r="BPY1" s="7" t="s">
        <v>2146</v>
      </c>
      <c r="BPZ1" s="7" t="s">
        <v>2147</v>
      </c>
      <c r="BQA1" s="7" t="s">
        <v>2148</v>
      </c>
      <c r="BQB1" s="7" t="s">
        <v>2149</v>
      </c>
      <c r="BQC1" s="7" t="s">
        <v>2150</v>
      </c>
      <c r="BQD1" s="7" t="s">
        <v>2151</v>
      </c>
      <c r="BQE1" s="7" t="s">
        <v>2152</v>
      </c>
      <c r="BQF1" s="7" t="s">
        <v>2153</v>
      </c>
      <c r="BQG1" s="7" t="s">
        <v>2154</v>
      </c>
      <c r="BQH1" s="7" t="s">
        <v>2155</v>
      </c>
      <c r="BQI1" s="7" t="s">
        <v>2156</v>
      </c>
      <c r="BQJ1" s="7" t="s">
        <v>2157</v>
      </c>
      <c r="BQK1" s="7" t="s">
        <v>2158</v>
      </c>
      <c r="BQL1" s="7" t="s">
        <v>2159</v>
      </c>
      <c r="BQM1" s="7" t="s">
        <v>2160</v>
      </c>
      <c r="BQN1" s="7" t="s">
        <v>2161</v>
      </c>
      <c r="BQO1" s="7" t="s">
        <v>2162</v>
      </c>
      <c r="BQP1" s="7" t="s">
        <v>2163</v>
      </c>
      <c r="BQQ1" s="7" t="s">
        <v>2164</v>
      </c>
      <c r="BQR1" s="7" t="s">
        <v>2165</v>
      </c>
      <c r="BQS1" s="7" t="s">
        <v>2166</v>
      </c>
      <c r="BQT1" s="7" t="s">
        <v>2167</v>
      </c>
      <c r="BQU1" s="7" t="s">
        <v>2168</v>
      </c>
      <c r="BQV1" s="7" t="s">
        <v>2169</v>
      </c>
      <c r="BQW1" s="7" t="s">
        <v>2170</v>
      </c>
      <c r="BQX1" s="7" t="s">
        <v>2171</v>
      </c>
      <c r="BQY1" s="7" t="s">
        <v>2172</v>
      </c>
      <c r="BQZ1" s="7" t="s">
        <v>2173</v>
      </c>
      <c r="BRA1" s="7" t="s">
        <v>2174</v>
      </c>
      <c r="BRB1" s="7" t="s">
        <v>2175</v>
      </c>
      <c r="BRC1" s="7" t="s">
        <v>2176</v>
      </c>
      <c r="BRD1" s="7" t="s">
        <v>2177</v>
      </c>
      <c r="BRE1" s="7" t="s">
        <v>2178</v>
      </c>
      <c r="BRF1" s="7" t="s">
        <v>2179</v>
      </c>
      <c r="BRG1" s="7" t="s">
        <v>2180</v>
      </c>
      <c r="BRH1" s="7" t="s">
        <v>2181</v>
      </c>
      <c r="BRI1" s="7" t="s">
        <v>2182</v>
      </c>
      <c r="BRJ1" s="7" t="s">
        <v>2183</v>
      </c>
      <c r="BRK1" s="7" t="s">
        <v>2184</v>
      </c>
      <c r="BRL1" s="7" t="s">
        <v>2185</v>
      </c>
      <c r="BRM1" s="7" t="s">
        <v>2186</v>
      </c>
      <c r="BRN1" s="7" t="s">
        <v>2187</v>
      </c>
      <c r="BRO1" s="7" t="s">
        <v>2188</v>
      </c>
      <c r="BRP1" s="7" t="s">
        <v>2189</v>
      </c>
      <c r="BRQ1" s="7" t="s">
        <v>2190</v>
      </c>
      <c r="BRR1" s="7" t="s">
        <v>2191</v>
      </c>
      <c r="BRS1" s="7" t="s">
        <v>2192</v>
      </c>
      <c r="BRT1" s="7" t="s">
        <v>2193</v>
      </c>
      <c r="BRU1" s="7" t="s">
        <v>2194</v>
      </c>
      <c r="BRV1" s="7" t="s">
        <v>2195</v>
      </c>
      <c r="BRW1" s="7" t="s">
        <v>2196</v>
      </c>
      <c r="BRX1" s="7" t="s">
        <v>2197</v>
      </c>
      <c r="BRY1" s="7" t="s">
        <v>2198</v>
      </c>
      <c r="BRZ1" s="7" t="s">
        <v>2199</v>
      </c>
      <c r="BSA1" s="7" t="s">
        <v>2200</v>
      </c>
      <c r="BSB1" s="7" t="s">
        <v>2201</v>
      </c>
      <c r="BSC1" s="7" t="s">
        <v>2202</v>
      </c>
      <c r="BSD1" s="7" t="s">
        <v>2203</v>
      </c>
      <c r="BSE1" s="7" t="s">
        <v>2204</v>
      </c>
      <c r="BSF1" s="7" t="s">
        <v>2205</v>
      </c>
      <c r="BSG1" s="7" t="s">
        <v>2206</v>
      </c>
      <c r="BSH1" s="7" t="s">
        <v>2207</v>
      </c>
      <c r="BSI1" s="7" t="s">
        <v>2208</v>
      </c>
      <c r="BSJ1" s="7" t="s">
        <v>2209</v>
      </c>
      <c r="BSK1" s="7" t="s">
        <v>2210</v>
      </c>
      <c r="BSL1" s="7" t="s">
        <v>2211</v>
      </c>
      <c r="BSM1" s="7" t="s">
        <v>2212</v>
      </c>
      <c r="BSN1" s="7" t="s">
        <v>2213</v>
      </c>
      <c r="BSO1" s="7" t="s">
        <v>2214</v>
      </c>
      <c r="BSP1" s="7" t="s">
        <v>2215</v>
      </c>
      <c r="BSQ1" s="7" t="s">
        <v>2216</v>
      </c>
      <c r="BSR1" s="7" t="s">
        <v>2217</v>
      </c>
      <c r="BSS1" s="7" t="s">
        <v>2218</v>
      </c>
      <c r="BST1" s="7" t="s">
        <v>2219</v>
      </c>
      <c r="BSU1" s="7" t="s">
        <v>2220</v>
      </c>
      <c r="BSV1" s="7" t="s">
        <v>2221</v>
      </c>
      <c r="BSW1" s="7" t="s">
        <v>2222</v>
      </c>
      <c r="BSX1" s="7" t="s">
        <v>2223</v>
      </c>
      <c r="BSY1" s="7" t="s">
        <v>2224</v>
      </c>
      <c r="BSZ1" s="7" t="s">
        <v>2225</v>
      </c>
      <c r="BTA1" s="7" t="s">
        <v>2226</v>
      </c>
      <c r="BTB1" s="7" t="s">
        <v>2227</v>
      </c>
      <c r="BTC1" s="7" t="s">
        <v>2228</v>
      </c>
      <c r="BTD1" s="7" t="s">
        <v>2229</v>
      </c>
      <c r="BTE1" s="7" t="s">
        <v>2230</v>
      </c>
      <c r="BTF1" s="7" t="s">
        <v>2231</v>
      </c>
      <c r="BTG1" s="7" t="s">
        <v>2232</v>
      </c>
      <c r="BTH1" s="7" t="s">
        <v>2233</v>
      </c>
      <c r="BTI1" s="7" t="s">
        <v>2234</v>
      </c>
      <c r="BTJ1" s="7" t="s">
        <v>2235</v>
      </c>
      <c r="BTK1" s="7" t="s">
        <v>2236</v>
      </c>
      <c r="BTL1" s="7" t="s">
        <v>2237</v>
      </c>
      <c r="BTM1" s="7" t="s">
        <v>2238</v>
      </c>
      <c r="BTN1" s="7" t="s">
        <v>2239</v>
      </c>
      <c r="BTO1" s="7" t="s">
        <v>2240</v>
      </c>
      <c r="BTP1" s="7" t="s">
        <v>2241</v>
      </c>
      <c r="BTQ1" s="7" t="s">
        <v>2242</v>
      </c>
      <c r="BTR1" s="7" t="s">
        <v>2243</v>
      </c>
      <c r="BTS1" s="7" t="s">
        <v>2244</v>
      </c>
      <c r="BTT1" s="7" t="s">
        <v>2245</v>
      </c>
      <c r="BTU1" s="7" t="s">
        <v>2246</v>
      </c>
      <c r="BTV1" s="7" t="s">
        <v>2247</v>
      </c>
      <c r="BTW1" s="7" t="s">
        <v>2248</v>
      </c>
      <c r="BTX1" s="7" t="s">
        <v>2249</v>
      </c>
      <c r="BTY1" s="7" t="s">
        <v>2250</v>
      </c>
      <c r="BTZ1" s="7" t="s">
        <v>2251</v>
      </c>
      <c r="BUA1" s="7" t="s">
        <v>2252</v>
      </c>
      <c r="BUB1" s="7" t="s">
        <v>2253</v>
      </c>
      <c r="BUC1" s="7" t="s">
        <v>2254</v>
      </c>
      <c r="BUD1" s="7" t="s">
        <v>2255</v>
      </c>
      <c r="BUE1" s="7" t="s">
        <v>2256</v>
      </c>
      <c r="BUF1" s="7" t="s">
        <v>2257</v>
      </c>
      <c r="BUG1" s="7" t="s">
        <v>2258</v>
      </c>
      <c r="BUH1" s="7" t="s">
        <v>2259</v>
      </c>
      <c r="BUI1" s="7" t="s">
        <v>2260</v>
      </c>
      <c r="BUJ1" s="7" t="s">
        <v>2261</v>
      </c>
      <c r="BUK1" s="7" t="s">
        <v>2262</v>
      </c>
      <c r="BUL1" s="7" t="s">
        <v>2263</v>
      </c>
      <c r="BUM1" s="7" t="s">
        <v>2264</v>
      </c>
      <c r="BUN1" s="7" t="s">
        <v>2265</v>
      </c>
      <c r="BUO1" s="7" t="s">
        <v>2266</v>
      </c>
      <c r="BUP1" s="7" t="s">
        <v>2267</v>
      </c>
      <c r="BUQ1" s="7" t="s">
        <v>2268</v>
      </c>
      <c r="BUR1" s="7" t="s">
        <v>2269</v>
      </c>
      <c r="BUS1" s="7" t="s">
        <v>2270</v>
      </c>
      <c r="BUT1" s="7" t="s">
        <v>2271</v>
      </c>
      <c r="BUU1" s="7" t="s">
        <v>2272</v>
      </c>
      <c r="BUV1" s="7" t="s">
        <v>2273</v>
      </c>
      <c r="BUW1" s="7" t="s">
        <v>2274</v>
      </c>
      <c r="BUX1" s="7" t="s">
        <v>2275</v>
      </c>
      <c r="BUY1" s="7" t="s">
        <v>2276</v>
      </c>
      <c r="BUZ1" s="7" t="s">
        <v>2277</v>
      </c>
      <c r="BVA1" s="7" t="s">
        <v>2278</v>
      </c>
      <c r="BVB1" s="7" t="s">
        <v>2279</v>
      </c>
      <c r="BVC1" s="7" t="s">
        <v>2280</v>
      </c>
      <c r="BVD1" s="7" t="s">
        <v>2281</v>
      </c>
      <c r="BVE1" s="7" t="s">
        <v>2282</v>
      </c>
      <c r="BVF1" s="7" t="s">
        <v>2283</v>
      </c>
      <c r="BVG1" s="7" t="s">
        <v>2284</v>
      </c>
      <c r="BVH1" s="7" t="s">
        <v>2285</v>
      </c>
      <c r="BVI1" s="7" t="s">
        <v>2286</v>
      </c>
      <c r="BVJ1" s="7" t="s">
        <v>2287</v>
      </c>
      <c r="BVK1" s="7" t="s">
        <v>2288</v>
      </c>
      <c r="BVL1" s="7" t="s">
        <v>2289</v>
      </c>
      <c r="BVM1" s="7" t="s">
        <v>2290</v>
      </c>
      <c r="BVN1" s="7" t="s">
        <v>2291</v>
      </c>
      <c r="BVO1" s="7" t="s">
        <v>2292</v>
      </c>
      <c r="BVP1" s="7" t="s">
        <v>2293</v>
      </c>
      <c r="BVQ1" s="7" t="s">
        <v>2294</v>
      </c>
      <c r="BVR1" s="7" t="s">
        <v>2295</v>
      </c>
      <c r="BVS1" s="7" t="s">
        <v>2296</v>
      </c>
      <c r="BVT1" s="7" t="s">
        <v>2297</v>
      </c>
      <c r="BVU1" s="7" t="s">
        <v>2298</v>
      </c>
      <c r="BVV1" s="7" t="s">
        <v>2299</v>
      </c>
      <c r="BVW1" s="7" t="s">
        <v>2300</v>
      </c>
      <c r="BVX1" s="7" t="s">
        <v>2301</v>
      </c>
      <c r="BVY1" s="7" t="s">
        <v>2302</v>
      </c>
      <c r="BVZ1" s="7" t="s">
        <v>2303</v>
      </c>
      <c r="BWA1" s="7" t="s">
        <v>2304</v>
      </c>
      <c r="BWB1" s="7" t="s">
        <v>2305</v>
      </c>
      <c r="BWC1" s="7" t="s">
        <v>2306</v>
      </c>
      <c r="BWD1" s="7" t="s">
        <v>2307</v>
      </c>
      <c r="BWE1" s="7" t="s">
        <v>2308</v>
      </c>
      <c r="BWF1" s="7" t="s">
        <v>2309</v>
      </c>
      <c r="BWG1" s="7" t="s">
        <v>2310</v>
      </c>
      <c r="BWH1" s="7" t="s">
        <v>2311</v>
      </c>
      <c r="BWI1" s="7" t="s">
        <v>2312</v>
      </c>
      <c r="BWJ1" s="7" t="s">
        <v>2313</v>
      </c>
      <c r="BWK1" s="7" t="s">
        <v>2314</v>
      </c>
      <c r="BWL1" s="7" t="s">
        <v>2315</v>
      </c>
      <c r="BWM1" s="7" t="s">
        <v>2316</v>
      </c>
      <c r="BWN1" s="7" t="s">
        <v>2317</v>
      </c>
      <c r="BWO1" s="7" t="s">
        <v>2318</v>
      </c>
      <c r="BWP1" s="7" t="s">
        <v>2319</v>
      </c>
      <c r="BWQ1" s="7" t="s">
        <v>2320</v>
      </c>
      <c r="BWR1" s="7" t="s">
        <v>2321</v>
      </c>
      <c r="BWS1" s="7" t="s">
        <v>2322</v>
      </c>
      <c r="BWT1" s="7" t="s">
        <v>2323</v>
      </c>
      <c r="BWU1" s="7" t="s">
        <v>2324</v>
      </c>
      <c r="BWV1" s="7" t="s">
        <v>2325</v>
      </c>
      <c r="BWW1" s="7" t="s">
        <v>2326</v>
      </c>
      <c r="BWX1" s="7" t="s">
        <v>2327</v>
      </c>
      <c r="BWY1" s="7" t="s">
        <v>2328</v>
      </c>
      <c r="BWZ1" s="7" t="s">
        <v>2329</v>
      </c>
      <c r="BXA1" s="7" t="s">
        <v>2330</v>
      </c>
      <c r="BXB1" s="7" t="s">
        <v>2331</v>
      </c>
      <c r="BXC1" s="7" t="s">
        <v>2332</v>
      </c>
      <c r="BXD1" s="7" t="s">
        <v>2333</v>
      </c>
      <c r="BXE1" s="7" t="s">
        <v>2334</v>
      </c>
      <c r="BXF1" s="7" t="s">
        <v>2335</v>
      </c>
      <c r="BXG1" s="7" t="s">
        <v>2336</v>
      </c>
      <c r="BXH1" s="7" t="s">
        <v>2337</v>
      </c>
      <c r="BXI1" s="7" t="s">
        <v>2338</v>
      </c>
      <c r="BXJ1" s="7" t="s">
        <v>2339</v>
      </c>
      <c r="BXK1" s="7" t="s">
        <v>2340</v>
      </c>
      <c r="BXL1" s="7" t="s">
        <v>2341</v>
      </c>
      <c r="BXM1" s="7" t="s">
        <v>2342</v>
      </c>
      <c r="BXN1" s="7" t="s">
        <v>2343</v>
      </c>
      <c r="BXO1" s="7" t="s">
        <v>2344</v>
      </c>
      <c r="BXP1" s="7" t="s">
        <v>2345</v>
      </c>
      <c r="BXQ1" s="7" t="s">
        <v>2346</v>
      </c>
      <c r="BXR1" s="7" t="s">
        <v>2347</v>
      </c>
      <c r="BXS1" s="7" t="s">
        <v>2348</v>
      </c>
      <c r="BXT1" s="7" t="s">
        <v>2349</v>
      </c>
      <c r="BXU1" s="7" t="s">
        <v>2350</v>
      </c>
      <c r="BXV1" s="7" t="s">
        <v>2351</v>
      </c>
      <c r="BXW1" s="7" t="s">
        <v>2352</v>
      </c>
      <c r="BXX1" s="7" t="s">
        <v>2353</v>
      </c>
      <c r="BXY1" s="7" t="s">
        <v>2354</v>
      </c>
      <c r="BXZ1" s="7" t="s">
        <v>2355</v>
      </c>
      <c r="BYA1" s="7" t="s">
        <v>2356</v>
      </c>
      <c r="BYB1" s="7" t="s">
        <v>2357</v>
      </c>
      <c r="BYC1" s="7" t="s">
        <v>2358</v>
      </c>
      <c r="BYD1" s="7" t="s">
        <v>2359</v>
      </c>
      <c r="BYE1" s="7" t="s">
        <v>2360</v>
      </c>
      <c r="BYF1" s="7" t="s">
        <v>2361</v>
      </c>
      <c r="BYG1" s="7" t="s">
        <v>2362</v>
      </c>
      <c r="BYH1" s="7" t="s">
        <v>2363</v>
      </c>
      <c r="BYI1" s="7" t="s">
        <v>2364</v>
      </c>
      <c r="BYJ1" s="7" t="s">
        <v>2365</v>
      </c>
      <c r="BYK1" s="7" t="s">
        <v>2366</v>
      </c>
      <c r="BYL1" s="7" t="s">
        <v>2367</v>
      </c>
      <c r="BYM1" s="7" t="s">
        <v>2368</v>
      </c>
      <c r="BYN1" s="7" t="s">
        <v>2369</v>
      </c>
      <c r="BYO1" s="7" t="s">
        <v>2370</v>
      </c>
      <c r="BYP1" s="7" t="s">
        <v>2371</v>
      </c>
      <c r="BYQ1" s="7" t="s">
        <v>2372</v>
      </c>
      <c r="BYR1" s="7" t="s">
        <v>2373</v>
      </c>
      <c r="BYS1" s="7" t="s">
        <v>2374</v>
      </c>
      <c r="BYT1" s="7" t="s">
        <v>2375</v>
      </c>
      <c r="BYU1" s="7" t="s">
        <v>2376</v>
      </c>
      <c r="BYV1" s="7" t="s">
        <v>2377</v>
      </c>
      <c r="BYW1" s="7" t="s">
        <v>2378</v>
      </c>
      <c r="BYX1" s="7" t="s">
        <v>2379</v>
      </c>
      <c r="BYY1" s="7" t="s">
        <v>2380</v>
      </c>
      <c r="BYZ1" s="7" t="s">
        <v>2381</v>
      </c>
      <c r="BZA1" s="7" t="s">
        <v>2382</v>
      </c>
      <c r="BZB1" s="7" t="s">
        <v>2383</v>
      </c>
      <c r="BZC1" s="7" t="s">
        <v>2384</v>
      </c>
      <c r="BZD1" s="7" t="s">
        <v>2385</v>
      </c>
      <c r="BZE1" s="7" t="s">
        <v>2386</v>
      </c>
      <c r="BZF1" s="7" t="s">
        <v>2387</v>
      </c>
      <c r="BZG1" s="7" t="s">
        <v>2388</v>
      </c>
      <c r="BZH1" s="7" t="s">
        <v>2389</v>
      </c>
      <c r="BZI1" s="7" t="s">
        <v>2390</v>
      </c>
      <c r="BZJ1" s="7" t="s">
        <v>2391</v>
      </c>
      <c r="BZK1" s="7" t="s">
        <v>2392</v>
      </c>
      <c r="BZL1" s="7" t="s">
        <v>2393</v>
      </c>
      <c r="BZM1" s="7" t="s">
        <v>2394</v>
      </c>
      <c r="BZN1" s="7" t="s">
        <v>2395</v>
      </c>
      <c r="BZO1" s="7" t="s">
        <v>2396</v>
      </c>
      <c r="BZP1" s="7" t="s">
        <v>2397</v>
      </c>
      <c r="BZQ1" s="7" t="s">
        <v>2398</v>
      </c>
      <c r="BZR1" s="7" t="s">
        <v>2399</v>
      </c>
      <c r="BZS1" s="7" t="s">
        <v>2400</v>
      </c>
      <c r="BZT1" s="7" t="s">
        <v>2401</v>
      </c>
      <c r="BZU1" s="7" t="s">
        <v>2402</v>
      </c>
      <c r="BZV1" s="7" t="s">
        <v>2403</v>
      </c>
      <c r="BZW1" s="7" t="s">
        <v>2404</v>
      </c>
      <c r="BZX1" s="7" t="s">
        <v>2405</v>
      </c>
      <c r="BZY1" s="7" t="s">
        <v>2406</v>
      </c>
      <c r="BZZ1" s="7" t="s">
        <v>2407</v>
      </c>
      <c r="CAA1" s="7" t="s">
        <v>2408</v>
      </c>
      <c r="CAB1" s="7" t="s">
        <v>2409</v>
      </c>
      <c r="CAC1" s="7" t="s">
        <v>2410</v>
      </c>
      <c r="CAD1" s="7" t="s">
        <v>2411</v>
      </c>
      <c r="CAE1" s="7" t="s">
        <v>2412</v>
      </c>
      <c r="CAF1" s="7" t="s">
        <v>2413</v>
      </c>
      <c r="CAG1" s="7" t="s">
        <v>2414</v>
      </c>
      <c r="CAH1" s="7" t="s">
        <v>2415</v>
      </c>
      <c r="CAI1" s="7" t="s">
        <v>2416</v>
      </c>
      <c r="CAJ1" s="7" t="s">
        <v>2417</v>
      </c>
      <c r="CAK1" s="7" t="s">
        <v>2418</v>
      </c>
      <c r="CAL1" s="7" t="s">
        <v>2419</v>
      </c>
      <c r="CAM1" s="7" t="s">
        <v>2420</v>
      </c>
      <c r="CAN1" s="7" t="s">
        <v>2421</v>
      </c>
      <c r="CAO1" s="7" t="s">
        <v>2422</v>
      </c>
      <c r="CAP1" s="7" t="s">
        <v>2423</v>
      </c>
      <c r="CAQ1" s="7" t="s">
        <v>2424</v>
      </c>
      <c r="CAR1" s="7" t="s">
        <v>2425</v>
      </c>
      <c r="CAS1" s="7" t="s">
        <v>2426</v>
      </c>
      <c r="CAT1" s="7" t="s">
        <v>2427</v>
      </c>
      <c r="CAU1" s="7" t="s">
        <v>2428</v>
      </c>
      <c r="CAV1" s="7" t="s">
        <v>2429</v>
      </c>
      <c r="CAW1" s="7" t="s">
        <v>2430</v>
      </c>
      <c r="CAX1" s="7" t="s">
        <v>2431</v>
      </c>
      <c r="CAY1" s="7" t="s">
        <v>2432</v>
      </c>
      <c r="CAZ1" s="7" t="s">
        <v>2433</v>
      </c>
      <c r="CBA1" s="7" t="s">
        <v>2434</v>
      </c>
      <c r="CBB1" s="7" t="s">
        <v>2435</v>
      </c>
      <c r="CBC1" s="7" t="s">
        <v>2436</v>
      </c>
      <c r="CBD1" s="7" t="s">
        <v>2437</v>
      </c>
      <c r="CBE1" s="7" t="s">
        <v>2438</v>
      </c>
      <c r="CBF1" s="7" t="s">
        <v>2439</v>
      </c>
      <c r="CBG1" s="7" t="s">
        <v>2440</v>
      </c>
      <c r="CBH1" s="7" t="s">
        <v>2441</v>
      </c>
      <c r="CBI1" s="7" t="s">
        <v>2442</v>
      </c>
      <c r="CBJ1" s="7" t="s">
        <v>2443</v>
      </c>
      <c r="CBK1" s="7" t="s">
        <v>2444</v>
      </c>
      <c r="CBL1" s="7" t="s">
        <v>2445</v>
      </c>
      <c r="CBM1" s="7" t="s">
        <v>2446</v>
      </c>
      <c r="CBN1" s="7" t="s">
        <v>2447</v>
      </c>
      <c r="CBO1" s="7" t="s">
        <v>2448</v>
      </c>
      <c r="CBP1" s="7" t="s">
        <v>2449</v>
      </c>
      <c r="CBQ1" s="7" t="s">
        <v>2450</v>
      </c>
      <c r="CBR1" s="7" t="s">
        <v>2451</v>
      </c>
      <c r="CBS1" s="7" t="s">
        <v>2452</v>
      </c>
      <c r="CBT1" s="7" t="s">
        <v>2453</v>
      </c>
      <c r="CBU1" s="7" t="s">
        <v>2454</v>
      </c>
      <c r="CBV1" s="7" t="s">
        <v>2455</v>
      </c>
      <c r="CBW1" s="7" t="s">
        <v>2456</v>
      </c>
      <c r="CBX1" s="7" t="s">
        <v>2457</v>
      </c>
      <c r="CBY1" s="7" t="s">
        <v>2458</v>
      </c>
      <c r="CBZ1" s="7" t="s">
        <v>2459</v>
      </c>
      <c r="CCA1" s="7" t="s">
        <v>2460</v>
      </c>
      <c r="CCB1" s="7" t="s">
        <v>2461</v>
      </c>
      <c r="CCC1" s="7" t="s">
        <v>2462</v>
      </c>
      <c r="CCD1" s="7" t="s">
        <v>2463</v>
      </c>
      <c r="CCE1" s="7" t="s">
        <v>2464</v>
      </c>
      <c r="CCF1" s="7" t="s">
        <v>2465</v>
      </c>
      <c r="CCG1" s="7" t="s">
        <v>2466</v>
      </c>
      <c r="CCH1" s="7" t="s">
        <v>2467</v>
      </c>
      <c r="CCI1" s="7" t="s">
        <v>2468</v>
      </c>
      <c r="CCJ1" s="7" t="s">
        <v>2469</v>
      </c>
      <c r="CCK1" s="7" t="s">
        <v>2470</v>
      </c>
      <c r="CCL1" s="7" t="s">
        <v>2471</v>
      </c>
      <c r="CCM1" s="7" t="s">
        <v>2472</v>
      </c>
      <c r="CCN1" s="7" t="s">
        <v>2473</v>
      </c>
      <c r="CCO1" s="7" t="s">
        <v>2474</v>
      </c>
      <c r="CCP1" s="7" t="s">
        <v>2475</v>
      </c>
      <c r="CCQ1" s="7" t="s">
        <v>2476</v>
      </c>
      <c r="CCR1" s="7" t="s">
        <v>2477</v>
      </c>
      <c r="CCS1" s="7" t="s">
        <v>2478</v>
      </c>
      <c r="CCT1" s="7" t="s">
        <v>2479</v>
      </c>
      <c r="CCU1" s="7" t="s">
        <v>2480</v>
      </c>
      <c r="CCV1" s="7" t="s">
        <v>2481</v>
      </c>
      <c r="CCW1" s="7" t="s">
        <v>2482</v>
      </c>
      <c r="CCX1" s="7" t="s">
        <v>2483</v>
      </c>
      <c r="CCY1" s="7" t="s">
        <v>2484</v>
      </c>
      <c r="CCZ1" s="7" t="s">
        <v>2485</v>
      </c>
      <c r="CDA1" s="7" t="s">
        <v>2486</v>
      </c>
      <c r="CDB1" s="7" t="s">
        <v>2487</v>
      </c>
      <c r="CDC1" s="7" t="s">
        <v>2488</v>
      </c>
      <c r="CDD1" s="7" t="s">
        <v>2489</v>
      </c>
      <c r="CDE1" s="7" t="s">
        <v>2490</v>
      </c>
      <c r="CDF1" s="7" t="s">
        <v>2491</v>
      </c>
      <c r="CDG1" s="7" t="s">
        <v>2492</v>
      </c>
      <c r="CDH1" s="7" t="s">
        <v>2493</v>
      </c>
      <c r="CDI1" s="7" t="s">
        <v>2494</v>
      </c>
      <c r="CDJ1" s="7" t="s">
        <v>2495</v>
      </c>
      <c r="CDK1" s="7" t="s">
        <v>2496</v>
      </c>
      <c r="CDL1" s="7" t="s">
        <v>2497</v>
      </c>
      <c r="CDM1" s="7" t="s">
        <v>2498</v>
      </c>
      <c r="CDN1" s="7" t="s">
        <v>2499</v>
      </c>
      <c r="CDO1" s="7" t="s">
        <v>2500</v>
      </c>
      <c r="CDP1" s="7" t="s">
        <v>2501</v>
      </c>
      <c r="CDQ1" s="7" t="s">
        <v>2502</v>
      </c>
      <c r="CDR1" s="7" t="s">
        <v>2503</v>
      </c>
      <c r="CDS1" s="7" t="s">
        <v>2504</v>
      </c>
      <c r="CDT1" s="7" t="s">
        <v>2505</v>
      </c>
      <c r="CDU1" s="7" t="s">
        <v>2506</v>
      </c>
      <c r="CDV1" s="7" t="s">
        <v>2507</v>
      </c>
      <c r="CDW1" s="7" t="s">
        <v>2508</v>
      </c>
      <c r="CDX1" s="7" t="s">
        <v>2509</v>
      </c>
      <c r="CDY1" s="7" t="s">
        <v>2510</v>
      </c>
      <c r="CDZ1" s="7" t="s">
        <v>2511</v>
      </c>
      <c r="CEA1" s="7" t="s">
        <v>2512</v>
      </c>
      <c r="CEB1" s="7" t="s">
        <v>2513</v>
      </c>
      <c r="CEC1" s="7" t="s">
        <v>2514</v>
      </c>
      <c r="CED1" s="7" t="s">
        <v>2515</v>
      </c>
      <c r="CEE1" s="7" t="s">
        <v>2516</v>
      </c>
      <c r="CEF1" s="7" t="s">
        <v>2517</v>
      </c>
      <c r="CEG1" s="7" t="s">
        <v>2518</v>
      </c>
      <c r="CEH1" s="7" t="s">
        <v>2519</v>
      </c>
      <c r="CEI1" s="7" t="s">
        <v>2520</v>
      </c>
      <c r="CEJ1" s="7" t="s">
        <v>2521</v>
      </c>
      <c r="CEK1" s="7" t="s">
        <v>2522</v>
      </c>
      <c r="CEL1" s="7" t="s">
        <v>2523</v>
      </c>
      <c r="CEM1" s="7" t="s">
        <v>2524</v>
      </c>
      <c r="CEN1" s="7" t="s">
        <v>2525</v>
      </c>
      <c r="CEO1" s="7" t="s">
        <v>2526</v>
      </c>
      <c r="CEP1" s="7" t="s">
        <v>2527</v>
      </c>
      <c r="CEQ1" s="7" t="s">
        <v>2528</v>
      </c>
      <c r="CER1" s="7" t="s">
        <v>2529</v>
      </c>
      <c r="CES1" s="7" t="s">
        <v>2530</v>
      </c>
      <c r="CET1" s="7" t="s">
        <v>2531</v>
      </c>
      <c r="CEU1" s="7" t="s">
        <v>2532</v>
      </c>
      <c r="CEV1" s="7" t="s">
        <v>2533</v>
      </c>
      <c r="CEW1" s="7" t="s">
        <v>2534</v>
      </c>
      <c r="CEX1" s="7" t="s">
        <v>2535</v>
      </c>
      <c r="CEY1" s="7" t="s">
        <v>2536</v>
      </c>
      <c r="CEZ1" s="7" t="s">
        <v>2537</v>
      </c>
      <c r="CFA1" s="7" t="s">
        <v>2538</v>
      </c>
      <c r="CFB1" s="7" t="s">
        <v>2539</v>
      </c>
      <c r="CFC1" s="7" t="s">
        <v>2540</v>
      </c>
      <c r="CFD1" s="7" t="s">
        <v>2541</v>
      </c>
      <c r="CFE1" s="7" t="s">
        <v>2542</v>
      </c>
      <c r="CFF1" s="7" t="s">
        <v>2543</v>
      </c>
      <c r="CFG1" s="7" t="s">
        <v>2544</v>
      </c>
      <c r="CFH1" s="7" t="s">
        <v>2545</v>
      </c>
      <c r="CFI1" s="7" t="s">
        <v>2546</v>
      </c>
      <c r="CFJ1" s="7" t="s">
        <v>2547</v>
      </c>
      <c r="CFK1" s="7" t="s">
        <v>2548</v>
      </c>
      <c r="CFL1" s="7" t="s">
        <v>2549</v>
      </c>
      <c r="CFM1" s="7" t="s">
        <v>2550</v>
      </c>
      <c r="CFN1" s="7" t="s">
        <v>2551</v>
      </c>
      <c r="CFO1" s="7" t="s">
        <v>2552</v>
      </c>
      <c r="CFP1" s="7" t="s">
        <v>2553</v>
      </c>
      <c r="CFQ1" s="7" t="s">
        <v>2554</v>
      </c>
      <c r="CFR1" s="7" t="s">
        <v>2555</v>
      </c>
      <c r="CFS1" s="7" t="s">
        <v>2556</v>
      </c>
      <c r="CFT1" s="7" t="s">
        <v>2557</v>
      </c>
      <c r="CFU1" s="7" t="s">
        <v>2558</v>
      </c>
      <c r="CFV1" s="7" t="s">
        <v>2559</v>
      </c>
      <c r="CFW1" s="7" t="s">
        <v>2560</v>
      </c>
      <c r="CFX1" s="7" t="s">
        <v>2561</v>
      </c>
      <c r="CFY1" s="7" t="s">
        <v>2562</v>
      </c>
      <c r="CFZ1" s="7" t="s">
        <v>2563</v>
      </c>
      <c r="CGA1" s="7" t="s">
        <v>2564</v>
      </c>
      <c r="CGB1" s="7" t="s">
        <v>2565</v>
      </c>
      <c r="CGC1" s="7" t="s">
        <v>2566</v>
      </c>
      <c r="CGD1" s="7" t="s">
        <v>2567</v>
      </c>
      <c r="CGE1" s="7" t="s">
        <v>2568</v>
      </c>
      <c r="CGF1" s="7" t="s">
        <v>2569</v>
      </c>
      <c r="CGG1" s="7" t="s">
        <v>2570</v>
      </c>
      <c r="CGH1" s="7" t="s">
        <v>2571</v>
      </c>
      <c r="CGI1" s="7" t="s">
        <v>2572</v>
      </c>
      <c r="CGJ1" s="7" t="s">
        <v>2573</v>
      </c>
      <c r="CGK1" s="7" t="s">
        <v>2574</v>
      </c>
      <c r="CGL1" s="7" t="s">
        <v>2575</v>
      </c>
      <c r="CGM1" s="7" t="s">
        <v>2576</v>
      </c>
      <c r="CGN1" s="7" t="s">
        <v>2577</v>
      </c>
      <c r="CGO1" s="7" t="s">
        <v>2578</v>
      </c>
      <c r="CGP1" s="7" t="s">
        <v>2579</v>
      </c>
      <c r="CGQ1" s="7" t="s">
        <v>2580</v>
      </c>
      <c r="CGR1" s="7" t="s">
        <v>2581</v>
      </c>
      <c r="CGS1" s="7" t="s">
        <v>2582</v>
      </c>
      <c r="CGT1" s="7" t="s">
        <v>2583</v>
      </c>
      <c r="CGU1" s="7" t="s">
        <v>2584</v>
      </c>
      <c r="CGV1" s="7" t="s">
        <v>2585</v>
      </c>
      <c r="CGW1" s="7" t="s">
        <v>2586</v>
      </c>
      <c r="CGX1" s="7" t="s">
        <v>2587</v>
      </c>
      <c r="CGY1" s="7" t="s">
        <v>2588</v>
      </c>
      <c r="CGZ1" s="7" t="s">
        <v>2589</v>
      </c>
      <c r="CHA1" s="7" t="s">
        <v>2590</v>
      </c>
      <c r="CHB1" s="7" t="s">
        <v>2591</v>
      </c>
      <c r="CHC1" s="7" t="s">
        <v>2592</v>
      </c>
      <c r="CHD1" s="7" t="s">
        <v>2593</v>
      </c>
      <c r="CHE1" s="7" t="s">
        <v>2594</v>
      </c>
      <c r="CHF1" s="7" t="s">
        <v>2595</v>
      </c>
      <c r="CHG1" s="7" t="s">
        <v>2596</v>
      </c>
      <c r="CHH1" s="7" t="s">
        <v>2597</v>
      </c>
      <c r="CHI1" s="7" t="s">
        <v>2598</v>
      </c>
      <c r="CHJ1" s="7" t="s">
        <v>2599</v>
      </c>
      <c r="CHK1" s="7" t="s">
        <v>2600</v>
      </c>
      <c r="CHL1" s="7" t="s">
        <v>2601</v>
      </c>
      <c r="CHM1" s="7" t="s">
        <v>2602</v>
      </c>
      <c r="CHN1" s="7" t="s">
        <v>2603</v>
      </c>
      <c r="CHO1" s="7" t="s">
        <v>2604</v>
      </c>
      <c r="CHP1" s="7" t="s">
        <v>2605</v>
      </c>
      <c r="CHQ1" s="7" t="s">
        <v>2606</v>
      </c>
      <c r="CHR1" s="7" t="s">
        <v>2607</v>
      </c>
      <c r="CHS1" s="7" t="s">
        <v>2608</v>
      </c>
      <c r="CHT1" s="7" t="s">
        <v>2609</v>
      </c>
      <c r="CHU1" s="7" t="s">
        <v>2610</v>
      </c>
      <c r="CHV1" s="7" t="s">
        <v>2611</v>
      </c>
      <c r="CHW1" s="7" t="s">
        <v>2612</v>
      </c>
      <c r="CHX1" s="7" t="s">
        <v>2613</v>
      </c>
      <c r="CHY1" s="7" t="s">
        <v>2614</v>
      </c>
      <c r="CHZ1" s="7" t="s">
        <v>2615</v>
      </c>
      <c r="CIA1" s="7" t="s">
        <v>2616</v>
      </c>
      <c r="CIB1" s="7" t="s">
        <v>2617</v>
      </c>
      <c r="CIC1" s="7" t="s">
        <v>2618</v>
      </c>
      <c r="CID1" s="7" t="s">
        <v>2619</v>
      </c>
      <c r="CIE1" s="7" t="s">
        <v>2620</v>
      </c>
      <c r="CIF1" s="7" t="s">
        <v>2621</v>
      </c>
      <c r="CIG1" s="7" t="s">
        <v>2622</v>
      </c>
      <c r="CIH1" s="7" t="s">
        <v>2623</v>
      </c>
      <c r="CII1" s="7" t="s">
        <v>2624</v>
      </c>
      <c r="CIJ1" s="7" t="s">
        <v>2625</v>
      </c>
      <c r="CIK1" s="7" t="s">
        <v>2626</v>
      </c>
      <c r="CIL1" s="7" t="s">
        <v>2627</v>
      </c>
      <c r="CIM1" s="7" t="s">
        <v>2628</v>
      </c>
      <c r="CIN1" s="7" t="s">
        <v>2629</v>
      </c>
      <c r="CIO1" s="7" t="s">
        <v>2630</v>
      </c>
      <c r="CIP1" s="7" t="s">
        <v>2631</v>
      </c>
      <c r="CIQ1" s="7" t="s">
        <v>2632</v>
      </c>
      <c r="CIR1" s="7" t="s">
        <v>2633</v>
      </c>
      <c r="CIS1" s="7" t="s">
        <v>2634</v>
      </c>
      <c r="CIT1" s="7" t="s">
        <v>2635</v>
      </c>
      <c r="CIU1" s="7" t="s">
        <v>2636</v>
      </c>
      <c r="CIV1" s="7" t="s">
        <v>2637</v>
      </c>
      <c r="CIW1" s="7" t="s">
        <v>2638</v>
      </c>
      <c r="CIX1" s="7" t="s">
        <v>2639</v>
      </c>
      <c r="CIY1" s="7" t="s">
        <v>2640</v>
      </c>
      <c r="CIZ1" s="7" t="s">
        <v>2641</v>
      </c>
      <c r="CJA1" s="7" t="s">
        <v>2642</v>
      </c>
      <c r="CJB1" s="7" t="s">
        <v>2643</v>
      </c>
      <c r="CJC1" s="7" t="s">
        <v>2644</v>
      </c>
      <c r="CJD1" s="7" t="s">
        <v>2645</v>
      </c>
      <c r="CJE1" s="7" t="s">
        <v>2646</v>
      </c>
      <c r="CJF1" s="7" t="s">
        <v>2647</v>
      </c>
      <c r="CJG1" s="7" t="s">
        <v>2648</v>
      </c>
      <c r="CJH1" s="7" t="s">
        <v>2649</v>
      </c>
      <c r="CJI1" s="7" t="s">
        <v>2650</v>
      </c>
      <c r="CJJ1" s="7" t="s">
        <v>2651</v>
      </c>
      <c r="CJK1" s="7" t="s">
        <v>2652</v>
      </c>
      <c r="CJL1" s="7" t="s">
        <v>2653</v>
      </c>
      <c r="CJM1" s="7" t="s">
        <v>2654</v>
      </c>
      <c r="CJN1" s="7" t="s">
        <v>2655</v>
      </c>
      <c r="CJO1" s="7" t="s">
        <v>2656</v>
      </c>
      <c r="CJP1" s="7" t="s">
        <v>2657</v>
      </c>
      <c r="CJQ1" s="7" t="s">
        <v>2658</v>
      </c>
      <c r="CJR1" s="7" t="s">
        <v>2659</v>
      </c>
      <c r="CJS1" s="7" t="s">
        <v>2660</v>
      </c>
      <c r="CJT1" s="7" t="s">
        <v>2661</v>
      </c>
      <c r="CJU1" s="7" t="s">
        <v>2662</v>
      </c>
      <c r="CJV1" s="7" t="s">
        <v>2663</v>
      </c>
      <c r="CJW1" s="7" t="s">
        <v>2664</v>
      </c>
      <c r="CJX1" s="7" t="s">
        <v>2665</v>
      </c>
      <c r="CJY1" s="7" t="s">
        <v>2666</v>
      </c>
      <c r="CJZ1" s="7" t="s">
        <v>2667</v>
      </c>
      <c r="CKA1" s="7" t="s">
        <v>2668</v>
      </c>
      <c r="CKB1" s="7" t="s">
        <v>2669</v>
      </c>
      <c r="CKC1" s="7" t="s">
        <v>2670</v>
      </c>
      <c r="CKD1" s="7" t="s">
        <v>2671</v>
      </c>
      <c r="CKE1" s="7" t="s">
        <v>2672</v>
      </c>
      <c r="CKF1" s="7" t="s">
        <v>2673</v>
      </c>
      <c r="CKG1" s="7" t="s">
        <v>2674</v>
      </c>
      <c r="CKH1" s="7" t="s">
        <v>2675</v>
      </c>
      <c r="CKI1" s="7" t="s">
        <v>2676</v>
      </c>
      <c r="CKJ1" s="7" t="s">
        <v>2677</v>
      </c>
      <c r="CKK1" s="7" t="s">
        <v>2678</v>
      </c>
      <c r="CKL1" s="7" t="s">
        <v>2679</v>
      </c>
      <c r="CKM1" s="7" t="s">
        <v>2680</v>
      </c>
      <c r="CKN1" s="7" t="s">
        <v>2681</v>
      </c>
      <c r="CKO1" s="7" t="s">
        <v>2682</v>
      </c>
      <c r="CKP1" s="7" t="s">
        <v>2683</v>
      </c>
      <c r="CKQ1" s="7" t="s">
        <v>2684</v>
      </c>
      <c r="CKR1" s="7" t="s">
        <v>2685</v>
      </c>
      <c r="CKS1" s="7" t="s">
        <v>2686</v>
      </c>
      <c r="CKT1" s="7" t="s">
        <v>2687</v>
      </c>
      <c r="CKU1" s="7" t="s">
        <v>2688</v>
      </c>
      <c r="CKV1" s="7" t="s">
        <v>2689</v>
      </c>
      <c r="CKW1" s="7" t="s">
        <v>2690</v>
      </c>
      <c r="CKX1" s="7" t="s">
        <v>2691</v>
      </c>
      <c r="CKY1" s="7" t="s">
        <v>2692</v>
      </c>
      <c r="CKZ1" s="7" t="s">
        <v>2693</v>
      </c>
      <c r="CLA1" s="7" t="s">
        <v>2694</v>
      </c>
      <c r="CLB1" s="7" t="s">
        <v>2695</v>
      </c>
      <c r="CLC1" s="7" t="s">
        <v>2696</v>
      </c>
      <c r="CLD1" s="7" t="s">
        <v>2697</v>
      </c>
      <c r="CLE1" s="7" t="s">
        <v>2698</v>
      </c>
      <c r="CLF1" s="7" t="s">
        <v>2699</v>
      </c>
      <c r="CLG1" s="7" t="s">
        <v>2700</v>
      </c>
      <c r="CLH1" s="7" t="s">
        <v>2701</v>
      </c>
      <c r="CLI1" s="7" t="s">
        <v>2702</v>
      </c>
      <c r="CLJ1" s="7" t="s">
        <v>2703</v>
      </c>
      <c r="CLK1" s="7" t="s">
        <v>2704</v>
      </c>
      <c r="CLL1" s="7" t="s">
        <v>2705</v>
      </c>
      <c r="CLM1" s="7" t="s">
        <v>2706</v>
      </c>
      <c r="CLN1" s="7" t="s">
        <v>2707</v>
      </c>
      <c r="CLO1" s="7" t="s">
        <v>2708</v>
      </c>
      <c r="CLP1" s="7" t="s">
        <v>2709</v>
      </c>
      <c r="CLQ1" s="7" t="s">
        <v>2710</v>
      </c>
      <c r="CLR1" s="7" t="s">
        <v>2711</v>
      </c>
      <c r="CLS1" s="7" t="s">
        <v>2712</v>
      </c>
      <c r="CLT1" s="7" t="s">
        <v>2713</v>
      </c>
      <c r="CLU1" s="7" t="s">
        <v>2714</v>
      </c>
      <c r="CLV1" s="7" t="s">
        <v>2715</v>
      </c>
      <c r="CLW1" s="7" t="s">
        <v>2716</v>
      </c>
      <c r="CLX1" s="7" t="s">
        <v>2717</v>
      </c>
      <c r="CLY1" s="7" t="s">
        <v>2718</v>
      </c>
      <c r="CLZ1" s="7" t="s">
        <v>2719</v>
      </c>
      <c r="CMA1" s="7" t="s">
        <v>2720</v>
      </c>
      <c r="CMB1" s="7" t="s">
        <v>2721</v>
      </c>
      <c r="CMC1" s="7" t="s">
        <v>2722</v>
      </c>
      <c r="CMD1" s="7" t="s">
        <v>2723</v>
      </c>
      <c r="CME1" s="7" t="s">
        <v>2724</v>
      </c>
      <c r="CMF1" s="7" t="s">
        <v>2725</v>
      </c>
      <c r="CMG1" s="7" t="s">
        <v>2726</v>
      </c>
      <c r="CMH1" s="7" t="s">
        <v>2727</v>
      </c>
      <c r="CMI1" s="7" t="s">
        <v>2728</v>
      </c>
      <c r="CMJ1" s="7" t="s">
        <v>2729</v>
      </c>
      <c r="CMK1" s="7" t="s">
        <v>2730</v>
      </c>
      <c r="CML1" s="7" t="s">
        <v>2731</v>
      </c>
      <c r="CMM1" s="7" t="s">
        <v>2732</v>
      </c>
      <c r="CMN1" s="7" t="s">
        <v>2733</v>
      </c>
      <c r="CMO1" s="7" t="s">
        <v>2734</v>
      </c>
      <c r="CMP1" s="7" t="s">
        <v>2735</v>
      </c>
      <c r="CMQ1" s="7" t="s">
        <v>2736</v>
      </c>
      <c r="CMR1" s="7" t="s">
        <v>2737</v>
      </c>
      <c r="CMS1" s="7" t="s">
        <v>2738</v>
      </c>
      <c r="CMT1" s="7" t="s">
        <v>2739</v>
      </c>
      <c r="CMU1" s="7" t="s">
        <v>2740</v>
      </c>
      <c r="CMV1" s="7" t="s">
        <v>2741</v>
      </c>
      <c r="CMW1" s="7" t="s">
        <v>2742</v>
      </c>
      <c r="CMX1" s="7" t="s">
        <v>2743</v>
      </c>
      <c r="CMY1" s="7" t="s">
        <v>2744</v>
      </c>
      <c r="CMZ1" s="7" t="s">
        <v>2745</v>
      </c>
      <c r="CNA1" s="7" t="s">
        <v>2746</v>
      </c>
      <c r="CNB1" s="7" t="s">
        <v>2747</v>
      </c>
      <c r="CNC1" s="7" t="s">
        <v>2748</v>
      </c>
      <c r="CND1" s="7" t="s">
        <v>2749</v>
      </c>
      <c r="CNE1" s="7" t="s">
        <v>2750</v>
      </c>
      <c r="CNF1" s="7" t="s">
        <v>2751</v>
      </c>
      <c r="CNG1" s="7" t="s">
        <v>2752</v>
      </c>
      <c r="CNH1" s="7" t="s">
        <v>2753</v>
      </c>
      <c r="CNI1" s="7" t="s">
        <v>2754</v>
      </c>
      <c r="CNJ1" s="7" t="s">
        <v>2755</v>
      </c>
      <c r="CNK1" s="7" t="s">
        <v>2756</v>
      </c>
      <c r="CNL1" s="7" t="s">
        <v>2757</v>
      </c>
      <c r="CNM1" s="7" t="s">
        <v>2758</v>
      </c>
      <c r="CNN1" s="7" t="s">
        <v>2759</v>
      </c>
      <c r="CNO1" s="7" t="s">
        <v>2760</v>
      </c>
      <c r="CNP1" s="7" t="s">
        <v>2761</v>
      </c>
      <c r="CNQ1" s="7" t="s">
        <v>2762</v>
      </c>
      <c r="CNR1" s="7" t="s">
        <v>2763</v>
      </c>
      <c r="CNS1" s="7" t="s">
        <v>2764</v>
      </c>
      <c r="CNT1" s="7" t="s">
        <v>2765</v>
      </c>
      <c r="CNU1" s="7" t="s">
        <v>2766</v>
      </c>
      <c r="CNV1" s="7" t="s">
        <v>2767</v>
      </c>
      <c r="CNW1" s="7" t="s">
        <v>2768</v>
      </c>
      <c r="CNX1" s="7" t="s">
        <v>2769</v>
      </c>
      <c r="CNY1" s="7" t="s">
        <v>2770</v>
      </c>
      <c r="CNZ1" s="7" t="s">
        <v>2771</v>
      </c>
      <c r="COA1" s="7" t="s">
        <v>2772</v>
      </c>
      <c r="COB1" s="7" t="s">
        <v>2773</v>
      </c>
      <c r="COC1" s="7" t="s">
        <v>2774</v>
      </c>
      <c r="COD1" s="7" t="s">
        <v>2775</v>
      </c>
      <c r="COE1" s="7" t="s">
        <v>2776</v>
      </c>
      <c r="COF1" s="7" t="s">
        <v>2777</v>
      </c>
      <c r="COG1" s="7" t="s">
        <v>2778</v>
      </c>
      <c r="COH1" s="7" t="s">
        <v>2779</v>
      </c>
      <c r="COI1" s="7" t="s">
        <v>2780</v>
      </c>
      <c r="COJ1" s="7" t="s">
        <v>2781</v>
      </c>
      <c r="COK1" s="7" t="s">
        <v>2782</v>
      </c>
      <c r="COL1" s="7" t="s">
        <v>2783</v>
      </c>
      <c r="COM1" s="7" t="s">
        <v>2784</v>
      </c>
      <c r="CON1" s="7" t="s">
        <v>2785</v>
      </c>
      <c r="COO1" s="7" t="s">
        <v>2786</v>
      </c>
      <c r="COP1" s="7" t="s">
        <v>2787</v>
      </c>
      <c r="COQ1" s="7" t="s">
        <v>2788</v>
      </c>
      <c r="COR1" s="7" t="s">
        <v>2789</v>
      </c>
      <c r="COS1" s="7" t="s">
        <v>2790</v>
      </c>
      <c r="COT1" s="7" t="s">
        <v>2791</v>
      </c>
      <c r="COU1" s="7" t="s">
        <v>2792</v>
      </c>
      <c r="COV1" s="7" t="s">
        <v>2793</v>
      </c>
      <c r="COW1" s="7" t="s">
        <v>2794</v>
      </c>
      <c r="COX1" s="7" t="s">
        <v>2795</v>
      </c>
      <c r="COY1" s="7" t="s">
        <v>2796</v>
      </c>
      <c r="COZ1" s="7" t="s">
        <v>2797</v>
      </c>
      <c r="CPA1" s="7" t="s">
        <v>2798</v>
      </c>
      <c r="CPB1" s="7" t="s">
        <v>2799</v>
      </c>
      <c r="CPC1" s="7" t="s">
        <v>2800</v>
      </c>
      <c r="CPD1" s="7" t="s">
        <v>2801</v>
      </c>
      <c r="CPE1" s="7" t="s">
        <v>2802</v>
      </c>
      <c r="CPF1" s="7" t="s">
        <v>2803</v>
      </c>
      <c r="CPG1" s="7" t="s">
        <v>2804</v>
      </c>
      <c r="CPH1" s="7" t="s">
        <v>2805</v>
      </c>
      <c r="CPI1" s="7" t="s">
        <v>2806</v>
      </c>
      <c r="CPJ1" s="7" t="s">
        <v>2807</v>
      </c>
      <c r="CPK1" s="7" t="s">
        <v>2808</v>
      </c>
      <c r="CPL1" s="7" t="s">
        <v>2809</v>
      </c>
      <c r="CPM1" s="7" t="s">
        <v>2810</v>
      </c>
      <c r="CPN1" s="7" t="s">
        <v>2811</v>
      </c>
      <c r="CPO1" s="7" t="s">
        <v>2812</v>
      </c>
      <c r="CPP1" s="7" t="s">
        <v>2813</v>
      </c>
      <c r="CPQ1" s="7" t="s">
        <v>2814</v>
      </c>
      <c r="CPR1" s="7" t="s">
        <v>2815</v>
      </c>
      <c r="CPS1" s="7" t="s">
        <v>2816</v>
      </c>
      <c r="CPT1" s="7" t="s">
        <v>2817</v>
      </c>
      <c r="CPU1" s="7" t="s">
        <v>2818</v>
      </c>
      <c r="CPV1" s="7" t="s">
        <v>2819</v>
      </c>
      <c r="CPW1" s="7" t="s">
        <v>2820</v>
      </c>
      <c r="CPX1" s="7" t="s">
        <v>2821</v>
      </c>
      <c r="CPY1" s="7" t="s">
        <v>2822</v>
      </c>
      <c r="CPZ1" s="7" t="s">
        <v>2823</v>
      </c>
      <c r="CQA1" s="7" t="s">
        <v>2824</v>
      </c>
      <c r="CQB1" s="7" t="s">
        <v>2825</v>
      </c>
      <c r="CQC1" s="7" t="s">
        <v>2826</v>
      </c>
      <c r="CQD1" s="7" t="s">
        <v>2827</v>
      </c>
      <c r="CQE1" s="7" t="s">
        <v>2828</v>
      </c>
      <c r="CQF1" s="7" t="s">
        <v>2829</v>
      </c>
      <c r="CQG1" s="7" t="s">
        <v>2830</v>
      </c>
      <c r="CQH1" s="7" t="s">
        <v>2831</v>
      </c>
      <c r="CQI1" s="7" t="s">
        <v>2832</v>
      </c>
      <c r="CQJ1" s="7" t="s">
        <v>2833</v>
      </c>
      <c r="CQK1" s="7" t="s">
        <v>2834</v>
      </c>
      <c r="CQL1" s="7" t="s">
        <v>2835</v>
      </c>
      <c r="CQM1" s="7" t="s">
        <v>2836</v>
      </c>
      <c r="CQN1" s="7" t="s">
        <v>2837</v>
      </c>
      <c r="CQO1" s="7" t="s">
        <v>2838</v>
      </c>
      <c r="CQP1" s="7" t="s">
        <v>2839</v>
      </c>
      <c r="CQQ1" s="7" t="s">
        <v>2840</v>
      </c>
      <c r="CQR1" s="7" t="s">
        <v>2841</v>
      </c>
      <c r="CQS1" s="7" t="s">
        <v>2842</v>
      </c>
      <c r="CQT1" s="7" t="s">
        <v>2843</v>
      </c>
      <c r="CQU1" s="7" t="s">
        <v>2844</v>
      </c>
      <c r="CQV1" s="7" t="s">
        <v>2845</v>
      </c>
      <c r="CQW1" s="7" t="s">
        <v>2846</v>
      </c>
      <c r="CQX1" s="7" t="s">
        <v>2847</v>
      </c>
      <c r="CQY1" s="7" t="s">
        <v>2848</v>
      </c>
      <c r="CQZ1" s="7" t="s">
        <v>2849</v>
      </c>
      <c r="CRA1" s="7" t="s">
        <v>2850</v>
      </c>
      <c r="CRB1" s="7" t="s">
        <v>2851</v>
      </c>
      <c r="CRC1" s="7" t="s">
        <v>2852</v>
      </c>
      <c r="CRD1" s="7" t="s">
        <v>2853</v>
      </c>
      <c r="CRE1" s="7" t="s">
        <v>2854</v>
      </c>
      <c r="CRF1" s="7" t="s">
        <v>2855</v>
      </c>
      <c r="CRG1" s="7" t="s">
        <v>2856</v>
      </c>
      <c r="CRH1" s="7" t="s">
        <v>2857</v>
      </c>
      <c r="CRI1" s="7" t="s">
        <v>2858</v>
      </c>
      <c r="CRJ1" s="7" t="s">
        <v>2859</v>
      </c>
      <c r="CRK1" s="7" t="s">
        <v>2860</v>
      </c>
      <c r="CRL1" s="7" t="s">
        <v>2861</v>
      </c>
      <c r="CRM1" s="7" t="s">
        <v>2862</v>
      </c>
      <c r="CRN1" s="7" t="s">
        <v>2863</v>
      </c>
      <c r="CRO1" s="7" t="s">
        <v>2864</v>
      </c>
      <c r="CRP1" s="7" t="s">
        <v>2865</v>
      </c>
      <c r="CRQ1" s="7" t="s">
        <v>2866</v>
      </c>
      <c r="CRR1" s="7" t="s">
        <v>2867</v>
      </c>
      <c r="CRS1" s="7" t="s">
        <v>2868</v>
      </c>
      <c r="CRT1" s="7" t="s">
        <v>2869</v>
      </c>
      <c r="CRU1" s="7" t="s">
        <v>2870</v>
      </c>
      <c r="CRV1" s="7" t="s">
        <v>2871</v>
      </c>
      <c r="CRW1" s="7" t="s">
        <v>2872</v>
      </c>
      <c r="CRX1" s="7" t="s">
        <v>2873</v>
      </c>
      <c r="CRY1" s="7" t="s">
        <v>2874</v>
      </c>
      <c r="CRZ1" s="7" t="s">
        <v>2875</v>
      </c>
      <c r="CSA1" s="7" t="s">
        <v>2876</v>
      </c>
      <c r="CSB1" s="7" t="s">
        <v>2877</v>
      </c>
      <c r="CSC1" s="7" t="s">
        <v>2878</v>
      </c>
      <c r="CSD1" s="7" t="s">
        <v>2879</v>
      </c>
      <c r="CSE1" s="7" t="s">
        <v>2880</v>
      </c>
      <c r="CSF1" s="7" t="s">
        <v>2881</v>
      </c>
      <c r="CSG1" s="7" t="s">
        <v>2882</v>
      </c>
      <c r="CSH1" s="7" t="s">
        <v>2883</v>
      </c>
      <c r="CSI1" s="7" t="s">
        <v>2884</v>
      </c>
      <c r="CSJ1" s="7" t="s">
        <v>2885</v>
      </c>
      <c r="CSK1" s="7" t="s">
        <v>2886</v>
      </c>
      <c r="CSL1" s="7" t="s">
        <v>2887</v>
      </c>
      <c r="CSM1" s="7" t="s">
        <v>2888</v>
      </c>
      <c r="CSN1" s="7" t="s">
        <v>2889</v>
      </c>
      <c r="CSO1" s="7" t="s">
        <v>2890</v>
      </c>
      <c r="CSP1" s="7" t="s">
        <v>2891</v>
      </c>
      <c r="CSQ1" s="7" t="s">
        <v>2892</v>
      </c>
      <c r="CSR1" s="7" t="s">
        <v>2893</v>
      </c>
      <c r="CSS1" s="7" t="s">
        <v>2894</v>
      </c>
      <c r="CST1" s="7" t="s">
        <v>2895</v>
      </c>
      <c r="CSU1" s="7" t="s">
        <v>2896</v>
      </c>
      <c r="CSV1" s="7" t="s">
        <v>2897</v>
      </c>
      <c r="CSW1" s="7" t="s">
        <v>2898</v>
      </c>
      <c r="CSX1" s="7" t="s">
        <v>2899</v>
      </c>
      <c r="CSY1" s="7" t="s">
        <v>2900</v>
      </c>
      <c r="CSZ1" s="7" t="s">
        <v>2901</v>
      </c>
      <c r="CTA1" s="7" t="s">
        <v>2902</v>
      </c>
      <c r="CTB1" s="7" t="s">
        <v>2903</v>
      </c>
      <c r="CTC1" s="7" t="s">
        <v>2904</v>
      </c>
      <c r="CTD1" s="7" t="s">
        <v>2905</v>
      </c>
      <c r="CTE1" s="7" t="s">
        <v>2906</v>
      </c>
      <c r="CTF1" s="7" t="s">
        <v>2907</v>
      </c>
      <c r="CTG1" s="7" t="s">
        <v>2908</v>
      </c>
      <c r="CTH1" s="7" t="s">
        <v>2909</v>
      </c>
      <c r="CTI1" s="7" t="s">
        <v>2910</v>
      </c>
      <c r="CTJ1" s="7" t="s">
        <v>2911</v>
      </c>
      <c r="CTK1" s="7" t="s">
        <v>2912</v>
      </c>
      <c r="CTL1" s="7" t="s">
        <v>2913</v>
      </c>
      <c r="CTM1" s="7" t="s">
        <v>2914</v>
      </c>
      <c r="CTN1" s="7" t="s">
        <v>2915</v>
      </c>
      <c r="CTO1" s="7" t="s">
        <v>2916</v>
      </c>
      <c r="CTP1" s="7" t="s">
        <v>2917</v>
      </c>
      <c r="CTQ1" s="7" t="s">
        <v>2918</v>
      </c>
      <c r="CTR1" s="7" t="s">
        <v>2919</v>
      </c>
      <c r="CTS1" s="7" t="s">
        <v>2920</v>
      </c>
      <c r="CTT1" s="7" t="s">
        <v>2921</v>
      </c>
      <c r="CTU1" s="7" t="s">
        <v>2922</v>
      </c>
      <c r="CTV1" s="7" t="s">
        <v>2923</v>
      </c>
      <c r="CTW1" s="7" t="s">
        <v>2924</v>
      </c>
      <c r="CTX1" s="7" t="s">
        <v>2925</v>
      </c>
      <c r="CTY1" s="7" t="s">
        <v>2926</v>
      </c>
      <c r="CTZ1" s="7" t="s">
        <v>2927</v>
      </c>
      <c r="CUA1" s="7" t="s">
        <v>2928</v>
      </c>
      <c r="CUB1" s="7" t="s">
        <v>2929</v>
      </c>
      <c r="CUC1" s="7" t="s">
        <v>2930</v>
      </c>
      <c r="CUD1" s="7" t="s">
        <v>2931</v>
      </c>
      <c r="CUE1" s="7" t="s">
        <v>2932</v>
      </c>
      <c r="CUF1" s="7" t="s">
        <v>2933</v>
      </c>
      <c r="CUG1" s="7" t="s">
        <v>2934</v>
      </c>
      <c r="CUH1" s="7" t="s">
        <v>2935</v>
      </c>
      <c r="CUI1" s="7" t="s">
        <v>2936</v>
      </c>
      <c r="CUJ1" s="7" t="s">
        <v>2937</v>
      </c>
      <c r="CUK1" s="7" t="s">
        <v>2938</v>
      </c>
      <c r="CUL1" s="7" t="s">
        <v>2939</v>
      </c>
      <c r="CUM1" s="7" t="s">
        <v>2940</v>
      </c>
      <c r="CUN1" s="7" t="s">
        <v>2941</v>
      </c>
      <c r="CUO1" s="7" t="s">
        <v>2942</v>
      </c>
      <c r="CUP1" s="7" t="s">
        <v>2943</v>
      </c>
      <c r="CUQ1" s="7" t="s">
        <v>2944</v>
      </c>
      <c r="CUR1" s="7" t="s">
        <v>2945</v>
      </c>
      <c r="CUS1" s="7" t="s">
        <v>2946</v>
      </c>
      <c r="CUT1" s="7" t="s">
        <v>2947</v>
      </c>
      <c r="CUU1" s="7" t="s">
        <v>2948</v>
      </c>
      <c r="CUV1" s="7" t="s">
        <v>2949</v>
      </c>
      <c r="CUW1" s="7" t="s">
        <v>2950</v>
      </c>
      <c r="CUX1" s="7" t="s">
        <v>2951</v>
      </c>
      <c r="CUY1" s="7" t="s">
        <v>2952</v>
      </c>
      <c r="CUZ1" s="7" t="s">
        <v>2953</v>
      </c>
      <c r="CVA1" s="7" t="s">
        <v>2954</v>
      </c>
      <c r="CVB1" s="7" t="s">
        <v>2955</v>
      </c>
      <c r="CVC1" s="7" t="s">
        <v>2956</v>
      </c>
      <c r="CVD1" s="7" t="s">
        <v>2957</v>
      </c>
      <c r="CVE1" s="7" t="s">
        <v>2958</v>
      </c>
      <c r="CVF1" s="7" t="s">
        <v>2959</v>
      </c>
      <c r="CVG1" s="7" t="s">
        <v>2960</v>
      </c>
      <c r="CVH1" s="7" t="s">
        <v>2961</v>
      </c>
      <c r="CVI1" s="7" t="s">
        <v>2962</v>
      </c>
      <c r="CVJ1" s="7" t="s">
        <v>2963</v>
      </c>
      <c r="CVK1" s="7" t="s">
        <v>2964</v>
      </c>
      <c r="CVL1" s="7" t="s">
        <v>2965</v>
      </c>
      <c r="CVM1" s="7" t="s">
        <v>2966</v>
      </c>
      <c r="CVN1" s="7" t="s">
        <v>2967</v>
      </c>
      <c r="CVO1" s="7" t="s">
        <v>2968</v>
      </c>
      <c r="CVP1" s="7" t="s">
        <v>2969</v>
      </c>
      <c r="CVQ1" s="7" t="s">
        <v>2970</v>
      </c>
      <c r="CVR1" s="7" t="s">
        <v>2971</v>
      </c>
      <c r="CVS1" s="7" t="s">
        <v>2972</v>
      </c>
      <c r="CVT1" s="7" t="s">
        <v>2973</v>
      </c>
      <c r="CVU1" s="7" t="s">
        <v>2974</v>
      </c>
      <c r="CVV1" s="7" t="s">
        <v>2975</v>
      </c>
      <c r="CVW1" s="7" t="s">
        <v>2976</v>
      </c>
      <c r="CVX1" s="7" t="s">
        <v>2977</v>
      </c>
      <c r="CVY1" s="7" t="s">
        <v>2978</v>
      </c>
      <c r="CVZ1" s="7" t="s">
        <v>2979</v>
      </c>
      <c r="CWA1" s="7" t="s">
        <v>2980</v>
      </c>
      <c r="CWB1" s="7" t="s">
        <v>2981</v>
      </c>
      <c r="CWC1" s="7" t="s">
        <v>2982</v>
      </c>
      <c r="CWD1" s="7" t="s">
        <v>2983</v>
      </c>
      <c r="CWE1" s="7" t="s">
        <v>2984</v>
      </c>
      <c r="CWF1" s="7" t="s">
        <v>2985</v>
      </c>
      <c r="CWG1" s="7" t="s">
        <v>2986</v>
      </c>
      <c r="CWH1" s="7" t="s">
        <v>2987</v>
      </c>
      <c r="CWI1" s="7" t="s">
        <v>2988</v>
      </c>
      <c r="CWJ1" s="7" t="s">
        <v>2989</v>
      </c>
      <c r="CWK1" s="7" t="s">
        <v>2990</v>
      </c>
      <c r="CWL1" s="7" t="s">
        <v>2991</v>
      </c>
      <c r="CWM1" s="7" t="s">
        <v>2992</v>
      </c>
      <c r="CWN1" s="7" t="s">
        <v>2993</v>
      </c>
      <c r="CWO1" s="7" t="s">
        <v>2994</v>
      </c>
      <c r="CWP1" s="7" t="s">
        <v>2995</v>
      </c>
      <c r="CWQ1" s="7" t="s">
        <v>2996</v>
      </c>
      <c r="CWR1" s="7" t="s">
        <v>2997</v>
      </c>
      <c r="CWS1" s="7" t="s">
        <v>2998</v>
      </c>
      <c r="CWT1" s="7" t="s">
        <v>2999</v>
      </c>
      <c r="CWU1" s="7" t="s">
        <v>3000</v>
      </c>
      <c r="CWV1" s="7" t="s">
        <v>3001</v>
      </c>
      <c r="CWW1" s="7" t="s">
        <v>3002</v>
      </c>
      <c r="CWX1" s="7" t="s">
        <v>3003</v>
      </c>
      <c r="CWY1" s="7" t="s">
        <v>3004</v>
      </c>
      <c r="CWZ1" s="7" t="s">
        <v>3005</v>
      </c>
      <c r="CXA1" s="7" t="s">
        <v>3006</v>
      </c>
      <c r="CXB1" s="7" t="s">
        <v>3007</v>
      </c>
      <c r="CXC1" s="7" t="s">
        <v>3008</v>
      </c>
      <c r="CXD1" s="7" t="s">
        <v>3009</v>
      </c>
      <c r="CXE1" s="7" t="s">
        <v>3010</v>
      </c>
      <c r="CXF1" s="7" t="s">
        <v>3011</v>
      </c>
      <c r="CXG1" s="7" t="s">
        <v>3012</v>
      </c>
      <c r="CXH1" s="7" t="s">
        <v>3013</v>
      </c>
      <c r="CXI1" s="7" t="s">
        <v>3014</v>
      </c>
      <c r="CXJ1" s="7" t="s">
        <v>3015</v>
      </c>
      <c r="CXK1" s="7" t="s">
        <v>3016</v>
      </c>
      <c r="CXL1" s="7" t="s">
        <v>3017</v>
      </c>
      <c r="CXM1" s="7" t="s">
        <v>3018</v>
      </c>
      <c r="CXN1" s="7" t="s">
        <v>3019</v>
      </c>
      <c r="CXO1" s="7" t="s">
        <v>3020</v>
      </c>
      <c r="CXP1" s="7" t="s">
        <v>3021</v>
      </c>
      <c r="CXQ1" s="7" t="s">
        <v>3022</v>
      </c>
      <c r="CXR1" s="7" t="s">
        <v>3023</v>
      </c>
      <c r="CXS1" s="7" t="s">
        <v>3024</v>
      </c>
      <c r="CXT1" s="7" t="s">
        <v>3025</v>
      </c>
      <c r="CXU1" s="7" t="s">
        <v>3026</v>
      </c>
      <c r="CXV1" s="7" t="s">
        <v>3027</v>
      </c>
      <c r="CXW1" s="7" t="s">
        <v>3028</v>
      </c>
      <c r="CXX1" s="7" t="s">
        <v>3029</v>
      </c>
      <c r="CXY1" s="7" t="s">
        <v>3030</v>
      </c>
      <c r="CXZ1" s="7" t="s">
        <v>3031</v>
      </c>
      <c r="CYA1" s="7" t="s">
        <v>3032</v>
      </c>
      <c r="CYB1" s="7" t="s">
        <v>3033</v>
      </c>
      <c r="CYC1" s="7" t="s">
        <v>3034</v>
      </c>
      <c r="CYD1" s="7" t="s">
        <v>3035</v>
      </c>
      <c r="CYE1" s="7" t="s">
        <v>3036</v>
      </c>
      <c r="CYF1" s="7" t="s">
        <v>3037</v>
      </c>
      <c r="CYG1" s="7" t="s">
        <v>3038</v>
      </c>
      <c r="CYH1" s="7" t="s">
        <v>3039</v>
      </c>
      <c r="CYI1" s="7" t="s">
        <v>3040</v>
      </c>
      <c r="CYJ1" s="7" t="s">
        <v>3041</v>
      </c>
      <c r="CYK1" s="7" t="s">
        <v>3042</v>
      </c>
      <c r="CYL1" s="7" t="s">
        <v>3043</v>
      </c>
      <c r="CYM1" s="7" t="s">
        <v>3044</v>
      </c>
      <c r="CYN1" s="7" t="s">
        <v>3045</v>
      </c>
      <c r="CYO1" s="7" t="s">
        <v>3046</v>
      </c>
      <c r="CYP1" s="7" t="s">
        <v>3047</v>
      </c>
      <c r="CYQ1" s="7" t="s">
        <v>3048</v>
      </c>
      <c r="CYR1" s="7" t="s">
        <v>3049</v>
      </c>
      <c r="CYS1" s="7" t="s">
        <v>3050</v>
      </c>
      <c r="CYT1" s="7" t="s">
        <v>3051</v>
      </c>
      <c r="CYU1" s="7" t="s">
        <v>3052</v>
      </c>
      <c r="CYV1" s="7" t="s">
        <v>3053</v>
      </c>
      <c r="CYW1" s="7" t="s">
        <v>3054</v>
      </c>
      <c r="CYX1" s="7" t="s">
        <v>3055</v>
      </c>
      <c r="CYY1" s="7" t="s">
        <v>3056</v>
      </c>
      <c r="CYZ1" s="7" t="s">
        <v>3057</v>
      </c>
      <c r="CZA1" s="7" t="s">
        <v>3058</v>
      </c>
      <c r="CZB1" s="7" t="s">
        <v>3059</v>
      </c>
      <c r="CZC1" s="7" t="s">
        <v>3060</v>
      </c>
      <c r="CZD1" s="7" t="s">
        <v>3061</v>
      </c>
      <c r="CZE1" s="7" t="s">
        <v>3062</v>
      </c>
      <c r="CZF1" s="7" t="s">
        <v>3063</v>
      </c>
      <c r="CZG1" s="7" t="s">
        <v>3064</v>
      </c>
      <c r="CZH1" s="7" t="s">
        <v>3065</v>
      </c>
      <c r="CZI1" s="7" t="s">
        <v>3066</v>
      </c>
      <c r="CZJ1" s="7" t="s">
        <v>3067</v>
      </c>
      <c r="CZK1" s="7" t="s">
        <v>3068</v>
      </c>
      <c r="CZL1" s="7" t="s">
        <v>3069</v>
      </c>
      <c r="CZM1" s="7" t="s">
        <v>3070</v>
      </c>
      <c r="CZN1" s="7" t="s">
        <v>3071</v>
      </c>
      <c r="CZO1" s="7" t="s">
        <v>3072</v>
      </c>
      <c r="CZP1" s="7" t="s">
        <v>3073</v>
      </c>
      <c r="CZQ1" s="7" t="s">
        <v>3074</v>
      </c>
      <c r="CZR1" s="7" t="s">
        <v>3075</v>
      </c>
      <c r="CZS1" s="7" t="s">
        <v>3076</v>
      </c>
      <c r="CZT1" s="7" t="s">
        <v>3077</v>
      </c>
      <c r="CZU1" s="7" t="s">
        <v>3078</v>
      </c>
      <c r="CZV1" s="7" t="s">
        <v>3079</v>
      </c>
      <c r="CZW1" s="7" t="s">
        <v>3080</v>
      </c>
      <c r="CZX1" s="7" t="s">
        <v>3081</v>
      </c>
      <c r="CZY1" s="7" t="s">
        <v>3082</v>
      </c>
      <c r="CZZ1" s="7" t="s">
        <v>3083</v>
      </c>
      <c r="DAA1" s="7" t="s">
        <v>3084</v>
      </c>
      <c r="DAB1" s="7" t="s">
        <v>3085</v>
      </c>
      <c r="DAC1" s="7" t="s">
        <v>3086</v>
      </c>
      <c r="DAD1" s="7" t="s">
        <v>3087</v>
      </c>
      <c r="DAE1" s="7" t="s">
        <v>3088</v>
      </c>
      <c r="DAF1" s="7" t="s">
        <v>3089</v>
      </c>
      <c r="DAG1" s="7" t="s">
        <v>3090</v>
      </c>
      <c r="DAH1" s="7" t="s">
        <v>3091</v>
      </c>
      <c r="DAI1" s="7" t="s">
        <v>3092</v>
      </c>
      <c r="DAJ1" s="7" t="s">
        <v>3093</v>
      </c>
      <c r="DAK1" s="7" t="s">
        <v>3094</v>
      </c>
      <c r="DAL1" s="7" t="s">
        <v>3095</v>
      </c>
      <c r="DAM1" s="7" t="s">
        <v>3096</v>
      </c>
      <c r="DAN1" s="7" t="s">
        <v>3097</v>
      </c>
      <c r="DAO1" s="7" t="s">
        <v>3098</v>
      </c>
      <c r="DAP1" s="7" t="s">
        <v>3099</v>
      </c>
      <c r="DAQ1" s="7" t="s">
        <v>3100</v>
      </c>
      <c r="DAR1" s="7" t="s">
        <v>3101</v>
      </c>
      <c r="DAS1" s="7" t="s">
        <v>3102</v>
      </c>
      <c r="DAT1" s="7" t="s">
        <v>3103</v>
      </c>
      <c r="DAU1" s="7" t="s">
        <v>3104</v>
      </c>
      <c r="DAV1" s="7" t="s">
        <v>3105</v>
      </c>
      <c r="DAW1" s="7" t="s">
        <v>3106</v>
      </c>
      <c r="DAX1" s="7" t="s">
        <v>3107</v>
      </c>
      <c r="DAY1" s="7" t="s">
        <v>3108</v>
      </c>
      <c r="DAZ1" s="7" t="s">
        <v>3109</v>
      </c>
      <c r="DBA1" s="7" t="s">
        <v>3110</v>
      </c>
      <c r="DBB1" s="7" t="s">
        <v>3111</v>
      </c>
      <c r="DBC1" s="7" t="s">
        <v>3112</v>
      </c>
      <c r="DBD1" s="7" t="s">
        <v>3113</v>
      </c>
      <c r="DBE1" s="7" t="s">
        <v>3114</v>
      </c>
      <c r="DBF1" s="7" t="s">
        <v>3115</v>
      </c>
      <c r="DBG1" s="7" t="s">
        <v>3116</v>
      </c>
      <c r="DBH1" s="7" t="s">
        <v>3117</v>
      </c>
      <c r="DBI1" s="7" t="s">
        <v>3118</v>
      </c>
      <c r="DBJ1" s="7" t="s">
        <v>3119</v>
      </c>
      <c r="DBK1" s="7" t="s">
        <v>3120</v>
      </c>
      <c r="DBL1" s="7" t="s">
        <v>3121</v>
      </c>
      <c r="DBM1" s="7" t="s">
        <v>3122</v>
      </c>
      <c r="DBN1" s="7" t="s">
        <v>3123</v>
      </c>
      <c r="DBO1" s="7" t="s">
        <v>3124</v>
      </c>
      <c r="DBP1" s="7" t="s">
        <v>3125</v>
      </c>
      <c r="DBQ1" s="7" t="s">
        <v>3126</v>
      </c>
      <c r="DBR1" s="7" t="s">
        <v>3127</v>
      </c>
      <c r="DBS1" s="7" t="s">
        <v>3128</v>
      </c>
      <c r="DBT1" s="7" t="s">
        <v>3129</v>
      </c>
      <c r="DBU1" s="7" t="s">
        <v>3130</v>
      </c>
      <c r="DBV1" s="7" t="s">
        <v>3131</v>
      </c>
      <c r="DBW1" s="7" t="s">
        <v>3132</v>
      </c>
      <c r="DBX1" s="7" t="s">
        <v>3133</v>
      </c>
      <c r="DBY1" s="7" t="s">
        <v>3134</v>
      </c>
      <c r="DBZ1" s="7" t="s">
        <v>3135</v>
      </c>
      <c r="DCA1" s="7" t="s">
        <v>3136</v>
      </c>
      <c r="DCB1" s="7" t="s">
        <v>3137</v>
      </c>
      <c r="DCC1" s="7" t="s">
        <v>3138</v>
      </c>
      <c r="DCD1" s="7" t="s">
        <v>3139</v>
      </c>
      <c r="DCE1" s="7" t="s">
        <v>3140</v>
      </c>
      <c r="DCF1" s="7" t="s">
        <v>3141</v>
      </c>
      <c r="DCG1" s="7" t="s">
        <v>3142</v>
      </c>
      <c r="DCH1" s="7" t="s">
        <v>3143</v>
      </c>
      <c r="DCI1" s="7" t="s">
        <v>3144</v>
      </c>
      <c r="DCJ1" s="7" t="s">
        <v>3145</v>
      </c>
      <c r="DCK1" s="7" t="s">
        <v>3146</v>
      </c>
      <c r="DCL1" s="7" t="s">
        <v>3147</v>
      </c>
      <c r="DCM1" s="7" t="s">
        <v>3148</v>
      </c>
      <c r="DCN1" s="7" t="s">
        <v>3149</v>
      </c>
      <c r="DCO1" s="7" t="s">
        <v>3150</v>
      </c>
      <c r="DCP1" s="7" t="s">
        <v>3151</v>
      </c>
      <c r="DCQ1" s="7" t="s">
        <v>3152</v>
      </c>
      <c r="DCR1" s="7" t="s">
        <v>3153</v>
      </c>
      <c r="DCS1" s="7" t="s">
        <v>3154</v>
      </c>
      <c r="DCT1" s="7" t="s">
        <v>3155</v>
      </c>
      <c r="DCU1" s="7" t="s">
        <v>3156</v>
      </c>
      <c r="DCV1" s="7" t="s">
        <v>3157</v>
      </c>
      <c r="DCW1" s="7" t="s">
        <v>3158</v>
      </c>
      <c r="DCX1" s="7" t="s">
        <v>3159</v>
      </c>
      <c r="DCY1" s="7" t="s">
        <v>3160</v>
      </c>
      <c r="DCZ1" s="7" t="s">
        <v>3161</v>
      </c>
      <c r="DDA1" s="7" t="s">
        <v>3162</v>
      </c>
      <c r="DDB1" s="7" t="s">
        <v>3163</v>
      </c>
      <c r="DDC1" s="7" t="s">
        <v>3164</v>
      </c>
      <c r="DDD1" s="7" t="s">
        <v>3165</v>
      </c>
      <c r="DDE1" s="7" t="s">
        <v>3166</v>
      </c>
      <c r="DDF1" s="7" t="s">
        <v>3167</v>
      </c>
      <c r="DDG1" s="7" t="s">
        <v>3168</v>
      </c>
      <c r="DDH1" s="7" t="s">
        <v>3169</v>
      </c>
      <c r="DDI1" s="7" t="s">
        <v>3170</v>
      </c>
      <c r="DDJ1" s="7" t="s">
        <v>3171</v>
      </c>
      <c r="DDK1" s="7" t="s">
        <v>3172</v>
      </c>
      <c r="DDL1" s="7" t="s">
        <v>3173</v>
      </c>
      <c r="DDM1" s="7" t="s">
        <v>3174</v>
      </c>
      <c r="DDN1" s="7" t="s">
        <v>3175</v>
      </c>
      <c r="DDO1" s="7" t="s">
        <v>3176</v>
      </c>
      <c r="DDP1" s="7" t="s">
        <v>3177</v>
      </c>
      <c r="DDQ1" s="7" t="s">
        <v>3178</v>
      </c>
      <c r="DDR1" s="7" t="s">
        <v>3179</v>
      </c>
      <c r="DDS1" s="7" t="s">
        <v>3180</v>
      </c>
      <c r="DDT1" s="7" t="s">
        <v>3181</v>
      </c>
      <c r="DDU1" s="7" t="s">
        <v>3182</v>
      </c>
      <c r="DDV1" s="7" t="s">
        <v>3183</v>
      </c>
      <c r="DDW1" s="7" t="s">
        <v>3184</v>
      </c>
      <c r="DDX1" s="7" t="s">
        <v>3185</v>
      </c>
      <c r="DDY1" s="7" t="s">
        <v>3186</v>
      </c>
      <c r="DDZ1" s="7" t="s">
        <v>3187</v>
      </c>
      <c r="DEA1" s="7" t="s">
        <v>3188</v>
      </c>
      <c r="DEB1" s="7" t="s">
        <v>3189</v>
      </c>
      <c r="DEC1" s="7" t="s">
        <v>3190</v>
      </c>
      <c r="DED1" s="7" t="s">
        <v>3191</v>
      </c>
      <c r="DEE1" s="7" t="s">
        <v>3192</v>
      </c>
      <c r="DEF1" s="7" t="s">
        <v>3193</v>
      </c>
      <c r="DEG1" s="7" t="s">
        <v>3194</v>
      </c>
      <c r="DEH1" s="7" t="s">
        <v>3195</v>
      </c>
      <c r="DEI1" s="7" t="s">
        <v>3196</v>
      </c>
      <c r="DEJ1" s="7" t="s">
        <v>3197</v>
      </c>
      <c r="DEK1" s="7" t="s">
        <v>3198</v>
      </c>
      <c r="DEL1" s="7" t="s">
        <v>3199</v>
      </c>
      <c r="DEM1" s="7" t="s">
        <v>3200</v>
      </c>
      <c r="DEN1" s="7" t="s">
        <v>3201</v>
      </c>
      <c r="DEO1" s="7" t="s">
        <v>3202</v>
      </c>
      <c r="DEP1" s="7" t="s">
        <v>3203</v>
      </c>
      <c r="DEQ1" s="7" t="s">
        <v>3204</v>
      </c>
      <c r="DER1" s="7" t="s">
        <v>3205</v>
      </c>
      <c r="DES1" s="7" t="s">
        <v>3206</v>
      </c>
      <c r="DET1" s="7" t="s">
        <v>3207</v>
      </c>
      <c r="DEU1" s="7" t="s">
        <v>3208</v>
      </c>
      <c r="DEV1" s="7" t="s">
        <v>3209</v>
      </c>
      <c r="DEW1" s="7" t="s">
        <v>3210</v>
      </c>
      <c r="DEX1" s="7" t="s">
        <v>3211</v>
      </c>
      <c r="DEY1" s="7" t="s">
        <v>3212</v>
      </c>
      <c r="DEZ1" s="7" t="s">
        <v>3213</v>
      </c>
      <c r="DFA1" s="7" t="s">
        <v>3214</v>
      </c>
      <c r="DFB1" s="7" t="s">
        <v>3215</v>
      </c>
      <c r="DFC1" s="7" t="s">
        <v>3216</v>
      </c>
      <c r="DFD1" s="7" t="s">
        <v>3217</v>
      </c>
      <c r="DFE1" s="7" t="s">
        <v>3218</v>
      </c>
      <c r="DFF1" s="7" t="s">
        <v>3219</v>
      </c>
      <c r="DFG1" s="7" t="s">
        <v>3220</v>
      </c>
      <c r="DFH1" s="7" t="s">
        <v>3221</v>
      </c>
      <c r="DFI1" s="7" t="s">
        <v>3222</v>
      </c>
      <c r="DFJ1" s="7" t="s">
        <v>3223</v>
      </c>
      <c r="DFK1" s="7" t="s">
        <v>3224</v>
      </c>
      <c r="DFL1" s="7" t="s">
        <v>3225</v>
      </c>
      <c r="DFM1" s="7" t="s">
        <v>3226</v>
      </c>
      <c r="DFN1" s="7" t="s">
        <v>3227</v>
      </c>
      <c r="DFO1" s="7" t="s">
        <v>3228</v>
      </c>
      <c r="DFP1" s="7" t="s">
        <v>3229</v>
      </c>
      <c r="DFQ1" s="7" t="s">
        <v>3230</v>
      </c>
      <c r="DFR1" s="7" t="s">
        <v>3231</v>
      </c>
      <c r="DFS1" s="7" t="s">
        <v>3232</v>
      </c>
      <c r="DFT1" s="7" t="s">
        <v>3233</v>
      </c>
      <c r="DFU1" s="7" t="s">
        <v>3234</v>
      </c>
      <c r="DFV1" s="7" t="s">
        <v>3235</v>
      </c>
      <c r="DFW1" s="7" t="s">
        <v>3236</v>
      </c>
      <c r="DFX1" s="7" t="s">
        <v>3237</v>
      </c>
      <c r="DFY1" s="7" t="s">
        <v>3238</v>
      </c>
      <c r="DFZ1" s="7" t="s">
        <v>3239</v>
      </c>
      <c r="DGA1" s="7" t="s">
        <v>3240</v>
      </c>
      <c r="DGB1" s="7" t="s">
        <v>3241</v>
      </c>
      <c r="DGC1" s="7" t="s">
        <v>3242</v>
      </c>
      <c r="DGD1" s="7" t="s">
        <v>3243</v>
      </c>
      <c r="DGE1" s="7" t="s">
        <v>3244</v>
      </c>
      <c r="DGF1" s="7" t="s">
        <v>3245</v>
      </c>
      <c r="DGG1" s="7" t="s">
        <v>3246</v>
      </c>
      <c r="DGH1" s="7" t="s">
        <v>3247</v>
      </c>
      <c r="DGI1" s="7" t="s">
        <v>3248</v>
      </c>
      <c r="DGJ1" s="7" t="s">
        <v>3249</v>
      </c>
      <c r="DGK1" s="7" t="s">
        <v>3250</v>
      </c>
      <c r="DGL1" s="7" t="s">
        <v>3251</v>
      </c>
      <c r="DGM1" s="7" t="s">
        <v>3252</v>
      </c>
      <c r="DGN1" s="7" t="s">
        <v>3253</v>
      </c>
      <c r="DGO1" s="7" t="s">
        <v>3254</v>
      </c>
      <c r="DGP1" s="7" t="s">
        <v>3255</v>
      </c>
      <c r="DGQ1" s="7" t="s">
        <v>3256</v>
      </c>
      <c r="DGR1" s="7" t="s">
        <v>3257</v>
      </c>
      <c r="DGS1" s="7" t="s">
        <v>3258</v>
      </c>
      <c r="DGT1" s="7" t="s">
        <v>3259</v>
      </c>
      <c r="DGU1" s="7" t="s">
        <v>3260</v>
      </c>
      <c r="DGV1" s="7" t="s">
        <v>3261</v>
      </c>
      <c r="DGW1" s="7" t="s">
        <v>3262</v>
      </c>
      <c r="DGX1" s="7" t="s">
        <v>3263</v>
      </c>
      <c r="DGY1" s="7" t="s">
        <v>3264</v>
      </c>
      <c r="DGZ1" s="7" t="s">
        <v>3265</v>
      </c>
      <c r="DHA1" s="7" t="s">
        <v>3266</v>
      </c>
      <c r="DHB1" s="7" t="s">
        <v>3267</v>
      </c>
      <c r="DHC1" s="7" t="s">
        <v>3268</v>
      </c>
      <c r="DHD1" s="7" t="s">
        <v>3269</v>
      </c>
      <c r="DHE1" s="7" t="s">
        <v>3270</v>
      </c>
      <c r="DHF1" s="7" t="s">
        <v>3271</v>
      </c>
      <c r="DHG1" s="7" t="s">
        <v>3272</v>
      </c>
      <c r="DHH1" s="7" t="s">
        <v>3273</v>
      </c>
      <c r="DHI1" s="7" t="s">
        <v>3274</v>
      </c>
      <c r="DHJ1" s="7" t="s">
        <v>3275</v>
      </c>
      <c r="DHK1" s="7" t="s">
        <v>3276</v>
      </c>
      <c r="DHL1" s="7" t="s">
        <v>3277</v>
      </c>
      <c r="DHM1" s="7" t="s">
        <v>3278</v>
      </c>
      <c r="DHN1" s="7" t="s">
        <v>3279</v>
      </c>
      <c r="DHO1" s="7" t="s">
        <v>3280</v>
      </c>
      <c r="DHP1" s="7" t="s">
        <v>3281</v>
      </c>
      <c r="DHQ1" s="7" t="s">
        <v>3282</v>
      </c>
      <c r="DHR1" s="7" t="s">
        <v>3283</v>
      </c>
      <c r="DHS1" s="7" t="s">
        <v>3284</v>
      </c>
      <c r="DHT1" s="7" t="s">
        <v>3285</v>
      </c>
      <c r="DHU1" s="7" t="s">
        <v>3286</v>
      </c>
      <c r="DHV1" s="7" t="s">
        <v>3287</v>
      </c>
      <c r="DHW1" s="7" t="s">
        <v>3288</v>
      </c>
      <c r="DHX1" s="7" t="s">
        <v>3289</v>
      </c>
      <c r="DHY1" s="7" t="s">
        <v>3290</v>
      </c>
      <c r="DHZ1" s="7" t="s">
        <v>3291</v>
      </c>
      <c r="DIA1" s="7" t="s">
        <v>3292</v>
      </c>
      <c r="DIB1" s="7" t="s">
        <v>3293</v>
      </c>
      <c r="DIC1" s="7" t="s">
        <v>3294</v>
      </c>
      <c r="DID1" s="7" t="s">
        <v>3295</v>
      </c>
      <c r="DIE1" s="7" t="s">
        <v>3296</v>
      </c>
      <c r="DIF1" s="7" t="s">
        <v>3297</v>
      </c>
      <c r="DIG1" s="7" t="s">
        <v>3298</v>
      </c>
      <c r="DIH1" s="7" t="s">
        <v>3299</v>
      </c>
      <c r="DII1" s="7" t="s">
        <v>3300</v>
      </c>
      <c r="DIJ1" s="7" t="s">
        <v>3301</v>
      </c>
      <c r="DIK1" s="7" t="s">
        <v>3302</v>
      </c>
      <c r="DIL1" s="7" t="s">
        <v>3303</v>
      </c>
      <c r="DIM1" s="7" t="s">
        <v>3304</v>
      </c>
      <c r="DIN1" s="7" t="s">
        <v>3305</v>
      </c>
      <c r="DIO1" s="7" t="s">
        <v>3306</v>
      </c>
      <c r="DIP1" s="7" t="s">
        <v>3307</v>
      </c>
      <c r="DIQ1" s="7" t="s">
        <v>3308</v>
      </c>
      <c r="DIR1" s="7" t="s">
        <v>3309</v>
      </c>
      <c r="DIS1" s="7" t="s">
        <v>3310</v>
      </c>
      <c r="DIT1" s="7" t="s">
        <v>3311</v>
      </c>
      <c r="DIU1" s="7" t="s">
        <v>3312</v>
      </c>
      <c r="DIV1" s="7" t="s">
        <v>3313</v>
      </c>
      <c r="DIW1" s="7" t="s">
        <v>3314</v>
      </c>
      <c r="DIX1" s="7" t="s">
        <v>3315</v>
      </c>
      <c r="DIY1" s="7" t="s">
        <v>3316</v>
      </c>
      <c r="DIZ1" s="7" t="s">
        <v>3317</v>
      </c>
      <c r="DJA1" s="7" t="s">
        <v>3318</v>
      </c>
      <c r="DJB1" s="7" t="s">
        <v>3319</v>
      </c>
      <c r="DJC1" s="7" t="s">
        <v>3320</v>
      </c>
      <c r="DJD1" s="7" t="s">
        <v>3321</v>
      </c>
      <c r="DJE1" s="7" t="s">
        <v>3322</v>
      </c>
      <c r="DJF1" s="7" t="s">
        <v>3323</v>
      </c>
      <c r="DJG1" s="7" t="s">
        <v>3324</v>
      </c>
      <c r="DJH1" s="7" t="s">
        <v>3325</v>
      </c>
      <c r="DJI1" s="7" t="s">
        <v>3326</v>
      </c>
      <c r="DJJ1" s="7" t="s">
        <v>3327</v>
      </c>
      <c r="DJK1" s="7" t="s">
        <v>3328</v>
      </c>
      <c r="DJL1" s="7" t="s">
        <v>3329</v>
      </c>
      <c r="DJM1" s="7" t="s">
        <v>3330</v>
      </c>
      <c r="DJN1" s="7" t="s">
        <v>3331</v>
      </c>
      <c r="DJO1" s="7" t="s">
        <v>3332</v>
      </c>
      <c r="DJP1" s="7" t="s">
        <v>3333</v>
      </c>
      <c r="DJQ1" s="7" t="s">
        <v>3334</v>
      </c>
      <c r="DJR1" s="7" t="s">
        <v>3335</v>
      </c>
      <c r="DJS1" s="7" t="s">
        <v>3336</v>
      </c>
      <c r="DJT1" s="7" t="s">
        <v>3337</v>
      </c>
      <c r="DJU1" s="7" t="s">
        <v>3338</v>
      </c>
      <c r="DJV1" s="7" t="s">
        <v>3339</v>
      </c>
      <c r="DJW1" s="7" t="s">
        <v>3340</v>
      </c>
      <c r="DJX1" s="7" t="s">
        <v>3341</v>
      </c>
      <c r="DJY1" s="7" t="s">
        <v>3342</v>
      </c>
      <c r="DJZ1" s="7" t="s">
        <v>3343</v>
      </c>
      <c r="DKA1" s="7" t="s">
        <v>3344</v>
      </c>
      <c r="DKB1" s="7" t="s">
        <v>3345</v>
      </c>
      <c r="DKC1" s="7" t="s">
        <v>3346</v>
      </c>
      <c r="DKD1" s="7" t="s">
        <v>3347</v>
      </c>
      <c r="DKE1" s="7" t="s">
        <v>3348</v>
      </c>
      <c r="DKF1" s="7" t="s">
        <v>3349</v>
      </c>
      <c r="DKG1" s="7" t="s">
        <v>3350</v>
      </c>
      <c r="DKH1" s="7" t="s">
        <v>3351</v>
      </c>
      <c r="DKI1" s="7" t="s">
        <v>3352</v>
      </c>
      <c r="DKJ1" s="7" t="s">
        <v>3353</v>
      </c>
      <c r="DKK1" s="7" t="s">
        <v>3354</v>
      </c>
      <c r="DKL1" s="7" t="s">
        <v>3355</v>
      </c>
      <c r="DKM1" s="7" t="s">
        <v>3356</v>
      </c>
      <c r="DKN1" s="7" t="s">
        <v>3357</v>
      </c>
      <c r="DKO1" s="7" t="s">
        <v>3358</v>
      </c>
      <c r="DKP1" s="7" t="s">
        <v>3359</v>
      </c>
      <c r="DKQ1" s="7" t="s">
        <v>3360</v>
      </c>
      <c r="DKR1" s="7" t="s">
        <v>3361</v>
      </c>
      <c r="DKS1" s="7" t="s">
        <v>3362</v>
      </c>
      <c r="DKT1" s="7" t="s">
        <v>3363</v>
      </c>
      <c r="DKU1" s="7" t="s">
        <v>3364</v>
      </c>
      <c r="DKV1" s="7" t="s">
        <v>3365</v>
      </c>
      <c r="DKW1" s="7" t="s">
        <v>3366</v>
      </c>
      <c r="DKX1" s="7" t="s">
        <v>3367</v>
      </c>
      <c r="DKY1" s="7" t="s">
        <v>3368</v>
      </c>
      <c r="DKZ1" s="7" t="s">
        <v>3369</v>
      </c>
      <c r="DLA1" s="7" t="s">
        <v>3370</v>
      </c>
      <c r="DLB1" s="7" t="s">
        <v>3371</v>
      </c>
      <c r="DLC1" s="7" t="s">
        <v>3372</v>
      </c>
      <c r="DLD1" s="7" t="s">
        <v>3373</v>
      </c>
      <c r="DLE1" s="7" t="s">
        <v>3374</v>
      </c>
      <c r="DLF1" s="7" t="s">
        <v>3375</v>
      </c>
      <c r="DLG1" s="7" t="s">
        <v>3376</v>
      </c>
      <c r="DLH1" s="7" t="s">
        <v>3377</v>
      </c>
      <c r="DLI1" s="7" t="s">
        <v>3378</v>
      </c>
      <c r="DLJ1" s="7" t="s">
        <v>3379</v>
      </c>
      <c r="DLK1" s="7" t="s">
        <v>3380</v>
      </c>
      <c r="DLL1" s="7" t="s">
        <v>3381</v>
      </c>
      <c r="DLM1" s="7" t="s">
        <v>3382</v>
      </c>
      <c r="DLN1" s="7" t="s">
        <v>3383</v>
      </c>
      <c r="DLO1" s="7" t="s">
        <v>3384</v>
      </c>
      <c r="DLP1" s="7" t="s">
        <v>3385</v>
      </c>
      <c r="DLQ1" s="7" t="s">
        <v>3386</v>
      </c>
      <c r="DLR1" s="7" t="s">
        <v>3387</v>
      </c>
      <c r="DLS1" s="7" t="s">
        <v>3388</v>
      </c>
      <c r="DLT1" s="7" t="s">
        <v>3389</v>
      </c>
      <c r="DLU1" s="7" t="s">
        <v>3390</v>
      </c>
      <c r="DLV1" s="7" t="s">
        <v>3391</v>
      </c>
      <c r="DLW1" s="7" t="s">
        <v>3392</v>
      </c>
      <c r="DLX1" s="7" t="s">
        <v>3393</v>
      </c>
      <c r="DLY1" s="7" t="s">
        <v>3394</v>
      </c>
      <c r="DLZ1" s="7" t="s">
        <v>3395</v>
      </c>
      <c r="DMA1" s="7" t="s">
        <v>3396</v>
      </c>
      <c r="DMB1" s="7" t="s">
        <v>3397</v>
      </c>
      <c r="DMC1" s="7" t="s">
        <v>3398</v>
      </c>
      <c r="DMD1" s="7" t="s">
        <v>3399</v>
      </c>
      <c r="DME1" s="7" t="s">
        <v>3400</v>
      </c>
      <c r="DMF1" s="7" t="s">
        <v>3401</v>
      </c>
      <c r="DMG1" s="7" t="s">
        <v>3402</v>
      </c>
      <c r="DMH1" s="7" t="s">
        <v>3403</v>
      </c>
      <c r="DMI1" s="7" t="s">
        <v>3404</v>
      </c>
      <c r="DMJ1" s="7" t="s">
        <v>3405</v>
      </c>
      <c r="DMK1" s="7" t="s">
        <v>3406</v>
      </c>
      <c r="DML1" s="7" t="s">
        <v>3407</v>
      </c>
      <c r="DMM1" s="7" t="s">
        <v>3408</v>
      </c>
      <c r="DMN1" s="7" t="s">
        <v>3409</v>
      </c>
      <c r="DMO1" s="7" t="s">
        <v>3410</v>
      </c>
      <c r="DMP1" s="7" t="s">
        <v>3411</v>
      </c>
      <c r="DMQ1" s="7" t="s">
        <v>3412</v>
      </c>
      <c r="DMR1" s="7" t="s">
        <v>3413</v>
      </c>
      <c r="DMS1" s="7" t="s">
        <v>3414</v>
      </c>
      <c r="DMT1" s="7" t="s">
        <v>3415</v>
      </c>
      <c r="DMU1" s="7" t="s">
        <v>3416</v>
      </c>
      <c r="DMV1" s="7" t="s">
        <v>3417</v>
      </c>
      <c r="DMW1" s="7" t="s">
        <v>3418</v>
      </c>
      <c r="DMX1" s="7" t="s">
        <v>3419</v>
      </c>
      <c r="DMY1" s="7" t="s">
        <v>3420</v>
      </c>
      <c r="DMZ1" s="7" t="s">
        <v>3421</v>
      </c>
      <c r="DNA1" s="7" t="s">
        <v>3422</v>
      </c>
      <c r="DNB1" s="7" t="s">
        <v>3423</v>
      </c>
      <c r="DNC1" s="7" t="s">
        <v>3424</v>
      </c>
      <c r="DND1" s="7" t="s">
        <v>3425</v>
      </c>
      <c r="DNE1" s="7" t="s">
        <v>3426</v>
      </c>
      <c r="DNF1" s="7" t="s">
        <v>3427</v>
      </c>
      <c r="DNG1" s="7" t="s">
        <v>3428</v>
      </c>
      <c r="DNH1" s="7" t="s">
        <v>3429</v>
      </c>
      <c r="DNI1" s="7" t="s">
        <v>3430</v>
      </c>
      <c r="DNJ1" s="7" t="s">
        <v>3431</v>
      </c>
      <c r="DNK1" s="7" t="s">
        <v>3432</v>
      </c>
      <c r="DNL1" s="7" t="s">
        <v>3433</v>
      </c>
      <c r="DNM1" s="7" t="s">
        <v>3434</v>
      </c>
      <c r="DNN1" s="7" t="s">
        <v>3435</v>
      </c>
      <c r="DNO1" s="7" t="s">
        <v>3436</v>
      </c>
      <c r="DNP1" s="7" t="s">
        <v>3437</v>
      </c>
      <c r="DNQ1" s="7" t="s">
        <v>3438</v>
      </c>
      <c r="DNR1" s="7" t="s">
        <v>3439</v>
      </c>
      <c r="DNS1" s="7" t="s">
        <v>3440</v>
      </c>
      <c r="DNT1" s="7" t="s">
        <v>3441</v>
      </c>
      <c r="DNU1" s="7" t="s">
        <v>3442</v>
      </c>
      <c r="DNV1" s="7" t="s">
        <v>3443</v>
      </c>
      <c r="DNW1" s="7" t="s">
        <v>3444</v>
      </c>
      <c r="DNX1" s="7" t="s">
        <v>3445</v>
      </c>
      <c r="DNY1" s="7" t="s">
        <v>3446</v>
      </c>
      <c r="DNZ1" s="7" t="s">
        <v>3447</v>
      </c>
      <c r="DOA1" s="7" t="s">
        <v>3448</v>
      </c>
      <c r="DOB1" s="7" t="s">
        <v>3449</v>
      </c>
      <c r="DOC1" s="7" t="s">
        <v>3450</v>
      </c>
      <c r="DOD1" s="7" t="s">
        <v>3451</v>
      </c>
      <c r="DOE1" s="7" t="s">
        <v>3452</v>
      </c>
      <c r="DOF1" s="7" t="s">
        <v>3453</v>
      </c>
      <c r="DOG1" s="7" t="s">
        <v>3454</v>
      </c>
      <c r="DOH1" s="7" t="s">
        <v>3455</v>
      </c>
      <c r="DOI1" s="7" t="s">
        <v>3456</v>
      </c>
      <c r="DOJ1" s="7" t="s">
        <v>3457</v>
      </c>
      <c r="DOK1" s="7" t="s">
        <v>3458</v>
      </c>
      <c r="DOL1" s="7" t="s">
        <v>3459</v>
      </c>
      <c r="DOM1" s="7" t="s">
        <v>3460</v>
      </c>
      <c r="DON1" s="7" t="s">
        <v>3461</v>
      </c>
      <c r="DOO1" s="7" t="s">
        <v>3462</v>
      </c>
      <c r="DOP1" s="7" t="s">
        <v>3463</v>
      </c>
      <c r="DOQ1" s="7" t="s">
        <v>3464</v>
      </c>
      <c r="DOR1" s="7" t="s">
        <v>3465</v>
      </c>
      <c r="DOS1" s="7" t="s">
        <v>3466</v>
      </c>
      <c r="DOT1" s="7" t="s">
        <v>3467</v>
      </c>
      <c r="DOU1" s="7" t="s">
        <v>3468</v>
      </c>
      <c r="DOV1" s="7" t="s">
        <v>3469</v>
      </c>
      <c r="DOW1" s="7" t="s">
        <v>3470</v>
      </c>
      <c r="DOX1" s="7" t="s">
        <v>3471</v>
      </c>
      <c r="DOY1" s="7" t="s">
        <v>3472</v>
      </c>
      <c r="DOZ1" s="7" t="s">
        <v>3473</v>
      </c>
      <c r="DPA1" s="7" t="s">
        <v>3474</v>
      </c>
      <c r="DPB1" s="7" t="s">
        <v>3475</v>
      </c>
      <c r="DPC1" s="7" t="s">
        <v>3476</v>
      </c>
      <c r="DPD1" s="7" t="s">
        <v>3477</v>
      </c>
      <c r="DPE1" s="7" t="s">
        <v>3478</v>
      </c>
      <c r="DPF1" s="7" t="s">
        <v>3479</v>
      </c>
      <c r="DPG1" s="7" t="s">
        <v>3480</v>
      </c>
      <c r="DPH1" s="7" t="s">
        <v>3481</v>
      </c>
      <c r="DPI1" s="7" t="s">
        <v>3482</v>
      </c>
      <c r="DPJ1" s="7" t="s">
        <v>3483</v>
      </c>
      <c r="DPK1" s="7" t="s">
        <v>3484</v>
      </c>
      <c r="DPL1" s="7" t="s">
        <v>3485</v>
      </c>
      <c r="DPM1" s="7" t="s">
        <v>3486</v>
      </c>
      <c r="DPN1" s="7" t="s">
        <v>3487</v>
      </c>
      <c r="DPO1" s="7" t="s">
        <v>3488</v>
      </c>
      <c r="DPP1" s="7" t="s">
        <v>3489</v>
      </c>
      <c r="DPQ1" s="7" t="s">
        <v>3490</v>
      </c>
      <c r="DPR1" s="7" t="s">
        <v>3491</v>
      </c>
      <c r="DPS1" s="7" t="s">
        <v>3492</v>
      </c>
      <c r="DPT1" s="7" t="s">
        <v>3493</v>
      </c>
      <c r="DPU1" s="7" t="s">
        <v>3494</v>
      </c>
      <c r="DPV1" s="7" t="s">
        <v>3495</v>
      </c>
      <c r="DPW1" s="7" t="s">
        <v>3496</v>
      </c>
      <c r="DPX1" s="7" t="s">
        <v>3497</v>
      </c>
      <c r="DPY1" s="7" t="s">
        <v>3498</v>
      </c>
      <c r="DPZ1" s="7" t="s">
        <v>3499</v>
      </c>
      <c r="DQA1" s="7" t="s">
        <v>3500</v>
      </c>
      <c r="DQB1" s="7" t="s">
        <v>3501</v>
      </c>
      <c r="DQC1" s="7" t="s">
        <v>3502</v>
      </c>
      <c r="DQD1" s="7" t="s">
        <v>3503</v>
      </c>
      <c r="DQE1" s="7" t="s">
        <v>3504</v>
      </c>
      <c r="DQF1" s="7" t="s">
        <v>3505</v>
      </c>
      <c r="DQG1" s="7" t="s">
        <v>3506</v>
      </c>
      <c r="DQH1" s="7" t="s">
        <v>3507</v>
      </c>
      <c r="DQI1" s="7" t="s">
        <v>3508</v>
      </c>
      <c r="DQJ1" s="7" t="s">
        <v>3509</v>
      </c>
      <c r="DQK1" s="7" t="s">
        <v>3510</v>
      </c>
      <c r="DQL1" s="7" t="s">
        <v>3511</v>
      </c>
      <c r="DQM1" s="7" t="s">
        <v>3512</v>
      </c>
      <c r="DQN1" s="7" t="s">
        <v>3513</v>
      </c>
      <c r="DQO1" s="7" t="s">
        <v>3514</v>
      </c>
      <c r="DQP1" s="7" t="s">
        <v>3515</v>
      </c>
      <c r="DQQ1" s="7" t="s">
        <v>3516</v>
      </c>
      <c r="DQR1" s="7" t="s">
        <v>3517</v>
      </c>
      <c r="DQS1" s="7" t="s">
        <v>3518</v>
      </c>
      <c r="DQT1" s="7" t="s">
        <v>3519</v>
      </c>
      <c r="DQU1" s="7" t="s">
        <v>3520</v>
      </c>
      <c r="DQV1" s="7" t="s">
        <v>3521</v>
      </c>
      <c r="DQW1" s="7" t="s">
        <v>3522</v>
      </c>
      <c r="DQX1" s="7" t="s">
        <v>3523</v>
      </c>
      <c r="DQY1" s="7" t="s">
        <v>3524</v>
      </c>
      <c r="DQZ1" s="7" t="s">
        <v>3525</v>
      </c>
      <c r="DRA1" s="7" t="s">
        <v>3526</v>
      </c>
      <c r="DRB1" s="7" t="s">
        <v>3527</v>
      </c>
      <c r="DRC1" s="7" t="s">
        <v>3528</v>
      </c>
      <c r="DRD1" s="7" t="s">
        <v>3529</v>
      </c>
      <c r="DRE1" s="7" t="s">
        <v>3530</v>
      </c>
      <c r="DRF1" s="7" t="s">
        <v>3531</v>
      </c>
      <c r="DRG1" s="7" t="s">
        <v>3532</v>
      </c>
      <c r="DRH1" s="7" t="s">
        <v>3533</v>
      </c>
      <c r="DRI1" s="7" t="s">
        <v>3534</v>
      </c>
      <c r="DRJ1" s="7" t="s">
        <v>3535</v>
      </c>
      <c r="DRK1" s="7" t="s">
        <v>3536</v>
      </c>
      <c r="DRL1" s="7" t="s">
        <v>3537</v>
      </c>
      <c r="DRM1" s="7" t="s">
        <v>3538</v>
      </c>
      <c r="DRN1" s="7" t="s">
        <v>3539</v>
      </c>
      <c r="DRO1" s="7" t="s">
        <v>3540</v>
      </c>
      <c r="DRP1" s="7" t="s">
        <v>3541</v>
      </c>
      <c r="DRQ1" s="7" t="s">
        <v>3542</v>
      </c>
      <c r="DRR1" s="7" t="s">
        <v>3543</v>
      </c>
      <c r="DRS1" s="7" t="s">
        <v>3544</v>
      </c>
      <c r="DRT1" s="7" t="s">
        <v>3545</v>
      </c>
      <c r="DRU1" s="7" t="s">
        <v>3546</v>
      </c>
      <c r="DRV1" s="7" t="s">
        <v>3547</v>
      </c>
      <c r="DRW1" s="7" t="s">
        <v>3548</v>
      </c>
      <c r="DRX1" s="7" t="s">
        <v>3549</v>
      </c>
      <c r="DRY1" s="7" t="s">
        <v>3550</v>
      </c>
      <c r="DRZ1" s="7" t="s">
        <v>3551</v>
      </c>
      <c r="DSA1" s="7" t="s">
        <v>3552</v>
      </c>
      <c r="DSB1" s="7" t="s">
        <v>3553</v>
      </c>
      <c r="DSC1" s="7" t="s">
        <v>3554</v>
      </c>
      <c r="DSD1" s="7" t="s">
        <v>3555</v>
      </c>
      <c r="DSE1" s="7" t="s">
        <v>3556</v>
      </c>
      <c r="DSF1" s="7" t="s">
        <v>3557</v>
      </c>
      <c r="DSG1" s="7" t="s">
        <v>3558</v>
      </c>
      <c r="DSH1" s="7" t="s">
        <v>3559</v>
      </c>
      <c r="DSI1" s="7" t="s">
        <v>3560</v>
      </c>
      <c r="DSJ1" s="7" t="s">
        <v>3561</v>
      </c>
      <c r="DSK1" s="7" t="s">
        <v>3562</v>
      </c>
      <c r="DSL1" s="7" t="s">
        <v>3563</v>
      </c>
      <c r="DSM1" s="7" t="s">
        <v>3564</v>
      </c>
      <c r="DSN1" s="7" t="s">
        <v>3565</v>
      </c>
      <c r="DSO1" s="7" t="s">
        <v>3566</v>
      </c>
      <c r="DSP1" s="7" t="s">
        <v>3567</v>
      </c>
      <c r="DSQ1" s="7" t="s">
        <v>3568</v>
      </c>
      <c r="DSR1" s="7" t="s">
        <v>3569</v>
      </c>
      <c r="DSS1" s="7" t="s">
        <v>3570</v>
      </c>
      <c r="DST1" s="7" t="s">
        <v>3571</v>
      </c>
      <c r="DSU1" s="7" t="s">
        <v>3572</v>
      </c>
      <c r="DSV1" s="7" t="s">
        <v>3573</v>
      </c>
      <c r="DSW1" s="7" t="s">
        <v>3574</v>
      </c>
      <c r="DSX1" s="7" t="s">
        <v>3575</v>
      </c>
      <c r="DSY1" s="7" t="s">
        <v>3576</v>
      </c>
      <c r="DSZ1" s="7" t="s">
        <v>3577</v>
      </c>
      <c r="DTA1" s="7" t="s">
        <v>3578</v>
      </c>
      <c r="DTB1" s="7" t="s">
        <v>3579</v>
      </c>
      <c r="DTC1" s="7" t="s">
        <v>3580</v>
      </c>
      <c r="DTD1" s="7" t="s">
        <v>3581</v>
      </c>
      <c r="DTE1" s="7" t="s">
        <v>3582</v>
      </c>
      <c r="DTF1" s="7" t="s">
        <v>3583</v>
      </c>
      <c r="DTG1" s="7" t="s">
        <v>3584</v>
      </c>
      <c r="DTH1" s="7" t="s">
        <v>3585</v>
      </c>
      <c r="DTI1" s="7" t="s">
        <v>3586</v>
      </c>
      <c r="DTJ1" s="7" t="s">
        <v>3587</v>
      </c>
      <c r="DTK1" s="7" t="s">
        <v>3588</v>
      </c>
      <c r="DTL1" s="7" t="s">
        <v>3589</v>
      </c>
      <c r="DTM1" s="7" t="s">
        <v>3590</v>
      </c>
      <c r="DTN1" s="7" t="s">
        <v>3591</v>
      </c>
      <c r="DTO1" s="7" t="s">
        <v>3592</v>
      </c>
      <c r="DTP1" s="7" t="s">
        <v>3593</v>
      </c>
      <c r="DTQ1" s="7" t="s">
        <v>3594</v>
      </c>
      <c r="DTR1" s="7" t="s">
        <v>3595</v>
      </c>
      <c r="DTS1" s="7" t="s">
        <v>3596</v>
      </c>
      <c r="DTT1" s="7" t="s">
        <v>3597</v>
      </c>
      <c r="DTU1" s="7" t="s">
        <v>3598</v>
      </c>
      <c r="DTV1" s="7" t="s">
        <v>3599</v>
      </c>
      <c r="DTW1" s="7" t="s">
        <v>3600</v>
      </c>
      <c r="DTX1" s="7" t="s">
        <v>3601</v>
      </c>
      <c r="DTY1" s="7" t="s">
        <v>3602</v>
      </c>
      <c r="DTZ1" s="7" t="s">
        <v>3603</v>
      </c>
      <c r="DUA1" s="7" t="s">
        <v>3604</v>
      </c>
      <c r="DUB1" s="7" t="s">
        <v>3605</v>
      </c>
      <c r="DUC1" s="7" t="s">
        <v>3606</v>
      </c>
      <c r="DUD1" s="7" t="s">
        <v>3607</v>
      </c>
      <c r="DUE1" s="7" t="s">
        <v>3608</v>
      </c>
      <c r="DUF1" s="7" t="s">
        <v>3609</v>
      </c>
      <c r="DUG1" s="7" t="s">
        <v>3610</v>
      </c>
      <c r="DUH1" s="7" t="s">
        <v>3611</v>
      </c>
      <c r="DUI1" s="7" t="s">
        <v>3612</v>
      </c>
      <c r="DUJ1" s="7" t="s">
        <v>3613</v>
      </c>
      <c r="DUK1" s="7" t="s">
        <v>3614</v>
      </c>
      <c r="DUL1" s="7" t="s">
        <v>3615</v>
      </c>
      <c r="DUM1" s="7" t="s">
        <v>3616</v>
      </c>
      <c r="DUN1" s="7" t="s">
        <v>3617</v>
      </c>
      <c r="DUO1" s="7" t="s">
        <v>3618</v>
      </c>
      <c r="DUP1" s="7" t="s">
        <v>3619</v>
      </c>
      <c r="DUQ1" s="7" t="s">
        <v>3620</v>
      </c>
      <c r="DUR1" s="7" t="s">
        <v>3621</v>
      </c>
      <c r="DUS1" s="7" t="s">
        <v>3622</v>
      </c>
      <c r="DUT1" s="7" t="s">
        <v>3623</v>
      </c>
      <c r="DUU1" s="7" t="s">
        <v>3624</v>
      </c>
      <c r="DUV1" s="7" t="s">
        <v>3625</v>
      </c>
      <c r="DUW1" s="7" t="s">
        <v>3626</v>
      </c>
      <c r="DUX1" s="7" t="s">
        <v>3627</v>
      </c>
      <c r="DUY1" s="7" t="s">
        <v>3628</v>
      </c>
      <c r="DUZ1" s="7" t="s">
        <v>3629</v>
      </c>
      <c r="DVA1" s="7" t="s">
        <v>3630</v>
      </c>
      <c r="DVB1" s="7" t="s">
        <v>3631</v>
      </c>
      <c r="DVC1" s="7" t="s">
        <v>3632</v>
      </c>
      <c r="DVD1" s="7" t="s">
        <v>3633</v>
      </c>
      <c r="DVE1" s="7" t="s">
        <v>3634</v>
      </c>
      <c r="DVF1" s="7" t="s">
        <v>3635</v>
      </c>
      <c r="DVG1" s="7" t="s">
        <v>3636</v>
      </c>
      <c r="DVH1" s="7" t="s">
        <v>3637</v>
      </c>
      <c r="DVI1" s="7" t="s">
        <v>3638</v>
      </c>
      <c r="DVJ1" s="7" t="s">
        <v>3639</v>
      </c>
      <c r="DVK1" s="7" t="s">
        <v>3640</v>
      </c>
      <c r="DVL1" s="7" t="s">
        <v>3641</v>
      </c>
      <c r="DVM1" s="7" t="s">
        <v>3642</v>
      </c>
      <c r="DVN1" s="7" t="s">
        <v>3643</v>
      </c>
      <c r="DVO1" s="7" t="s">
        <v>3644</v>
      </c>
      <c r="DVP1" s="7" t="s">
        <v>3645</v>
      </c>
      <c r="DVQ1" s="7" t="s">
        <v>3646</v>
      </c>
      <c r="DVR1" s="7" t="s">
        <v>3647</v>
      </c>
      <c r="DVS1" s="7" t="s">
        <v>3648</v>
      </c>
      <c r="DVT1" s="7" t="s">
        <v>3649</v>
      </c>
      <c r="DVU1" s="7" t="s">
        <v>3650</v>
      </c>
      <c r="DVV1" s="7" t="s">
        <v>3651</v>
      </c>
      <c r="DVW1" s="7" t="s">
        <v>3652</v>
      </c>
      <c r="DVX1" s="7" t="s">
        <v>3653</v>
      </c>
      <c r="DVY1" s="7" t="s">
        <v>3654</v>
      </c>
      <c r="DVZ1" s="7" t="s">
        <v>3655</v>
      </c>
      <c r="DWA1" s="7" t="s">
        <v>3656</v>
      </c>
      <c r="DWB1" s="7" t="s">
        <v>3657</v>
      </c>
      <c r="DWC1" s="7" t="s">
        <v>3658</v>
      </c>
      <c r="DWD1" s="7" t="s">
        <v>3659</v>
      </c>
      <c r="DWE1" s="7" t="s">
        <v>3660</v>
      </c>
      <c r="DWF1" s="7" t="s">
        <v>3661</v>
      </c>
      <c r="DWG1" s="7" t="s">
        <v>3662</v>
      </c>
      <c r="DWH1" s="7" t="s">
        <v>3663</v>
      </c>
      <c r="DWI1" s="7" t="s">
        <v>3664</v>
      </c>
      <c r="DWJ1" s="7" t="s">
        <v>3665</v>
      </c>
      <c r="DWK1" s="7" t="s">
        <v>3666</v>
      </c>
      <c r="DWL1" s="7" t="s">
        <v>3667</v>
      </c>
      <c r="DWM1" s="7" t="s">
        <v>3668</v>
      </c>
      <c r="DWN1" s="7" t="s">
        <v>3669</v>
      </c>
      <c r="DWO1" s="7" t="s">
        <v>3670</v>
      </c>
      <c r="DWP1" s="7" t="s">
        <v>3671</v>
      </c>
      <c r="DWQ1" s="7" t="s">
        <v>3672</v>
      </c>
      <c r="DWR1" s="7" t="s">
        <v>3673</v>
      </c>
      <c r="DWS1" s="7" t="s">
        <v>3674</v>
      </c>
      <c r="DWT1" s="7" t="s">
        <v>3675</v>
      </c>
      <c r="DWU1" s="7" t="s">
        <v>3676</v>
      </c>
      <c r="DWV1" s="7" t="s">
        <v>3677</v>
      </c>
      <c r="DWW1" s="7" t="s">
        <v>3678</v>
      </c>
      <c r="DWX1" s="7" t="s">
        <v>3679</v>
      </c>
      <c r="DWY1" s="7" t="s">
        <v>3680</v>
      </c>
      <c r="DWZ1" s="7" t="s">
        <v>3681</v>
      </c>
      <c r="DXA1" s="7" t="s">
        <v>3682</v>
      </c>
      <c r="DXB1" s="7" t="s">
        <v>3683</v>
      </c>
      <c r="DXC1" s="7" t="s">
        <v>3684</v>
      </c>
      <c r="DXD1" s="7" t="s">
        <v>3685</v>
      </c>
      <c r="DXE1" s="7" t="s">
        <v>3686</v>
      </c>
      <c r="DXF1" s="7" t="s">
        <v>3687</v>
      </c>
      <c r="DXG1" s="7" t="s">
        <v>3688</v>
      </c>
      <c r="DXH1" s="7" t="s">
        <v>3689</v>
      </c>
      <c r="DXI1" s="7" t="s">
        <v>3690</v>
      </c>
      <c r="DXJ1" s="7" t="s">
        <v>3691</v>
      </c>
      <c r="DXK1" s="7" t="s">
        <v>3692</v>
      </c>
      <c r="DXL1" s="7" t="s">
        <v>3693</v>
      </c>
      <c r="DXM1" s="7" t="s">
        <v>3694</v>
      </c>
      <c r="DXN1" s="7" t="s">
        <v>3695</v>
      </c>
      <c r="DXO1" s="7" t="s">
        <v>3696</v>
      </c>
      <c r="DXP1" s="7" t="s">
        <v>3697</v>
      </c>
      <c r="DXQ1" s="7" t="s">
        <v>3698</v>
      </c>
      <c r="DXR1" s="7" t="s">
        <v>3699</v>
      </c>
      <c r="DXS1" s="7" t="s">
        <v>3700</v>
      </c>
      <c r="DXT1" s="7" t="s">
        <v>3701</v>
      </c>
      <c r="DXU1" s="7" t="s">
        <v>3702</v>
      </c>
      <c r="DXV1" s="7" t="s">
        <v>3703</v>
      </c>
      <c r="DXW1" s="7" t="s">
        <v>3704</v>
      </c>
      <c r="DXX1" s="7" t="s">
        <v>3705</v>
      </c>
      <c r="DXY1" s="7" t="s">
        <v>3706</v>
      </c>
      <c r="DXZ1" s="7" t="s">
        <v>3707</v>
      </c>
      <c r="DYA1" s="7" t="s">
        <v>3708</v>
      </c>
      <c r="DYB1" s="7" t="s">
        <v>3709</v>
      </c>
      <c r="DYC1" s="7" t="s">
        <v>3710</v>
      </c>
      <c r="DYD1" s="7" t="s">
        <v>3711</v>
      </c>
      <c r="DYE1" s="7" t="s">
        <v>3712</v>
      </c>
      <c r="DYF1" s="7" t="s">
        <v>3713</v>
      </c>
      <c r="DYG1" s="7" t="s">
        <v>3714</v>
      </c>
      <c r="DYH1" s="7" t="s">
        <v>3715</v>
      </c>
      <c r="DYI1" s="7" t="s">
        <v>3716</v>
      </c>
      <c r="DYJ1" s="7" t="s">
        <v>3717</v>
      </c>
      <c r="DYK1" s="7" t="s">
        <v>3718</v>
      </c>
      <c r="DYL1" s="7" t="s">
        <v>3719</v>
      </c>
      <c r="DYM1" s="7" t="s">
        <v>3720</v>
      </c>
      <c r="DYN1" s="7" t="s">
        <v>3721</v>
      </c>
      <c r="DYO1" s="7" t="s">
        <v>3722</v>
      </c>
      <c r="DYP1" s="7" t="s">
        <v>3723</v>
      </c>
      <c r="DYQ1" s="7" t="s">
        <v>3724</v>
      </c>
      <c r="DYR1" s="7" t="s">
        <v>3725</v>
      </c>
      <c r="DYS1" s="7" t="s">
        <v>3726</v>
      </c>
      <c r="DYT1" s="7" t="s">
        <v>3727</v>
      </c>
      <c r="DYU1" s="7" t="s">
        <v>3728</v>
      </c>
      <c r="DYV1" s="7" t="s">
        <v>3729</v>
      </c>
      <c r="DYW1" s="7" t="s">
        <v>3730</v>
      </c>
      <c r="DYX1" s="7" t="s">
        <v>3731</v>
      </c>
      <c r="DYY1" s="7" t="s">
        <v>3732</v>
      </c>
      <c r="DYZ1" s="7" t="s">
        <v>3733</v>
      </c>
      <c r="DZA1" s="7" t="s">
        <v>3734</v>
      </c>
      <c r="DZB1" s="7" t="s">
        <v>3735</v>
      </c>
      <c r="DZC1" s="7" t="s">
        <v>3736</v>
      </c>
      <c r="DZD1" s="7" t="s">
        <v>3737</v>
      </c>
      <c r="DZE1" s="7" t="s">
        <v>3738</v>
      </c>
      <c r="DZF1" s="7" t="s">
        <v>3739</v>
      </c>
      <c r="DZG1" s="7" t="s">
        <v>3740</v>
      </c>
      <c r="DZH1" s="7" t="s">
        <v>3741</v>
      </c>
      <c r="DZI1" s="7" t="s">
        <v>3742</v>
      </c>
      <c r="DZJ1" s="7" t="s">
        <v>3743</v>
      </c>
      <c r="DZK1" s="7" t="s">
        <v>3744</v>
      </c>
      <c r="DZL1" s="7" t="s">
        <v>3745</v>
      </c>
      <c r="DZM1" s="7" t="s">
        <v>3746</v>
      </c>
      <c r="DZN1" s="7" t="s">
        <v>3747</v>
      </c>
      <c r="DZO1" s="7" t="s">
        <v>3748</v>
      </c>
      <c r="DZP1" s="7" t="s">
        <v>3749</v>
      </c>
      <c r="DZQ1" s="7" t="s">
        <v>3750</v>
      </c>
      <c r="DZR1" s="7" t="s">
        <v>3751</v>
      </c>
      <c r="DZS1" s="7" t="s">
        <v>3752</v>
      </c>
      <c r="DZT1" s="7" t="s">
        <v>3753</v>
      </c>
      <c r="DZU1" s="7" t="s">
        <v>3754</v>
      </c>
      <c r="DZV1" s="7" t="s">
        <v>3755</v>
      </c>
      <c r="DZW1" s="7" t="s">
        <v>3756</v>
      </c>
      <c r="DZX1" s="7" t="s">
        <v>3757</v>
      </c>
      <c r="DZY1" s="7" t="s">
        <v>3758</v>
      </c>
      <c r="DZZ1" s="7" t="s">
        <v>3759</v>
      </c>
      <c r="EAA1" s="7" t="s">
        <v>3760</v>
      </c>
      <c r="EAB1" s="7" t="s">
        <v>3761</v>
      </c>
      <c r="EAC1" s="7" t="s">
        <v>3762</v>
      </c>
      <c r="EAD1" s="7" t="s">
        <v>3763</v>
      </c>
      <c r="EAE1" s="7" t="s">
        <v>3764</v>
      </c>
      <c r="EAF1" s="7" t="s">
        <v>3765</v>
      </c>
      <c r="EAG1" s="7" t="s">
        <v>3766</v>
      </c>
      <c r="EAH1" s="7" t="s">
        <v>3767</v>
      </c>
      <c r="EAI1" s="7" t="s">
        <v>3768</v>
      </c>
      <c r="EAJ1" s="7" t="s">
        <v>3769</v>
      </c>
      <c r="EAK1" s="7" t="s">
        <v>3770</v>
      </c>
      <c r="EAL1" s="7" t="s">
        <v>3771</v>
      </c>
      <c r="EAM1" s="7" t="s">
        <v>3772</v>
      </c>
      <c r="EAN1" s="7" t="s">
        <v>3773</v>
      </c>
      <c r="EAO1" s="7" t="s">
        <v>3774</v>
      </c>
      <c r="EAP1" s="7" t="s">
        <v>3775</v>
      </c>
      <c r="EAQ1" s="7" t="s">
        <v>3776</v>
      </c>
      <c r="EAR1" s="7" t="s">
        <v>3777</v>
      </c>
      <c r="EAS1" s="7" t="s">
        <v>3778</v>
      </c>
      <c r="EAT1" s="7" t="s">
        <v>3779</v>
      </c>
      <c r="EAU1" s="7" t="s">
        <v>3780</v>
      </c>
      <c r="EAV1" s="7" t="s">
        <v>3781</v>
      </c>
      <c r="EAW1" s="7" t="s">
        <v>3782</v>
      </c>
      <c r="EAX1" s="7" t="s">
        <v>3783</v>
      </c>
      <c r="EAY1" s="7" t="s">
        <v>3784</v>
      </c>
      <c r="EAZ1" s="7" t="s">
        <v>3785</v>
      </c>
      <c r="EBA1" s="7" t="s">
        <v>3786</v>
      </c>
      <c r="EBB1" s="7" t="s">
        <v>3787</v>
      </c>
      <c r="EBC1" s="7" t="s">
        <v>3788</v>
      </c>
      <c r="EBD1" s="7" t="s">
        <v>3789</v>
      </c>
      <c r="EBE1" s="7" t="s">
        <v>3790</v>
      </c>
      <c r="EBF1" s="7" t="s">
        <v>3791</v>
      </c>
      <c r="EBG1" s="7" t="s">
        <v>3792</v>
      </c>
      <c r="EBH1" s="7" t="s">
        <v>3793</v>
      </c>
      <c r="EBI1" s="7" t="s">
        <v>3794</v>
      </c>
      <c r="EBJ1" s="7" t="s">
        <v>3795</v>
      </c>
      <c r="EBK1" s="7" t="s">
        <v>3796</v>
      </c>
      <c r="EBL1" s="7" t="s">
        <v>3797</v>
      </c>
      <c r="EBM1" s="7" t="s">
        <v>3798</v>
      </c>
      <c r="EBN1" s="7" t="s">
        <v>3799</v>
      </c>
      <c r="EBO1" s="7" t="s">
        <v>3800</v>
      </c>
      <c r="EBP1" s="7" t="s">
        <v>3801</v>
      </c>
      <c r="EBQ1" s="7" t="s">
        <v>3802</v>
      </c>
      <c r="EBR1" s="7" t="s">
        <v>3803</v>
      </c>
      <c r="EBS1" s="7" t="s">
        <v>3804</v>
      </c>
      <c r="EBT1" s="7" t="s">
        <v>3805</v>
      </c>
      <c r="EBU1" s="7" t="s">
        <v>3806</v>
      </c>
      <c r="EBV1" s="7" t="s">
        <v>3807</v>
      </c>
      <c r="EBW1" s="7" t="s">
        <v>3808</v>
      </c>
      <c r="EBX1" s="7" t="s">
        <v>3809</v>
      </c>
      <c r="EBY1" s="7" t="s">
        <v>3810</v>
      </c>
      <c r="EBZ1" s="7" t="s">
        <v>3811</v>
      </c>
      <c r="ECA1" s="7" t="s">
        <v>3812</v>
      </c>
      <c r="ECB1" s="7" t="s">
        <v>3813</v>
      </c>
      <c r="ECC1" s="7" t="s">
        <v>3814</v>
      </c>
      <c r="ECD1" s="7" t="s">
        <v>3815</v>
      </c>
      <c r="ECE1" s="7" t="s">
        <v>3816</v>
      </c>
      <c r="ECF1" s="7" t="s">
        <v>3817</v>
      </c>
      <c r="ECG1" s="7" t="s">
        <v>3818</v>
      </c>
      <c r="ECH1" s="7" t="s">
        <v>3819</v>
      </c>
      <c r="ECI1" s="7" t="s">
        <v>3820</v>
      </c>
      <c r="ECJ1" s="7" t="s">
        <v>3821</v>
      </c>
      <c r="ECK1" s="7" t="s">
        <v>3822</v>
      </c>
      <c r="ECL1" s="7" t="s">
        <v>3823</v>
      </c>
      <c r="ECM1" s="7" t="s">
        <v>3824</v>
      </c>
      <c r="ECN1" s="7" t="s">
        <v>3825</v>
      </c>
      <c r="ECO1" s="7" t="s">
        <v>3826</v>
      </c>
      <c r="ECP1" s="7" t="s">
        <v>3827</v>
      </c>
      <c r="ECQ1" s="7" t="s">
        <v>3828</v>
      </c>
      <c r="ECR1" s="7" t="s">
        <v>3829</v>
      </c>
      <c r="ECS1" s="7" t="s">
        <v>3830</v>
      </c>
      <c r="ECT1" s="7" t="s">
        <v>3831</v>
      </c>
      <c r="ECU1" s="7" t="s">
        <v>3832</v>
      </c>
      <c r="ECV1" s="7" t="s">
        <v>3833</v>
      </c>
      <c r="ECW1" s="7" t="s">
        <v>3834</v>
      </c>
      <c r="ECX1" s="7" t="s">
        <v>3835</v>
      </c>
      <c r="ECY1" s="7" t="s">
        <v>3836</v>
      </c>
      <c r="ECZ1" s="7" t="s">
        <v>3837</v>
      </c>
      <c r="EDA1" s="7" t="s">
        <v>3838</v>
      </c>
      <c r="EDB1" s="7" t="s">
        <v>3839</v>
      </c>
      <c r="EDC1" s="7" t="s">
        <v>3840</v>
      </c>
      <c r="EDD1" s="7" t="s">
        <v>3841</v>
      </c>
      <c r="EDE1" s="7" t="s">
        <v>3842</v>
      </c>
      <c r="EDF1" s="7" t="s">
        <v>3843</v>
      </c>
      <c r="EDG1" s="7" t="s">
        <v>3844</v>
      </c>
      <c r="EDH1" s="7" t="s">
        <v>3845</v>
      </c>
      <c r="EDI1" s="7" t="s">
        <v>3846</v>
      </c>
      <c r="EDJ1" s="7" t="s">
        <v>3847</v>
      </c>
      <c r="EDK1" s="7" t="s">
        <v>3848</v>
      </c>
      <c r="EDL1" s="7" t="s">
        <v>3849</v>
      </c>
      <c r="EDM1" s="7" t="s">
        <v>3850</v>
      </c>
      <c r="EDN1" s="7" t="s">
        <v>3851</v>
      </c>
      <c r="EDO1" s="7" t="s">
        <v>3852</v>
      </c>
      <c r="EDP1" s="7" t="s">
        <v>3853</v>
      </c>
      <c r="EDQ1" s="7" t="s">
        <v>3854</v>
      </c>
      <c r="EDR1" s="7" t="s">
        <v>3855</v>
      </c>
      <c r="EDS1" s="7" t="s">
        <v>3856</v>
      </c>
      <c r="EDT1" s="7" t="s">
        <v>3857</v>
      </c>
      <c r="EDU1" s="7" t="s">
        <v>3858</v>
      </c>
      <c r="EDV1" s="7" t="s">
        <v>3859</v>
      </c>
      <c r="EDW1" s="7" t="s">
        <v>3860</v>
      </c>
      <c r="EDX1" s="7" t="s">
        <v>3861</v>
      </c>
      <c r="EDY1" s="7" t="s">
        <v>3862</v>
      </c>
      <c r="EDZ1" s="7" t="s">
        <v>3863</v>
      </c>
      <c r="EEA1" s="7" t="s">
        <v>3864</v>
      </c>
      <c r="EEB1" s="7" t="s">
        <v>3865</v>
      </c>
      <c r="EEC1" s="7" t="s">
        <v>3866</v>
      </c>
      <c r="EED1" s="7" t="s">
        <v>3867</v>
      </c>
      <c r="EEE1" s="7" t="s">
        <v>3868</v>
      </c>
      <c r="EEF1" s="7" t="s">
        <v>3869</v>
      </c>
      <c r="EEG1" s="7" t="s">
        <v>3870</v>
      </c>
      <c r="EEH1" s="7" t="s">
        <v>3871</v>
      </c>
      <c r="EEI1" s="7" t="s">
        <v>3872</v>
      </c>
      <c r="EEJ1" s="7" t="s">
        <v>3873</v>
      </c>
      <c r="EEK1" s="7" t="s">
        <v>3874</v>
      </c>
      <c r="EEL1" s="7" t="s">
        <v>3875</v>
      </c>
      <c r="EEM1" s="7" t="s">
        <v>3876</v>
      </c>
      <c r="EEN1" s="7" t="s">
        <v>3877</v>
      </c>
      <c r="EEO1" s="7" t="s">
        <v>3878</v>
      </c>
      <c r="EEP1" s="7" t="s">
        <v>3879</v>
      </c>
      <c r="EEQ1" s="7" t="s">
        <v>3880</v>
      </c>
      <c r="EER1" s="7" t="s">
        <v>3881</v>
      </c>
      <c r="EES1" s="7" t="s">
        <v>3882</v>
      </c>
      <c r="EET1" s="7" t="s">
        <v>3883</v>
      </c>
      <c r="EEU1" s="7" t="s">
        <v>3884</v>
      </c>
      <c r="EEV1" s="7" t="s">
        <v>3885</v>
      </c>
      <c r="EEW1" s="7" t="s">
        <v>3886</v>
      </c>
      <c r="EEX1" s="7" t="s">
        <v>3887</v>
      </c>
      <c r="EEY1" s="7" t="s">
        <v>3888</v>
      </c>
      <c r="EEZ1" s="7" t="s">
        <v>3889</v>
      </c>
      <c r="EFA1" s="7" t="s">
        <v>3890</v>
      </c>
      <c r="EFB1" s="7" t="s">
        <v>3891</v>
      </c>
      <c r="EFC1" s="7" t="s">
        <v>3892</v>
      </c>
      <c r="EFD1" s="7" t="s">
        <v>3893</v>
      </c>
      <c r="EFE1" s="7" t="s">
        <v>3894</v>
      </c>
      <c r="EFF1" s="7" t="s">
        <v>3895</v>
      </c>
      <c r="EFG1" s="7" t="s">
        <v>3896</v>
      </c>
      <c r="EFH1" s="7" t="s">
        <v>3897</v>
      </c>
      <c r="EFI1" s="7" t="s">
        <v>3898</v>
      </c>
      <c r="EFJ1" s="7" t="s">
        <v>3899</v>
      </c>
      <c r="EFK1" s="7" t="s">
        <v>3900</v>
      </c>
      <c r="EFL1" s="7" t="s">
        <v>3901</v>
      </c>
      <c r="EFM1" s="7" t="s">
        <v>3902</v>
      </c>
      <c r="EFN1" s="7" t="s">
        <v>3903</v>
      </c>
      <c r="EFO1" s="7" t="s">
        <v>3904</v>
      </c>
      <c r="EFP1" s="7" t="s">
        <v>3905</v>
      </c>
      <c r="EFQ1" s="7" t="s">
        <v>3906</v>
      </c>
      <c r="EFR1" s="7" t="s">
        <v>3907</v>
      </c>
      <c r="EFS1" s="7" t="s">
        <v>3908</v>
      </c>
      <c r="EFT1" s="7" t="s">
        <v>3909</v>
      </c>
      <c r="EFU1" s="7" t="s">
        <v>3910</v>
      </c>
      <c r="EFV1" s="7" t="s">
        <v>3911</v>
      </c>
      <c r="EFW1" s="7" t="s">
        <v>3912</v>
      </c>
      <c r="EFX1" s="7" t="s">
        <v>3913</v>
      </c>
      <c r="EFY1" s="7" t="s">
        <v>3914</v>
      </c>
      <c r="EFZ1" s="7" t="s">
        <v>3915</v>
      </c>
      <c r="EGA1" s="7" t="s">
        <v>3916</v>
      </c>
      <c r="EGB1" s="7" t="s">
        <v>3917</v>
      </c>
      <c r="EGC1" s="7" t="s">
        <v>3918</v>
      </c>
      <c r="EGD1" s="7" t="s">
        <v>3919</v>
      </c>
      <c r="EGE1" s="7" t="s">
        <v>3920</v>
      </c>
      <c r="EGF1" s="7" t="s">
        <v>3921</v>
      </c>
      <c r="EGG1" s="7" t="s">
        <v>3922</v>
      </c>
      <c r="EGH1" s="7" t="s">
        <v>3923</v>
      </c>
      <c r="EGI1" s="7" t="s">
        <v>3924</v>
      </c>
      <c r="EGJ1" s="7" t="s">
        <v>3925</v>
      </c>
      <c r="EGK1" s="7" t="s">
        <v>3926</v>
      </c>
      <c r="EGL1" s="7" t="s">
        <v>3927</v>
      </c>
      <c r="EGM1" s="7" t="s">
        <v>3928</v>
      </c>
      <c r="EGN1" s="7" t="s">
        <v>3929</v>
      </c>
      <c r="EGO1" s="7" t="s">
        <v>3930</v>
      </c>
      <c r="EGP1" s="7" t="s">
        <v>3931</v>
      </c>
      <c r="EGQ1" s="7" t="s">
        <v>3932</v>
      </c>
      <c r="EGR1" s="7" t="s">
        <v>3933</v>
      </c>
      <c r="EGS1" s="7" t="s">
        <v>3934</v>
      </c>
      <c r="EGT1" s="7" t="s">
        <v>3935</v>
      </c>
      <c r="EGU1" s="7" t="s">
        <v>3936</v>
      </c>
      <c r="EGV1" s="7" t="s">
        <v>3937</v>
      </c>
      <c r="EGW1" s="7" t="s">
        <v>3938</v>
      </c>
      <c r="EGX1" s="7" t="s">
        <v>3939</v>
      </c>
      <c r="EGY1" s="7" t="s">
        <v>3940</v>
      </c>
      <c r="EGZ1" s="7" t="s">
        <v>3941</v>
      </c>
      <c r="EHA1" s="7" t="s">
        <v>3942</v>
      </c>
      <c r="EHB1" s="7" t="s">
        <v>3943</v>
      </c>
      <c r="EHC1" s="7" t="s">
        <v>3944</v>
      </c>
      <c r="EHD1" s="7" t="s">
        <v>3945</v>
      </c>
      <c r="EHE1" s="7" t="s">
        <v>3946</v>
      </c>
      <c r="EHF1" s="7" t="s">
        <v>3947</v>
      </c>
      <c r="EHG1" s="7" t="s">
        <v>3948</v>
      </c>
      <c r="EHH1" s="7" t="s">
        <v>3949</v>
      </c>
      <c r="EHI1" s="7" t="s">
        <v>3950</v>
      </c>
      <c r="EHJ1" s="7" t="s">
        <v>3951</v>
      </c>
      <c r="EHK1" s="7" t="s">
        <v>3952</v>
      </c>
      <c r="EHL1" s="7" t="s">
        <v>3953</v>
      </c>
      <c r="EHM1" s="7" t="s">
        <v>3954</v>
      </c>
      <c r="EHN1" s="7" t="s">
        <v>3955</v>
      </c>
      <c r="EHO1" s="7" t="s">
        <v>3956</v>
      </c>
      <c r="EHP1" s="7" t="s">
        <v>3957</v>
      </c>
      <c r="EHQ1" s="7" t="s">
        <v>3958</v>
      </c>
      <c r="EHR1" s="7" t="s">
        <v>3959</v>
      </c>
      <c r="EHS1" s="7" t="s">
        <v>3960</v>
      </c>
      <c r="EHT1" s="7" t="s">
        <v>3961</v>
      </c>
      <c r="EHU1" s="7" t="s">
        <v>3962</v>
      </c>
      <c r="EHV1" s="7" t="s">
        <v>3963</v>
      </c>
      <c r="EHW1" s="7" t="s">
        <v>3964</v>
      </c>
      <c r="EHX1" s="7" t="s">
        <v>3965</v>
      </c>
      <c r="EHY1" s="7" t="s">
        <v>3966</v>
      </c>
      <c r="EHZ1" s="7" t="s">
        <v>3967</v>
      </c>
      <c r="EIA1" s="7" t="s">
        <v>3968</v>
      </c>
      <c r="EIB1" s="7" t="s">
        <v>3969</v>
      </c>
      <c r="EIC1" s="7" t="s">
        <v>3970</v>
      </c>
      <c r="EID1" s="7" t="s">
        <v>3971</v>
      </c>
      <c r="EIE1" s="7" t="s">
        <v>3972</v>
      </c>
      <c r="EIF1" s="7" t="s">
        <v>3973</v>
      </c>
      <c r="EIG1" s="7" t="s">
        <v>3974</v>
      </c>
      <c r="EIH1" s="7" t="s">
        <v>3975</v>
      </c>
      <c r="EII1" s="7" t="s">
        <v>3976</v>
      </c>
      <c r="EIJ1" s="7" t="s">
        <v>3977</v>
      </c>
      <c r="EIK1" s="7" t="s">
        <v>3978</v>
      </c>
      <c r="EIL1" s="7" t="s">
        <v>3979</v>
      </c>
      <c r="EIM1" s="7" t="s">
        <v>3980</v>
      </c>
      <c r="EIN1" s="7" t="s">
        <v>3981</v>
      </c>
      <c r="EIO1" s="7" t="s">
        <v>3982</v>
      </c>
      <c r="EIP1" s="7" t="s">
        <v>3983</v>
      </c>
      <c r="EIQ1" s="7" t="s">
        <v>3984</v>
      </c>
      <c r="EIR1" s="7" t="s">
        <v>3985</v>
      </c>
      <c r="EIS1" s="7" t="s">
        <v>3986</v>
      </c>
      <c r="EIT1" s="7" t="s">
        <v>3987</v>
      </c>
      <c r="EIU1" s="7" t="s">
        <v>3988</v>
      </c>
      <c r="EIV1" s="7" t="s">
        <v>3989</v>
      </c>
      <c r="EIW1" s="7" t="s">
        <v>3990</v>
      </c>
      <c r="EIX1" s="7" t="s">
        <v>3991</v>
      </c>
      <c r="EIY1" s="7" t="s">
        <v>3992</v>
      </c>
      <c r="EIZ1" s="7" t="s">
        <v>3993</v>
      </c>
      <c r="EJA1" s="7" t="s">
        <v>3994</v>
      </c>
      <c r="EJB1" s="7" t="s">
        <v>3995</v>
      </c>
      <c r="EJC1" s="7" t="s">
        <v>3996</v>
      </c>
      <c r="EJD1" s="7" t="s">
        <v>3997</v>
      </c>
      <c r="EJE1" s="7" t="s">
        <v>3998</v>
      </c>
      <c r="EJF1" s="7" t="s">
        <v>3999</v>
      </c>
      <c r="EJG1" s="7" t="s">
        <v>4000</v>
      </c>
      <c r="EJH1" s="7" t="s">
        <v>4001</v>
      </c>
      <c r="EJI1" s="7" t="s">
        <v>4002</v>
      </c>
      <c r="EJJ1" s="7" t="s">
        <v>4003</v>
      </c>
      <c r="EJK1" s="7" t="s">
        <v>4004</v>
      </c>
      <c r="EJL1" s="7" t="s">
        <v>4005</v>
      </c>
      <c r="EJM1" s="7" t="s">
        <v>4006</v>
      </c>
      <c r="EJN1" s="7" t="s">
        <v>4007</v>
      </c>
      <c r="EJO1" s="7" t="s">
        <v>4008</v>
      </c>
      <c r="EJP1" s="7" t="s">
        <v>4009</v>
      </c>
      <c r="EJQ1" s="7" t="s">
        <v>4010</v>
      </c>
      <c r="EJR1" s="7" t="s">
        <v>4011</v>
      </c>
      <c r="EJS1" s="7" t="s">
        <v>4012</v>
      </c>
      <c r="EJT1" s="7" t="s">
        <v>4013</v>
      </c>
      <c r="EJU1" s="7" t="s">
        <v>4014</v>
      </c>
      <c r="EJV1" s="7" t="s">
        <v>4015</v>
      </c>
      <c r="EJW1" s="7" t="s">
        <v>4016</v>
      </c>
      <c r="EJX1" s="7" t="s">
        <v>4017</v>
      </c>
      <c r="EJY1" s="7" t="s">
        <v>4018</v>
      </c>
      <c r="EJZ1" s="7" t="s">
        <v>4019</v>
      </c>
      <c r="EKA1" s="7" t="s">
        <v>4020</v>
      </c>
      <c r="EKB1" s="7" t="s">
        <v>4021</v>
      </c>
      <c r="EKC1" s="7" t="s">
        <v>4022</v>
      </c>
      <c r="EKD1" s="7" t="s">
        <v>4023</v>
      </c>
      <c r="EKE1" s="7" t="s">
        <v>4024</v>
      </c>
      <c r="EKF1" s="7" t="s">
        <v>4025</v>
      </c>
      <c r="EKG1" s="7" t="s">
        <v>4026</v>
      </c>
      <c r="EKH1" s="7" t="s">
        <v>4027</v>
      </c>
      <c r="EKI1" s="7" t="s">
        <v>4028</v>
      </c>
      <c r="EKJ1" s="7" t="s">
        <v>4029</v>
      </c>
      <c r="EKK1" s="7" t="s">
        <v>4030</v>
      </c>
      <c r="EKL1" s="7" t="s">
        <v>4031</v>
      </c>
      <c r="EKM1" s="7" t="s">
        <v>4032</v>
      </c>
      <c r="EKN1" s="7" t="s">
        <v>4033</v>
      </c>
      <c r="EKO1" s="7" t="s">
        <v>4034</v>
      </c>
      <c r="EKP1" s="7" t="s">
        <v>4035</v>
      </c>
      <c r="EKQ1" s="7" t="s">
        <v>4036</v>
      </c>
      <c r="EKR1" s="7" t="s">
        <v>4037</v>
      </c>
      <c r="EKS1" s="7" t="s">
        <v>4038</v>
      </c>
      <c r="EKT1" s="7" t="s">
        <v>4039</v>
      </c>
      <c r="EKU1" s="7" t="s">
        <v>4040</v>
      </c>
      <c r="EKV1" s="7" t="s">
        <v>4041</v>
      </c>
      <c r="EKW1" s="7" t="s">
        <v>4042</v>
      </c>
      <c r="EKX1" s="7" t="s">
        <v>4043</v>
      </c>
      <c r="EKY1" s="7" t="s">
        <v>4044</v>
      </c>
      <c r="EKZ1" s="7" t="s">
        <v>4045</v>
      </c>
      <c r="ELA1" s="7" t="s">
        <v>4046</v>
      </c>
      <c r="ELB1" s="7" t="s">
        <v>4047</v>
      </c>
      <c r="ELC1" s="7" t="s">
        <v>4048</v>
      </c>
      <c r="ELD1" s="7" t="s">
        <v>4049</v>
      </c>
      <c r="ELE1" s="7" t="s">
        <v>4050</v>
      </c>
      <c r="ELF1" s="7" t="s">
        <v>4051</v>
      </c>
      <c r="ELG1" s="7" t="s">
        <v>4052</v>
      </c>
      <c r="ELH1" s="7" t="s">
        <v>4053</v>
      </c>
      <c r="ELI1" s="7" t="s">
        <v>4054</v>
      </c>
      <c r="ELJ1" s="7" t="s">
        <v>4055</v>
      </c>
      <c r="ELK1" s="7" t="s">
        <v>4056</v>
      </c>
      <c r="ELL1" s="7" t="s">
        <v>4057</v>
      </c>
      <c r="ELM1" s="7" t="s">
        <v>4058</v>
      </c>
      <c r="ELN1" s="7" t="s">
        <v>4059</v>
      </c>
      <c r="ELO1" s="7" t="s">
        <v>4060</v>
      </c>
      <c r="ELP1" s="7" t="s">
        <v>4061</v>
      </c>
      <c r="ELQ1" s="7" t="s">
        <v>4062</v>
      </c>
      <c r="ELR1" s="7" t="s">
        <v>4063</v>
      </c>
      <c r="ELS1" s="7" t="s">
        <v>4064</v>
      </c>
      <c r="ELT1" s="7" t="s">
        <v>4065</v>
      </c>
      <c r="ELU1" s="7" t="s">
        <v>4066</v>
      </c>
      <c r="ELV1" s="7" t="s">
        <v>4067</v>
      </c>
      <c r="ELW1" s="7" t="s">
        <v>4068</v>
      </c>
      <c r="ELX1" s="7" t="s">
        <v>4069</v>
      </c>
      <c r="ELY1" s="7" t="s">
        <v>4070</v>
      </c>
      <c r="ELZ1" s="7" t="s">
        <v>4071</v>
      </c>
      <c r="EMA1" s="7" t="s">
        <v>4072</v>
      </c>
      <c r="EMB1" s="7" t="s">
        <v>4073</v>
      </c>
      <c r="EMC1" s="7" t="s">
        <v>4074</v>
      </c>
      <c r="EMD1" s="7" t="s">
        <v>4075</v>
      </c>
      <c r="EME1" s="7" t="s">
        <v>4076</v>
      </c>
      <c r="EMF1" s="7" t="s">
        <v>4077</v>
      </c>
      <c r="EMG1" s="7" t="s">
        <v>4078</v>
      </c>
      <c r="EMH1" s="7" t="s">
        <v>4079</v>
      </c>
      <c r="EMI1" s="7" t="s">
        <v>4080</v>
      </c>
      <c r="EMJ1" s="7" t="s">
        <v>4081</v>
      </c>
      <c r="EMK1" s="7" t="s">
        <v>4082</v>
      </c>
      <c r="EML1" s="7" t="s">
        <v>4083</v>
      </c>
      <c r="EMM1" s="7" t="s">
        <v>4084</v>
      </c>
      <c r="EMN1" s="7" t="s">
        <v>4085</v>
      </c>
      <c r="EMO1" s="7" t="s">
        <v>4086</v>
      </c>
      <c r="EMP1" s="7" t="s">
        <v>4087</v>
      </c>
      <c r="EMQ1" s="7" t="s">
        <v>4088</v>
      </c>
      <c r="EMR1" s="7" t="s">
        <v>4089</v>
      </c>
      <c r="EMS1" s="7" t="s">
        <v>4090</v>
      </c>
      <c r="EMT1" s="7" t="s">
        <v>4091</v>
      </c>
      <c r="EMU1" s="7" t="s">
        <v>4092</v>
      </c>
      <c r="EMV1" s="7" t="s">
        <v>4093</v>
      </c>
      <c r="EMW1" s="7" t="s">
        <v>4094</v>
      </c>
      <c r="EMX1" s="7" t="s">
        <v>4095</v>
      </c>
      <c r="EMY1" s="7" t="s">
        <v>4096</v>
      </c>
      <c r="EMZ1" s="7" t="s">
        <v>4097</v>
      </c>
      <c r="ENA1" s="7" t="s">
        <v>4098</v>
      </c>
      <c r="ENB1" s="7" t="s">
        <v>4099</v>
      </c>
      <c r="ENC1" s="7" t="s">
        <v>4100</v>
      </c>
      <c r="END1" s="7" t="s">
        <v>4101</v>
      </c>
      <c r="ENE1" s="7" t="s">
        <v>4102</v>
      </c>
      <c r="ENF1" s="7" t="s">
        <v>4103</v>
      </c>
      <c r="ENG1" s="7" t="s">
        <v>4104</v>
      </c>
      <c r="ENH1" s="7" t="s">
        <v>4105</v>
      </c>
      <c r="ENI1" s="7" t="s">
        <v>4106</v>
      </c>
      <c r="ENJ1" s="7" t="s">
        <v>4107</v>
      </c>
      <c r="ENK1" s="7" t="s">
        <v>4108</v>
      </c>
      <c r="ENL1" s="7" t="s">
        <v>4109</v>
      </c>
      <c r="ENM1" s="7" t="s">
        <v>4110</v>
      </c>
      <c r="ENN1" s="7" t="s">
        <v>4111</v>
      </c>
      <c r="ENO1" s="7" t="s">
        <v>4112</v>
      </c>
      <c r="ENP1" s="7" t="s">
        <v>4113</v>
      </c>
      <c r="ENQ1" s="7" t="s">
        <v>4114</v>
      </c>
      <c r="ENR1" s="7" t="s">
        <v>4115</v>
      </c>
      <c r="ENS1" s="7" t="s">
        <v>4116</v>
      </c>
      <c r="ENT1" s="7" t="s">
        <v>4117</v>
      </c>
      <c r="ENU1" s="7" t="s">
        <v>4118</v>
      </c>
      <c r="ENV1" s="7" t="s">
        <v>4119</v>
      </c>
      <c r="ENW1" s="7" t="s">
        <v>4120</v>
      </c>
      <c r="ENX1" s="7" t="s">
        <v>4121</v>
      </c>
      <c r="ENY1" s="7" t="s">
        <v>4122</v>
      </c>
      <c r="ENZ1" s="7" t="s">
        <v>4123</v>
      </c>
      <c r="EOA1" s="7" t="s">
        <v>4124</v>
      </c>
      <c r="EOB1" s="7" t="s">
        <v>4125</v>
      </c>
      <c r="EOC1" s="7" t="s">
        <v>4126</v>
      </c>
      <c r="EOD1" s="7" t="s">
        <v>4127</v>
      </c>
      <c r="EOE1" s="7" t="s">
        <v>4128</v>
      </c>
      <c r="EOF1" s="7" t="s">
        <v>4129</v>
      </c>
      <c r="EOG1" s="7" t="s">
        <v>4130</v>
      </c>
      <c r="EOH1" s="7" t="s">
        <v>4131</v>
      </c>
      <c r="EOI1" s="7" t="s">
        <v>4132</v>
      </c>
      <c r="EOJ1" s="7" t="s">
        <v>4133</v>
      </c>
      <c r="EOK1" s="7" t="s">
        <v>4134</v>
      </c>
      <c r="EOL1" s="7" t="s">
        <v>4135</v>
      </c>
      <c r="EOM1" s="7" t="s">
        <v>4136</v>
      </c>
      <c r="EON1" s="7" t="s">
        <v>4137</v>
      </c>
      <c r="EOO1" s="7" t="s">
        <v>4138</v>
      </c>
      <c r="EOP1" s="7" t="s">
        <v>4139</v>
      </c>
      <c r="EOQ1" s="7" t="s">
        <v>4140</v>
      </c>
      <c r="EOR1" s="7" t="s">
        <v>4141</v>
      </c>
      <c r="EOS1" s="7" t="s">
        <v>4142</v>
      </c>
      <c r="EOT1" s="7" t="s">
        <v>4143</v>
      </c>
      <c r="EOU1" s="7" t="s">
        <v>4144</v>
      </c>
      <c r="EOV1" s="7" t="s">
        <v>4145</v>
      </c>
      <c r="EOW1" s="7" t="s">
        <v>4146</v>
      </c>
      <c r="EOX1" s="7" t="s">
        <v>4147</v>
      </c>
      <c r="EOY1" s="7" t="s">
        <v>4148</v>
      </c>
      <c r="EOZ1" s="7" t="s">
        <v>4149</v>
      </c>
      <c r="EPA1" s="7" t="s">
        <v>4150</v>
      </c>
      <c r="EPB1" s="7" t="s">
        <v>4151</v>
      </c>
      <c r="EPC1" s="7" t="s">
        <v>4152</v>
      </c>
      <c r="EPD1" s="7" t="s">
        <v>4153</v>
      </c>
      <c r="EPE1" s="7" t="s">
        <v>4154</v>
      </c>
      <c r="EPF1" s="7" t="s">
        <v>4155</v>
      </c>
      <c r="EPG1" s="7" t="s">
        <v>4156</v>
      </c>
      <c r="EPH1" s="7" t="s">
        <v>4157</v>
      </c>
      <c r="EPI1" s="7" t="s">
        <v>4158</v>
      </c>
      <c r="EPJ1" s="7" t="s">
        <v>4159</v>
      </c>
      <c r="EPK1" s="7" t="s">
        <v>4160</v>
      </c>
      <c r="EPL1" s="7" t="s">
        <v>4161</v>
      </c>
      <c r="EPM1" s="7" t="s">
        <v>4162</v>
      </c>
      <c r="EPN1" s="7" t="s">
        <v>4163</v>
      </c>
      <c r="EPO1" s="7" t="s">
        <v>4164</v>
      </c>
      <c r="EPP1" s="7" t="s">
        <v>4165</v>
      </c>
      <c r="EPQ1" s="7" t="s">
        <v>4166</v>
      </c>
      <c r="EPR1" s="7" t="s">
        <v>4167</v>
      </c>
      <c r="EPS1" s="7" t="s">
        <v>4168</v>
      </c>
      <c r="EPT1" s="7" t="s">
        <v>4169</v>
      </c>
      <c r="EPU1" s="7" t="s">
        <v>4170</v>
      </c>
      <c r="EPV1" s="7" t="s">
        <v>4171</v>
      </c>
      <c r="EPW1" s="7" t="s">
        <v>4172</v>
      </c>
      <c r="EPX1" s="7" t="s">
        <v>4173</v>
      </c>
      <c r="EPY1" s="7" t="s">
        <v>4174</v>
      </c>
      <c r="EPZ1" s="7" t="s">
        <v>4175</v>
      </c>
      <c r="EQA1" s="7" t="s">
        <v>4176</v>
      </c>
      <c r="EQB1" s="7" t="s">
        <v>4177</v>
      </c>
      <c r="EQC1" s="7" t="s">
        <v>4178</v>
      </c>
      <c r="EQD1" s="7" t="s">
        <v>4179</v>
      </c>
      <c r="EQE1" s="7" t="s">
        <v>4180</v>
      </c>
      <c r="EQF1" s="7" t="s">
        <v>4181</v>
      </c>
      <c r="EQG1" s="7" t="s">
        <v>4182</v>
      </c>
      <c r="EQH1" s="7" t="s">
        <v>4183</v>
      </c>
      <c r="EQI1" s="7" t="s">
        <v>4184</v>
      </c>
      <c r="EQJ1" s="7" t="s">
        <v>4185</v>
      </c>
      <c r="EQK1" s="7" t="s">
        <v>4186</v>
      </c>
      <c r="EQL1" s="7" t="s">
        <v>4187</v>
      </c>
      <c r="EQM1" s="7" t="s">
        <v>4188</v>
      </c>
      <c r="EQN1" s="7" t="s">
        <v>4189</v>
      </c>
      <c r="EQO1" s="7" t="s">
        <v>4190</v>
      </c>
      <c r="EQP1" s="7" t="s">
        <v>4191</v>
      </c>
      <c r="EQQ1" s="7" t="s">
        <v>4192</v>
      </c>
      <c r="EQR1" s="7" t="s">
        <v>4193</v>
      </c>
      <c r="EQS1" s="7" t="s">
        <v>4194</v>
      </c>
      <c r="EQT1" s="7" t="s">
        <v>4195</v>
      </c>
      <c r="EQU1" s="7" t="s">
        <v>4196</v>
      </c>
      <c r="EQV1" s="7" t="s">
        <v>4197</v>
      </c>
      <c r="EQW1" s="7" t="s">
        <v>4198</v>
      </c>
      <c r="EQX1" s="7" t="s">
        <v>4199</v>
      </c>
      <c r="EQY1" s="7" t="s">
        <v>4200</v>
      </c>
      <c r="EQZ1" s="7" t="s">
        <v>4201</v>
      </c>
      <c r="ERA1" s="7" t="s">
        <v>4202</v>
      </c>
      <c r="ERB1" s="7" t="s">
        <v>4203</v>
      </c>
      <c r="ERC1" s="7" t="s">
        <v>4204</v>
      </c>
      <c r="ERD1" s="7" t="s">
        <v>4205</v>
      </c>
      <c r="ERE1" s="7" t="s">
        <v>4206</v>
      </c>
      <c r="ERF1" s="7" t="s">
        <v>4207</v>
      </c>
      <c r="ERG1" s="7" t="s">
        <v>4208</v>
      </c>
      <c r="ERH1" s="7" t="s">
        <v>4209</v>
      </c>
      <c r="ERI1" s="7" t="s">
        <v>4210</v>
      </c>
      <c r="ERJ1" s="7" t="s">
        <v>4211</v>
      </c>
      <c r="ERK1" s="7" t="s">
        <v>4212</v>
      </c>
      <c r="ERL1" s="7" t="s">
        <v>4213</v>
      </c>
      <c r="ERM1" s="7" t="s">
        <v>4214</v>
      </c>
      <c r="ERN1" s="7" t="s">
        <v>4215</v>
      </c>
      <c r="ERO1" s="7" t="s">
        <v>4216</v>
      </c>
      <c r="ERP1" s="7" t="s">
        <v>4217</v>
      </c>
      <c r="ERQ1" s="7" t="s">
        <v>4218</v>
      </c>
      <c r="ERR1" s="7" t="s">
        <v>4219</v>
      </c>
      <c r="ERS1" s="7" t="s">
        <v>4220</v>
      </c>
      <c r="ERT1" s="7" t="s">
        <v>4221</v>
      </c>
      <c r="ERU1" s="7" t="s">
        <v>4222</v>
      </c>
      <c r="ERV1" s="7" t="s">
        <v>4223</v>
      </c>
      <c r="ERW1" s="7" t="s">
        <v>4224</v>
      </c>
      <c r="ERX1" s="7" t="s">
        <v>4225</v>
      </c>
      <c r="ERY1" s="7" t="s">
        <v>4226</v>
      </c>
      <c r="ERZ1" s="7" t="s">
        <v>4227</v>
      </c>
      <c r="ESA1" s="7" t="s">
        <v>4228</v>
      </c>
      <c r="ESB1" s="7" t="s">
        <v>4229</v>
      </c>
      <c r="ESC1" s="7" t="s">
        <v>4230</v>
      </c>
      <c r="ESD1" s="7" t="s">
        <v>4231</v>
      </c>
      <c r="ESE1" s="7" t="s">
        <v>4232</v>
      </c>
      <c r="ESF1" s="7" t="s">
        <v>4233</v>
      </c>
      <c r="ESG1" s="7" t="s">
        <v>4234</v>
      </c>
      <c r="ESH1" s="7" t="s">
        <v>4235</v>
      </c>
      <c r="ESI1" s="7" t="s">
        <v>4236</v>
      </c>
      <c r="ESJ1" s="7" t="s">
        <v>4237</v>
      </c>
      <c r="ESK1" s="7" t="s">
        <v>4238</v>
      </c>
      <c r="ESL1" s="7" t="s">
        <v>4239</v>
      </c>
      <c r="ESM1" s="7" t="s">
        <v>4240</v>
      </c>
      <c r="ESN1" s="7" t="s">
        <v>4241</v>
      </c>
      <c r="ESO1" s="7" t="s">
        <v>4242</v>
      </c>
      <c r="ESP1" s="7" t="s">
        <v>4243</v>
      </c>
      <c r="ESQ1" s="7" t="s">
        <v>4244</v>
      </c>
      <c r="ESR1" s="7" t="s">
        <v>4245</v>
      </c>
      <c r="ESS1" s="7" t="s">
        <v>4246</v>
      </c>
      <c r="EST1" s="7" t="s">
        <v>4247</v>
      </c>
      <c r="ESU1" s="7" t="s">
        <v>4248</v>
      </c>
      <c r="ESV1" s="7" t="s">
        <v>4249</v>
      </c>
      <c r="ESW1" s="7" t="s">
        <v>4250</v>
      </c>
      <c r="ESX1" s="7" t="s">
        <v>4251</v>
      </c>
      <c r="ESY1" s="7" t="s">
        <v>4252</v>
      </c>
      <c r="ESZ1" s="7" t="s">
        <v>4253</v>
      </c>
      <c r="ETA1" s="7" t="s">
        <v>4254</v>
      </c>
      <c r="ETB1" s="7" t="s">
        <v>4255</v>
      </c>
      <c r="ETC1" s="7" t="s">
        <v>4256</v>
      </c>
      <c r="ETD1" s="7" t="s">
        <v>4257</v>
      </c>
      <c r="ETE1" s="7" t="s">
        <v>4258</v>
      </c>
      <c r="ETF1" s="7" t="s">
        <v>4259</v>
      </c>
      <c r="ETG1" s="7" t="s">
        <v>4260</v>
      </c>
      <c r="ETH1" s="7" t="s">
        <v>4261</v>
      </c>
      <c r="ETI1" s="7" t="s">
        <v>4262</v>
      </c>
      <c r="ETJ1" s="7" t="s">
        <v>4263</v>
      </c>
      <c r="ETK1" s="7" t="s">
        <v>4264</v>
      </c>
      <c r="ETL1" s="7" t="s">
        <v>4265</v>
      </c>
      <c r="ETM1" s="7" t="s">
        <v>4266</v>
      </c>
      <c r="ETN1" s="7" t="s">
        <v>4267</v>
      </c>
      <c r="ETO1" s="7" t="s">
        <v>4268</v>
      </c>
      <c r="ETP1" s="7" t="s">
        <v>4269</v>
      </c>
      <c r="ETQ1" s="7" t="s">
        <v>4270</v>
      </c>
      <c r="ETR1" s="7" t="s">
        <v>4271</v>
      </c>
      <c r="ETS1" s="7" t="s">
        <v>4272</v>
      </c>
      <c r="ETT1" s="7" t="s">
        <v>4273</v>
      </c>
      <c r="ETU1" s="7" t="s">
        <v>4274</v>
      </c>
      <c r="ETV1" s="7" t="s">
        <v>4275</v>
      </c>
      <c r="ETW1" s="7" t="s">
        <v>4276</v>
      </c>
      <c r="ETX1" s="7" t="s">
        <v>4277</v>
      </c>
      <c r="ETY1" s="7" t="s">
        <v>4278</v>
      </c>
      <c r="ETZ1" s="7" t="s">
        <v>4279</v>
      </c>
      <c r="EUA1" s="7" t="s">
        <v>4280</v>
      </c>
      <c r="EUB1" s="7" t="s">
        <v>4281</v>
      </c>
      <c r="EUC1" s="7" t="s">
        <v>4282</v>
      </c>
      <c r="EUD1" s="7" t="s">
        <v>4283</v>
      </c>
      <c r="EUE1" s="7" t="s">
        <v>4284</v>
      </c>
      <c r="EUF1" s="7" t="s">
        <v>4285</v>
      </c>
      <c r="EUG1" s="7" t="s">
        <v>4286</v>
      </c>
      <c r="EUH1" s="7" t="s">
        <v>4287</v>
      </c>
      <c r="EUI1" s="7" t="s">
        <v>4288</v>
      </c>
      <c r="EUJ1" s="7" t="s">
        <v>4289</v>
      </c>
      <c r="EUK1" s="7" t="s">
        <v>4290</v>
      </c>
      <c r="EUL1" s="7" t="s">
        <v>4291</v>
      </c>
      <c r="EUM1" s="7" t="s">
        <v>4292</v>
      </c>
      <c r="EUN1" s="7" t="s">
        <v>4293</v>
      </c>
      <c r="EUO1" s="7" t="s">
        <v>4294</v>
      </c>
      <c r="EUP1" s="7" t="s">
        <v>4295</v>
      </c>
      <c r="EUQ1" s="7" t="s">
        <v>4296</v>
      </c>
      <c r="EUR1" s="7" t="s">
        <v>4297</v>
      </c>
      <c r="EUS1" s="7" t="s">
        <v>4298</v>
      </c>
      <c r="EUT1" s="7" t="s">
        <v>4299</v>
      </c>
      <c r="EUU1" s="7" t="s">
        <v>4300</v>
      </c>
      <c r="EUV1" s="7" t="s">
        <v>4301</v>
      </c>
      <c r="EUW1" s="7" t="s">
        <v>4302</v>
      </c>
      <c r="EUX1" s="7" t="s">
        <v>4303</v>
      </c>
      <c r="EUY1" s="7" t="s">
        <v>4304</v>
      </c>
      <c r="EUZ1" s="7" t="s">
        <v>4305</v>
      </c>
      <c r="EVA1" s="7" t="s">
        <v>4306</v>
      </c>
      <c r="EVB1" s="7" t="s">
        <v>4307</v>
      </c>
      <c r="EVC1" s="7" t="s">
        <v>4308</v>
      </c>
      <c r="EVD1" s="7" t="s">
        <v>4309</v>
      </c>
      <c r="EVE1" s="7" t="s">
        <v>4310</v>
      </c>
      <c r="EVF1" s="7" t="s">
        <v>4311</v>
      </c>
      <c r="EVG1" s="7" t="s">
        <v>4312</v>
      </c>
      <c r="EVH1" s="7" t="s">
        <v>4313</v>
      </c>
      <c r="EVI1" s="7" t="s">
        <v>4314</v>
      </c>
      <c r="EVJ1" s="7" t="s">
        <v>4315</v>
      </c>
      <c r="EVK1" s="7" t="s">
        <v>4316</v>
      </c>
      <c r="EVL1" s="7" t="s">
        <v>4317</v>
      </c>
      <c r="EVM1" s="7" t="s">
        <v>4318</v>
      </c>
      <c r="EVN1" s="7" t="s">
        <v>4319</v>
      </c>
      <c r="EVO1" s="7" t="s">
        <v>4320</v>
      </c>
      <c r="EVP1" s="7" t="s">
        <v>4321</v>
      </c>
      <c r="EVQ1" s="7" t="s">
        <v>4322</v>
      </c>
      <c r="EVR1" s="7" t="s">
        <v>4323</v>
      </c>
      <c r="EVS1" s="7" t="s">
        <v>4324</v>
      </c>
      <c r="EVT1" s="7" t="s">
        <v>4325</v>
      </c>
      <c r="EVU1" s="7" t="s">
        <v>4326</v>
      </c>
      <c r="EVV1" s="7" t="s">
        <v>4327</v>
      </c>
      <c r="EVW1" s="7" t="s">
        <v>4328</v>
      </c>
      <c r="EVX1" s="7" t="s">
        <v>4329</v>
      </c>
      <c r="EVY1" s="7" t="s">
        <v>4330</v>
      </c>
      <c r="EVZ1" s="7" t="s">
        <v>4331</v>
      </c>
      <c r="EWA1" s="7" t="s">
        <v>4332</v>
      </c>
      <c r="EWB1" s="7" t="s">
        <v>4333</v>
      </c>
      <c r="EWC1" s="7" t="s">
        <v>4334</v>
      </c>
      <c r="EWD1" s="7" t="s">
        <v>4335</v>
      </c>
      <c r="EWE1" s="7" t="s">
        <v>4336</v>
      </c>
      <c r="EWF1" s="7" t="s">
        <v>4337</v>
      </c>
      <c r="EWG1" s="7" t="s">
        <v>4338</v>
      </c>
      <c r="EWH1" s="7" t="s">
        <v>4339</v>
      </c>
      <c r="EWI1" s="7" t="s">
        <v>4340</v>
      </c>
      <c r="EWJ1" s="7" t="s">
        <v>4341</v>
      </c>
      <c r="EWK1" s="7" t="s">
        <v>4342</v>
      </c>
      <c r="EWL1" s="7" t="s">
        <v>4343</v>
      </c>
      <c r="EWM1" s="7" t="s">
        <v>4344</v>
      </c>
      <c r="EWN1" s="7" t="s">
        <v>4345</v>
      </c>
      <c r="EWO1" s="7" t="s">
        <v>4346</v>
      </c>
      <c r="EWP1" s="7" t="s">
        <v>4347</v>
      </c>
      <c r="EWQ1" s="7" t="s">
        <v>4348</v>
      </c>
      <c r="EWR1" s="7" t="s">
        <v>4349</v>
      </c>
      <c r="EWS1" s="7" t="s">
        <v>4350</v>
      </c>
      <c r="EWT1" s="7" t="s">
        <v>4351</v>
      </c>
      <c r="EWU1" s="7" t="s">
        <v>4352</v>
      </c>
      <c r="EWV1" s="7" t="s">
        <v>4353</v>
      </c>
      <c r="EWW1" s="7" t="s">
        <v>4354</v>
      </c>
      <c r="EWX1" s="7" t="s">
        <v>4355</v>
      </c>
      <c r="EWY1" s="7" t="s">
        <v>4356</v>
      </c>
      <c r="EWZ1" s="7" t="s">
        <v>4357</v>
      </c>
      <c r="EXA1" s="7" t="s">
        <v>4358</v>
      </c>
      <c r="EXB1" s="7" t="s">
        <v>4359</v>
      </c>
      <c r="EXC1" s="7" t="s">
        <v>4360</v>
      </c>
      <c r="EXD1" s="7" t="s">
        <v>4361</v>
      </c>
      <c r="EXE1" s="7" t="s">
        <v>4362</v>
      </c>
      <c r="EXF1" s="7" t="s">
        <v>4363</v>
      </c>
      <c r="EXG1" s="7" t="s">
        <v>4364</v>
      </c>
      <c r="EXH1" s="7" t="s">
        <v>4365</v>
      </c>
      <c r="EXI1" s="7" t="s">
        <v>4366</v>
      </c>
      <c r="EXJ1" s="7" t="s">
        <v>4367</v>
      </c>
      <c r="EXK1" s="7" t="s">
        <v>4368</v>
      </c>
      <c r="EXL1" s="7" t="s">
        <v>4369</v>
      </c>
      <c r="EXM1" s="7" t="s">
        <v>4370</v>
      </c>
      <c r="EXN1" s="7" t="s">
        <v>4371</v>
      </c>
      <c r="EXO1" s="7" t="s">
        <v>4372</v>
      </c>
      <c r="EXP1" s="7" t="s">
        <v>4373</v>
      </c>
      <c r="EXQ1" s="7" t="s">
        <v>4374</v>
      </c>
      <c r="EXR1" s="7" t="s">
        <v>4375</v>
      </c>
      <c r="EXS1" s="7" t="s">
        <v>4376</v>
      </c>
      <c r="EXT1" s="7" t="s">
        <v>4377</v>
      </c>
      <c r="EXU1" s="7" t="s">
        <v>4378</v>
      </c>
      <c r="EXV1" s="7" t="s">
        <v>4379</v>
      </c>
      <c r="EXW1" s="7" t="s">
        <v>4380</v>
      </c>
      <c r="EXX1" s="7" t="s">
        <v>4381</v>
      </c>
      <c r="EXY1" s="7" t="s">
        <v>4382</v>
      </c>
      <c r="EXZ1" s="7" t="s">
        <v>4383</v>
      </c>
      <c r="EYA1" s="7" t="s">
        <v>4384</v>
      </c>
      <c r="EYB1" s="7" t="s">
        <v>4385</v>
      </c>
      <c r="EYC1" s="7" t="s">
        <v>4386</v>
      </c>
      <c r="EYD1" s="7" t="s">
        <v>4387</v>
      </c>
      <c r="EYE1" s="7" t="s">
        <v>4388</v>
      </c>
      <c r="EYF1" s="7" t="s">
        <v>4389</v>
      </c>
      <c r="EYG1" s="7" t="s">
        <v>4390</v>
      </c>
      <c r="EYH1" s="7" t="s">
        <v>4391</v>
      </c>
      <c r="EYI1" s="7" t="s">
        <v>4392</v>
      </c>
      <c r="EYJ1" s="7" t="s">
        <v>4393</v>
      </c>
      <c r="EYK1" s="7" t="s">
        <v>4394</v>
      </c>
      <c r="EYL1" s="7" t="s">
        <v>4395</v>
      </c>
      <c r="EYM1" s="7" t="s">
        <v>4396</v>
      </c>
      <c r="EYN1" s="7" t="s">
        <v>4397</v>
      </c>
      <c r="EYO1" s="7" t="s">
        <v>4398</v>
      </c>
      <c r="EYP1" s="7" t="s">
        <v>4399</v>
      </c>
      <c r="EYQ1" s="7" t="s">
        <v>4400</v>
      </c>
      <c r="EYR1" s="7" t="s">
        <v>4401</v>
      </c>
      <c r="EYS1" s="7" t="s">
        <v>4402</v>
      </c>
      <c r="EYT1" s="7" t="s">
        <v>4403</v>
      </c>
      <c r="EYU1" s="7" t="s">
        <v>4404</v>
      </c>
      <c r="EYV1" s="7" t="s">
        <v>4405</v>
      </c>
      <c r="EYW1" s="7" t="s">
        <v>4406</v>
      </c>
      <c r="EYX1" s="7" t="s">
        <v>4407</v>
      </c>
      <c r="EYY1" s="7" t="s">
        <v>4408</v>
      </c>
      <c r="EYZ1" s="7" t="s">
        <v>4409</v>
      </c>
      <c r="EZA1" s="7" t="s">
        <v>4410</v>
      </c>
      <c r="EZB1" s="7" t="s">
        <v>4411</v>
      </c>
      <c r="EZC1" s="7" t="s">
        <v>4412</v>
      </c>
      <c r="EZD1" s="7" t="s">
        <v>4413</v>
      </c>
      <c r="EZE1" s="7" t="s">
        <v>4414</v>
      </c>
      <c r="EZF1" s="7" t="s">
        <v>4415</v>
      </c>
      <c r="EZG1" s="7" t="s">
        <v>4416</v>
      </c>
      <c r="EZH1" s="7" t="s">
        <v>4417</v>
      </c>
      <c r="EZI1" s="7" t="s">
        <v>4418</v>
      </c>
      <c r="EZJ1" s="7" t="s">
        <v>4419</v>
      </c>
      <c r="EZK1" s="7" t="s">
        <v>4420</v>
      </c>
      <c r="EZL1" s="7" t="s">
        <v>4421</v>
      </c>
      <c r="EZM1" s="7" t="s">
        <v>4422</v>
      </c>
      <c r="EZN1" s="7" t="s">
        <v>4423</v>
      </c>
      <c r="EZO1" s="7" t="s">
        <v>4424</v>
      </c>
      <c r="EZP1" s="7" t="s">
        <v>4425</v>
      </c>
      <c r="EZQ1" s="7" t="s">
        <v>4426</v>
      </c>
      <c r="EZR1" s="7" t="s">
        <v>4427</v>
      </c>
      <c r="EZS1" s="7" t="s">
        <v>4428</v>
      </c>
      <c r="EZT1" s="7" t="s">
        <v>4429</v>
      </c>
      <c r="EZU1" s="7" t="s">
        <v>4430</v>
      </c>
      <c r="EZV1" s="7" t="s">
        <v>4431</v>
      </c>
      <c r="EZW1" s="7" t="s">
        <v>4432</v>
      </c>
      <c r="EZX1" s="7" t="s">
        <v>4433</v>
      </c>
      <c r="EZY1" s="7" t="s">
        <v>4434</v>
      </c>
      <c r="EZZ1" s="7" t="s">
        <v>4435</v>
      </c>
      <c r="FAA1" s="7" t="s">
        <v>4436</v>
      </c>
      <c r="FAB1" s="7" t="s">
        <v>4437</v>
      </c>
      <c r="FAC1" s="7" t="s">
        <v>4438</v>
      </c>
      <c r="FAD1" s="7" t="s">
        <v>4439</v>
      </c>
      <c r="FAE1" s="7" t="s">
        <v>4440</v>
      </c>
      <c r="FAF1" s="7" t="s">
        <v>4441</v>
      </c>
      <c r="FAG1" s="7" t="s">
        <v>4442</v>
      </c>
      <c r="FAH1" s="7" t="s">
        <v>4443</v>
      </c>
      <c r="FAI1" s="7" t="s">
        <v>4444</v>
      </c>
      <c r="FAJ1" s="7" t="s">
        <v>4445</v>
      </c>
      <c r="FAK1" s="7" t="s">
        <v>4446</v>
      </c>
      <c r="FAL1" s="7" t="s">
        <v>4447</v>
      </c>
      <c r="FAM1" s="7" t="s">
        <v>4448</v>
      </c>
      <c r="FAN1" s="7" t="s">
        <v>4449</v>
      </c>
      <c r="FAO1" s="7" t="s">
        <v>4450</v>
      </c>
      <c r="FAP1" s="7" t="s">
        <v>4451</v>
      </c>
      <c r="FAQ1" s="7" t="s">
        <v>4452</v>
      </c>
      <c r="FAR1" s="7" t="s">
        <v>4453</v>
      </c>
      <c r="FAS1" s="7" t="s">
        <v>4454</v>
      </c>
      <c r="FAT1" s="7" t="s">
        <v>4455</v>
      </c>
      <c r="FAU1" s="7" t="s">
        <v>4456</v>
      </c>
      <c r="FAV1" s="7" t="s">
        <v>4457</v>
      </c>
      <c r="FAW1" s="7" t="s">
        <v>4458</v>
      </c>
      <c r="FAX1" s="7" t="s">
        <v>4459</v>
      </c>
      <c r="FAY1" s="7" t="s">
        <v>4460</v>
      </c>
      <c r="FAZ1" s="7" t="s">
        <v>4461</v>
      </c>
      <c r="FBA1" s="7" t="s">
        <v>4462</v>
      </c>
      <c r="FBB1" s="7" t="s">
        <v>4463</v>
      </c>
      <c r="FBC1" s="7" t="s">
        <v>4464</v>
      </c>
      <c r="FBD1" s="7" t="s">
        <v>4465</v>
      </c>
      <c r="FBE1" s="7" t="s">
        <v>4466</v>
      </c>
      <c r="FBF1" s="7" t="s">
        <v>4467</v>
      </c>
      <c r="FBG1" s="7" t="s">
        <v>4468</v>
      </c>
      <c r="FBH1" s="7" t="s">
        <v>4469</v>
      </c>
      <c r="FBI1" s="7" t="s">
        <v>4470</v>
      </c>
      <c r="FBJ1" s="7" t="s">
        <v>4471</v>
      </c>
      <c r="FBK1" s="7" t="s">
        <v>4472</v>
      </c>
      <c r="FBL1" s="7" t="s">
        <v>4473</v>
      </c>
      <c r="FBM1" s="7" t="s">
        <v>4474</v>
      </c>
      <c r="FBN1" s="7" t="s">
        <v>4475</v>
      </c>
      <c r="FBO1" s="7" t="s">
        <v>4476</v>
      </c>
      <c r="FBP1" s="7" t="s">
        <v>4477</v>
      </c>
      <c r="FBQ1" s="7" t="s">
        <v>4478</v>
      </c>
      <c r="FBR1" s="7" t="s">
        <v>4479</v>
      </c>
      <c r="FBS1" s="7" t="s">
        <v>4480</v>
      </c>
      <c r="FBT1" s="7" t="s">
        <v>4481</v>
      </c>
      <c r="FBU1" s="7" t="s">
        <v>4482</v>
      </c>
      <c r="FBV1" s="7" t="s">
        <v>4483</v>
      </c>
      <c r="FBW1" s="7" t="s">
        <v>4484</v>
      </c>
      <c r="FBX1" s="7" t="s">
        <v>4485</v>
      </c>
      <c r="FBY1" s="7" t="s">
        <v>4486</v>
      </c>
      <c r="FBZ1" s="7" t="s">
        <v>4487</v>
      </c>
      <c r="FCA1" s="7" t="s">
        <v>4488</v>
      </c>
      <c r="FCB1" s="7" t="s">
        <v>4489</v>
      </c>
      <c r="FCC1" s="7" t="s">
        <v>4490</v>
      </c>
      <c r="FCD1" s="7" t="s">
        <v>4491</v>
      </c>
      <c r="FCE1" s="7" t="s">
        <v>4492</v>
      </c>
      <c r="FCF1" s="7" t="s">
        <v>4493</v>
      </c>
      <c r="FCG1" s="7" t="s">
        <v>4494</v>
      </c>
      <c r="FCH1" s="7" t="s">
        <v>4495</v>
      </c>
      <c r="FCI1" s="7" t="s">
        <v>4496</v>
      </c>
      <c r="FCJ1" s="7" t="s">
        <v>4497</v>
      </c>
      <c r="FCK1" s="7" t="s">
        <v>4498</v>
      </c>
      <c r="FCL1" s="7" t="s">
        <v>4499</v>
      </c>
      <c r="FCM1" s="7" t="s">
        <v>4500</v>
      </c>
      <c r="FCN1" s="7" t="s">
        <v>4501</v>
      </c>
      <c r="FCO1" s="7" t="s">
        <v>4502</v>
      </c>
      <c r="FCP1" s="7" t="s">
        <v>4503</v>
      </c>
      <c r="FCQ1" s="7" t="s">
        <v>4504</v>
      </c>
      <c r="FCR1" s="7" t="s">
        <v>4505</v>
      </c>
      <c r="FCS1" s="7" t="s">
        <v>4506</v>
      </c>
      <c r="FCT1" s="7" t="s">
        <v>4507</v>
      </c>
      <c r="FCU1" s="7" t="s">
        <v>4508</v>
      </c>
      <c r="FCV1" s="7" t="s">
        <v>4509</v>
      </c>
      <c r="FCW1" s="7" t="s">
        <v>4510</v>
      </c>
      <c r="FCX1" s="7" t="s">
        <v>4511</v>
      </c>
      <c r="FCY1" s="7" t="s">
        <v>4512</v>
      </c>
      <c r="FCZ1" s="7" t="s">
        <v>4513</v>
      </c>
      <c r="FDA1" s="7" t="s">
        <v>4514</v>
      </c>
      <c r="FDB1" s="7" t="s">
        <v>4515</v>
      </c>
      <c r="FDC1" s="7" t="s">
        <v>4516</v>
      </c>
      <c r="FDD1" s="7" t="s">
        <v>4517</v>
      </c>
      <c r="FDE1" s="7" t="s">
        <v>4518</v>
      </c>
      <c r="FDF1" s="7" t="s">
        <v>4519</v>
      </c>
      <c r="FDG1" s="7" t="s">
        <v>4520</v>
      </c>
      <c r="FDH1" s="7" t="s">
        <v>4521</v>
      </c>
      <c r="FDI1" s="7" t="s">
        <v>4522</v>
      </c>
      <c r="FDJ1" s="7" t="s">
        <v>4523</v>
      </c>
      <c r="FDK1" s="7" t="s">
        <v>4524</v>
      </c>
      <c r="FDL1" s="7" t="s">
        <v>4525</v>
      </c>
      <c r="FDM1" s="7" t="s">
        <v>4526</v>
      </c>
      <c r="FDN1" s="7" t="s">
        <v>4527</v>
      </c>
      <c r="FDO1" s="7" t="s">
        <v>4528</v>
      </c>
      <c r="FDP1" s="7" t="s">
        <v>4529</v>
      </c>
      <c r="FDQ1" s="7" t="s">
        <v>4530</v>
      </c>
      <c r="FDR1" s="7" t="s">
        <v>4531</v>
      </c>
      <c r="FDS1" s="7" t="s">
        <v>4532</v>
      </c>
      <c r="FDT1" s="7" t="s">
        <v>4533</v>
      </c>
      <c r="FDU1" s="7" t="s">
        <v>4534</v>
      </c>
      <c r="FDV1" s="7" t="s">
        <v>4535</v>
      </c>
      <c r="FDW1" s="7" t="s">
        <v>4536</v>
      </c>
      <c r="FDX1" s="7" t="s">
        <v>4537</v>
      </c>
      <c r="FDY1" s="7" t="s">
        <v>4538</v>
      </c>
      <c r="FDZ1" s="7" t="s">
        <v>4539</v>
      </c>
      <c r="FEA1" s="7" t="s">
        <v>4540</v>
      </c>
      <c r="FEB1" s="7" t="s">
        <v>4541</v>
      </c>
      <c r="FEC1" s="7" t="s">
        <v>4542</v>
      </c>
      <c r="FED1" s="7" t="s">
        <v>4543</v>
      </c>
      <c r="FEE1" s="7" t="s">
        <v>4544</v>
      </c>
      <c r="FEF1" s="7" t="s">
        <v>4545</v>
      </c>
      <c r="FEG1" s="7" t="s">
        <v>4546</v>
      </c>
      <c r="FEH1" s="7" t="s">
        <v>4547</v>
      </c>
      <c r="FEI1" s="7" t="s">
        <v>4548</v>
      </c>
      <c r="FEJ1" s="7" t="s">
        <v>4549</v>
      </c>
      <c r="FEK1" s="7" t="s">
        <v>4550</v>
      </c>
      <c r="FEL1" s="7" t="s">
        <v>4551</v>
      </c>
      <c r="FEM1" s="7" t="s">
        <v>4552</v>
      </c>
      <c r="FEN1" s="7" t="s">
        <v>4553</v>
      </c>
      <c r="FEO1" s="7" t="s">
        <v>4554</v>
      </c>
      <c r="FEP1" s="7" t="s">
        <v>4555</v>
      </c>
      <c r="FEQ1" s="7" t="s">
        <v>4556</v>
      </c>
      <c r="FER1" s="7" t="s">
        <v>4557</v>
      </c>
      <c r="FES1" s="7" t="s">
        <v>4558</v>
      </c>
      <c r="FET1" s="7" t="s">
        <v>4559</v>
      </c>
      <c r="FEU1" s="7" t="s">
        <v>4560</v>
      </c>
      <c r="FEV1" s="7" t="s">
        <v>4561</v>
      </c>
      <c r="FEW1" s="7" t="s">
        <v>4562</v>
      </c>
      <c r="FEX1" s="7" t="s">
        <v>4563</v>
      </c>
      <c r="FEY1" s="7" t="s">
        <v>4564</v>
      </c>
      <c r="FEZ1" s="7" t="s">
        <v>4565</v>
      </c>
      <c r="FFA1" s="7" t="s">
        <v>4566</v>
      </c>
      <c r="FFB1" s="7" t="s">
        <v>4567</v>
      </c>
      <c r="FFC1" s="7" t="s">
        <v>4568</v>
      </c>
      <c r="FFD1" s="7" t="s">
        <v>4569</v>
      </c>
      <c r="FFE1" s="7" t="s">
        <v>4570</v>
      </c>
      <c r="FFF1" s="7" t="s">
        <v>4571</v>
      </c>
      <c r="FFG1" s="7" t="s">
        <v>4572</v>
      </c>
      <c r="FFH1" s="7" t="s">
        <v>4573</v>
      </c>
      <c r="FFI1" s="7" t="s">
        <v>4574</v>
      </c>
      <c r="FFJ1" s="7" t="s">
        <v>4575</v>
      </c>
      <c r="FFK1" s="7" t="s">
        <v>4576</v>
      </c>
      <c r="FFL1" s="7" t="s">
        <v>4577</v>
      </c>
      <c r="FFM1" s="7" t="s">
        <v>4578</v>
      </c>
      <c r="FFN1" s="7" t="s">
        <v>4579</v>
      </c>
      <c r="FFO1" s="7" t="s">
        <v>4580</v>
      </c>
      <c r="FFP1" s="7" t="s">
        <v>4581</v>
      </c>
      <c r="FFQ1" s="7" t="s">
        <v>4582</v>
      </c>
      <c r="FFR1" s="7" t="s">
        <v>4583</v>
      </c>
      <c r="FFS1" s="7" t="s">
        <v>4584</v>
      </c>
      <c r="FFT1" s="7" t="s">
        <v>4585</v>
      </c>
      <c r="FFU1" s="7" t="s">
        <v>4586</v>
      </c>
      <c r="FFV1" s="7" t="s">
        <v>4587</v>
      </c>
      <c r="FFW1" s="7" t="s">
        <v>4588</v>
      </c>
      <c r="FFX1" s="7" t="s">
        <v>4589</v>
      </c>
      <c r="FFY1" s="7" t="s">
        <v>4590</v>
      </c>
      <c r="FFZ1" s="7" t="s">
        <v>4591</v>
      </c>
      <c r="FGA1" s="7" t="s">
        <v>4592</v>
      </c>
      <c r="FGB1" s="7" t="s">
        <v>4593</v>
      </c>
      <c r="FGC1" s="7" t="s">
        <v>4594</v>
      </c>
      <c r="FGD1" s="7" t="s">
        <v>4595</v>
      </c>
      <c r="FGE1" s="7" t="s">
        <v>4596</v>
      </c>
      <c r="FGF1" s="7" t="s">
        <v>4597</v>
      </c>
      <c r="FGG1" s="7" t="s">
        <v>4598</v>
      </c>
      <c r="FGH1" s="7" t="s">
        <v>4599</v>
      </c>
      <c r="FGI1" s="7" t="s">
        <v>4600</v>
      </c>
      <c r="FGJ1" s="7" t="s">
        <v>4601</v>
      </c>
      <c r="FGK1" s="7" t="s">
        <v>4602</v>
      </c>
      <c r="FGL1" s="7" t="s">
        <v>4603</v>
      </c>
      <c r="FGM1" s="7" t="s">
        <v>4604</v>
      </c>
      <c r="FGN1" s="7" t="s">
        <v>4605</v>
      </c>
      <c r="FGO1" s="7" t="s">
        <v>4606</v>
      </c>
      <c r="FGP1" s="7" t="s">
        <v>4607</v>
      </c>
      <c r="FGQ1" s="7" t="s">
        <v>4608</v>
      </c>
      <c r="FGR1" s="7" t="s">
        <v>4609</v>
      </c>
      <c r="FGS1" s="7" t="s">
        <v>4610</v>
      </c>
      <c r="FGT1" s="7" t="s">
        <v>4611</v>
      </c>
      <c r="FGU1" s="7" t="s">
        <v>4612</v>
      </c>
      <c r="FGV1" s="7" t="s">
        <v>4613</v>
      </c>
      <c r="FGW1" s="7" t="s">
        <v>4614</v>
      </c>
      <c r="FGX1" s="7" t="s">
        <v>4615</v>
      </c>
      <c r="FGY1" s="7" t="s">
        <v>4616</v>
      </c>
      <c r="FGZ1" s="7" t="s">
        <v>4617</v>
      </c>
      <c r="FHA1" s="7" t="s">
        <v>4618</v>
      </c>
      <c r="FHB1" s="7" t="s">
        <v>4619</v>
      </c>
      <c r="FHC1" s="7" t="s">
        <v>4620</v>
      </c>
      <c r="FHD1" s="7" t="s">
        <v>4621</v>
      </c>
      <c r="FHE1" s="7" t="s">
        <v>4622</v>
      </c>
      <c r="FHF1" s="7" t="s">
        <v>4623</v>
      </c>
      <c r="FHG1" s="7" t="s">
        <v>4624</v>
      </c>
      <c r="FHH1" s="7" t="s">
        <v>4625</v>
      </c>
      <c r="FHI1" s="7" t="s">
        <v>4626</v>
      </c>
      <c r="FHJ1" s="7" t="s">
        <v>4627</v>
      </c>
      <c r="FHK1" s="7" t="s">
        <v>4628</v>
      </c>
      <c r="FHL1" s="7" t="s">
        <v>4629</v>
      </c>
      <c r="FHM1" s="7" t="s">
        <v>4630</v>
      </c>
      <c r="FHN1" s="7" t="s">
        <v>4631</v>
      </c>
      <c r="FHO1" s="7" t="s">
        <v>4632</v>
      </c>
      <c r="FHP1" s="7" t="s">
        <v>4633</v>
      </c>
      <c r="FHQ1" s="7" t="s">
        <v>4634</v>
      </c>
      <c r="FHR1" s="7" t="s">
        <v>4635</v>
      </c>
      <c r="FHS1" s="7" t="s">
        <v>4636</v>
      </c>
      <c r="FHT1" s="7" t="s">
        <v>4637</v>
      </c>
      <c r="FHU1" s="7" t="s">
        <v>4638</v>
      </c>
      <c r="FHV1" s="7" t="s">
        <v>4639</v>
      </c>
      <c r="FHW1" s="7" t="s">
        <v>4640</v>
      </c>
      <c r="FHX1" s="7" t="s">
        <v>4641</v>
      </c>
      <c r="FHY1" s="7" t="s">
        <v>4642</v>
      </c>
      <c r="FHZ1" s="7" t="s">
        <v>4643</v>
      </c>
      <c r="FIA1" s="7" t="s">
        <v>4644</v>
      </c>
      <c r="FIB1" s="7" t="s">
        <v>4645</v>
      </c>
      <c r="FIC1" s="7" t="s">
        <v>4646</v>
      </c>
      <c r="FID1" s="7" t="s">
        <v>4647</v>
      </c>
      <c r="FIE1" s="7" t="s">
        <v>4648</v>
      </c>
      <c r="FIF1" s="7" t="s">
        <v>4649</v>
      </c>
      <c r="FIG1" s="7" t="s">
        <v>4650</v>
      </c>
      <c r="FIH1" s="7" t="s">
        <v>4651</v>
      </c>
      <c r="FII1" s="7" t="s">
        <v>4652</v>
      </c>
      <c r="FIJ1" s="7" t="s">
        <v>4653</v>
      </c>
      <c r="FIK1" s="7" t="s">
        <v>4654</v>
      </c>
      <c r="FIL1" s="7" t="s">
        <v>4655</v>
      </c>
      <c r="FIM1" s="7" t="s">
        <v>4656</v>
      </c>
      <c r="FIN1" s="7" t="s">
        <v>4657</v>
      </c>
      <c r="FIO1" s="7" t="s">
        <v>4658</v>
      </c>
      <c r="FIP1" s="7" t="s">
        <v>4659</v>
      </c>
      <c r="FIQ1" s="7" t="s">
        <v>4660</v>
      </c>
      <c r="FIR1" s="7" t="s">
        <v>4661</v>
      </c>
      <c r="FIS1" s="7" t="s">
        <v>4662</v>
      </c>
      <c r="FIT1" s="7" t="s">
        <v>4663</v>
      </c>
      <c r="FIU1" s="7" t="s">
        <v>4664</v>
      </c>
      <c r="FIV1" s="7" t="s">
        <v>4665</v>
      </c>
      <c r="FIW1" s="7" t="s">
        <v>4666</v>
      </c>
      <c r="FIX1" s="7" t="s">
        <v>4667</v>
      </c>
      <c r="FIY1" s="7" t="s">
        <v>4668</v>
      </c>
      <c r="FIZ1" s="7" t="s">
        <v>4669</v>
      </c>
      <c r="FJA1" s="7" t="s">
        <v>4670</v>
      </c>
      <c r="FJB1" s="7" t="s">
        <v>4671</v>
      </c>
      <c r="FJC1" s="7" t="s">
        <v>4672</v>
      </c>
      <c r="FJD1" s="7" t="s">
        <v>4673</v>
      </c>
      <c r="FJE1" s="7" t="s">
        <v>4674</v>
      </c>
      <c r="FJF1" s="7" t="s">
        <v>4675</v>
      </c>
      <c r="FJG1" s="7" t="s">
        <v>4676</v>
      </c>
      <c r="FJH1" s="7" t="s">
        <v>4677</v>
      </c>
      <c r="FJI1" s="7" t="s">
        <v>4678</v>
      </c>
      <c r="FJJ1" s="7" t="s">
        <v>4679</v>
      </c>
      <c r="FJK1" s="7" t="s">
        <v>4680</v>
      </c>
      <c r="FJL1" s="7" t="s">
        <v>4681</v>
      </c>
      <c r="FJM1" s="7" t="s">
        <v>4682</v>
      </c>
      <c r="FJN1" s="7" t="s">
        <v>4683</v>
      </c>
      <c r="FJO1" s="7" t="s">
        <v>4684</v>
      </c>
      <c r="FJP1" s="7" t="s">
        <v>4685</v>
      </c>
      <c r="FJQ1" s="7" t="s">
        <v>4686</v>
      </c>
      <c r="FJR1" s="7" t="s">
        <v>4687</v>
      </c>
      <c r="FJS1" s="7" t="s">
        <v>4688</v>
      </c>
      <c r="FJT1" s="7" t="s">
        <v>4689</v>
      </c>
      <c r="FJU1" s="7" t="s">
        <v>4690</v>
      </c>
      <c r="FJV1" s="7" t="s">
        <v>4691</v>
      </c>
      <c r="FJW1" s="7" t="s">
        <v>4692</v>
      </c>
      <c r="FJX1" s="7" t="s">
        <v>4693</v>
      </c>
      <c r="FJY1" s="7" t="s">
        <v>4694</v>
      </c>
      <c r="FJZ1" s="7" t="s">
        <v>4695</v>
      </c>
      <c r="FKA1" s="7" t="s">
        <v>4696</v>
      </c>
      <c r="FKB1" s="7" t="s">
        <v>4697</v>
      </c>
      <c r="FKC1" s="7" t="s">
        <v>4698</v>
      </c>
      <c r="FKD1" s="7" t="s">
        <v>4699</v>
      </c>
      <c r="FKE1" s="7" t="s">
        <v>4700</v>
      </c>
      <c r="FKF1" s="7" t="s">
        <v>4701</v>
      </c>
      <c r="FKG1" s="7" t="s">
        <v>4702</v>
      </c>
      <c r="FKH1" s="7" t="s">
        <v>4703</v>
      </c>
      <c r="FKI1" s="7" t="s">
        <v>4704</v>
      </c>
      <c r="FKJ1" s="7" t="s">
        <v>4705</v>
      </c>
      <c r="FKK1" s="7" t="s">
        <v>4706</v>
      </c>
      <c r="FKL1" s="7" t="s">
        <v>4707</v>
      </c>
      <c r="FKM1" s="7" t="s">
        <v>4708</v>
      </c>
      <c r="FKN1" s="7" t="s">
        <v>4709</v>
      </c>
      <c r="FKO1" s="7" t="s">
        <v>4710</v>
      </c>
      <c r="FKP1" s="7" t="s">
        <v>4711</v>
      </c>
      <c r="FKQ1" s="7" t="s">
        <v>4712</v>
      </c>
      <c r="FKR1" s="7" t="s">
        <v>4713</v>
      </c>
      <c r="FKS1" s="7" t="s">
        <v>4714</v>
      </c>
      <c r="FKT1" s="7" t="s">
        <v>4715</v>
      </c>
      <c r="FKU1" s="7" t="s">
        <v>4716</v>
      </c>
      <c r="FKV1" s="7" t="s">
        <v>4717</v>
      </c>
      <c r="FKW1" s="7" t="s">
        <v>4718</v>
      </c>
      <c r="FKX1" s="7" t="s">
        <v>4719</v>
      </c>
      <c r="FKY1" s="7" t="s">
        <v>4720</v>
      </c>
      <c r="FKZ1" s="7" t="s">
        <v>4721</v>
      </c>
      <c r="FLA1" s="7" t="s">
        <v>4722</v>
      </c>
      <c r="FLB1" s="7" t="s">
        <v>4723</v>
      </c>
      <c r="FLC1" s="7" t="s">
        <v>4724</v>
      </c>
      <c r="FLD1" s="7" t="s">
        <v>4725</v>
      </c>
      <c r="FLE1" s="7" t="s">
        <v>4726</v>
      </c>
      <c r="FLF1" s="7" t="s">
        <v>4727</v>
      </c>
      <c r="FLG1" s="7" t="s">
        <v>4728</v>
      </c>
      <c r="FLH1" s="7" t="s">
        <v>4729</v>
      </c>
      <c r="FLI1" s="7" t="s">
        <v>4730</v>
      </c>
      <c r="FLJ1" s="7" t="s">
        <v>4731</v>
      </c>
      <c r="FLK1" s="7" t="s">
        <v>4732</v>
      </c>
      <c r="FLL1" s="7" t="s">
        <v>4733</v>
      </c>
      <c r="FLM1" s="7" t="s">
        <v>4734</v>
      </c>
      <c r="FLN1" s="7" t="s">
        <v>4735</v>
      </c>
      <c r="FLO1" s="7" t="s">
        <v>4736</v>
      </c>
      <c r="FLP1" s="7" t="s">
        <v>4737</v>
      </c>
      <c r="FLQ1" s="7" t="s">
        <v>4738</v>
      </c>
      <c r="FLR1" s="7" t="s">
        <v>4739</v>
      </c>
      <c r="FLS1" s="7" t="s">
        <v>4740</v>
      </c>
      <c r="FLT1" s="7" t="s">
        <v>4741</v>
      </c>
      <c r="FLU1" s="7" t="s">
        <v>4742</v>
      </c>
      <c r="FLV1" s="7" t="s">
        <v>4743</v>
      </c>
      <c r="FLW1" s="7" t="s">
        <v>4744</v>
      </c>
      <c r="FLX1" s="7" t="s">
        <v>4745</v>
      </c>
      <c r="FLY1" s="7" t="s">
        <v>4746</v>
      </c>
      <c r="FLZ1" s="7" t="s">
        <v>4747</v>
      </c>
      <c r="FMA1" s="7" t="s">
        <v>4748</v>
      </c>
      <c r="FMB1" s="7" t="s">
        <v>4749</v>
      </c>
      <c r="FMC1" s="7" t="s">
        <v>4750</v>
      </c>
      <c r="FMD1" s="7" t="s">
        <v>4751</v>
      </c>
      <c r="FME1" s="7" t="s">
        <v>4752</v>
      </c>
      <c r="FMF1" s="7" t="s">
        <v>4753</v>
      </c>
      <c r="FMG1" s="7" t="s">
        <v>4754</v>
      </c>
      <c r="FMH1" s="7" t="s">
        <v>4755</v>
      </c>
      <c r="FMI1" s="7" t="s">
        <v>4756</v>
      </c>
      <c r="FMJ1" s="7" t="s">
        <v>4757</v>
      </c>
      <c r="FMK1" s="7" t="s">
        <v>4758</v>
      </c>
      <c r="FML1" s="7" t="s">
        <v>4759</v>
      </c>
      <c r="FMM1" s="7" t="s">
        <v>4760</v>
      </c>
      <c r="FMN1" s="7" t="s">
        <v>4761</v>
      </c>
      <c r="FMO1" s="7" t="s">
        <v>4762</v>
      </c>
      <c r="FMP1" s="7" t="s">
        <v>4763</v>
      </c>
      <c r="FMQ1" s="7" t="s">
        <v>4764</v>
      </c>
      <c r="FMR1" s="7" t="s">
        <v>4765</v>
      </c>
      <c r="FMS1" s="7" t="s">
        <v>4766</v>
      </c>
      <c r="FMT1" s="7" t="s">
        <v>4767</v>
      </c>
      <c r="FMU1" s="7" t="s">
        <v>4768</v>
      </c>
      <c r="FMV1" s="7" t="s">
        <v>4769</v>
      </c>
      <c r="FMW1" s="7" t="s">
        <v>4770</v>
      </c>
      <c r="FMX1" s="7" t="s">
        <v>4771</v>
      </c>
      <c r="FMY1" s="7" t="s">
        <v>4772</v>
      </c>
      <c r="FMZ1" s="7" t="s">
        <v>4773</v>
      </c>
      <c r="FNA1" s="7" t="s">
        <v>4774</v>
      </c>
      <c r="FNB1" s="7" t="s">
        <v>4775</v>
      </c>
      <c r="FNC1" s="7" t="s">
        <v>4776</v>
      </c>
      <c r="FND1" s="7" t="s">
        <v>4777</v>
      </c>
      <c r="FNE1" s="7" t="s">
        <v>4778</v>
      </c>
      <c r="FNF1" s="7" t="s">
        <v>4779</v>
      </c>
      <c r="FNG1" s="7" t="s">
        <v>4780</v>
      </c>
      <c r="FNH1" s="7" t="s">
        <v>4781</v>
      </c>
      <c r="FNI1" s="7" t="s">
        <v>4782</v>
      </c>
      <c r="FNJ1" s="7" t="s">
        <v>4783</v>
      </c>
      <c r="FNK1" s="7" t="s">
        <v>4784</v>
      </c>
      <c r="FNL1" s="7" t="s">
        <v>4785</v>
      </c>
      <c r="FNM1" s="7" t="s">
        <v>4786</v>
      </c>
      <c r="FNN1" s="7" t="s">
        <v>4787</v>
      </c>
      <c r="FNO1" s="7" t="s">
        <v>4788</v>
      </c>
      <c r="FNP1" s="7" t="s">
        <v>4789</v>
      </c>
      <c r="FNQ1" s="7" t="s">
        <v>4790</v>
      </c>
      <c r="FNR1" s="7" t="s">
        <v>4791</v>
      </c>
      <c r="FNS1" s="7" t="s">
        <v>4792</v>
      </c>
      <c r="FNT1" s="7" t="s">
        <v>4793</v>
      </c>
      <c r="FNU1" s="7" t="s">
        <v>4794</v>
      </c>
      <c r="FNV1" s="7" t="s">
        <v>4795</v>
      </c>
      <c r="FNW1" s="7" t="s">
        <v>4796</v>
      </c>
      <c r="FNX1" s="7" t="s">
        <v>4797</v>
      </c>
      <c r="FNY1" s="7" t="s">
        <v>4798</v>
      </c>
      <c r="FNZ1" s="7" t="s">
        <v>4799</v>
      </c>
      <c r="FOA1" s="7" t="s">
        <v>4800</v>
      </c>
      <c r="FOB1" s="7" t="s">
        <v>4801</v>
      </c>
      <c r="FOC1" s="7" t="s">
        <v>4802</v>
      </c>
      <c r="FOD1" s="7" t="s">
        <v>4803</v>
      </c>
      <c r="FOE1" s="7" t="s">
        <v>4804</v>
      </c>
      <c r="FOF1" s="7" t="s">
        <v>4805</v>
      </c>
      <c r="FOG1" s="7" t="s">
        <v>4806</v>
      </c>
      <c r="FOH1" s="7" t="s">
        <v>4807</v>
      </c>
      <c r="FOI1" s="7" t="s">
        <v>4808</v>
      </c>
      <c r="FOJ1" s="7" t="s">
        <v>4809</v>
      </c>
      <c r="FOK1" s="7" t="s">
        <v>4810</v>
      </c>
      <c r="FOL1" s="7" t="s">
        <v>4811</v>
      </c>
      <c r="FOM1" s="7" t="s">
        <v>4812</v>
      </c>
      <c r="FON1" s="7" t="s">
        <v>4813</v>
      </c>
      <c r="FOO1" s="7" t="s">
        <v>4814</v>
      </c>
      <c r="FOP1" s="7" t="s">
        <v>4815</v>
      </c>
      <c r="FOQ1" s="7" t="s">
        <v>4816</v>
      </c>
      <c r="FOR1" s="7" t="s">
        <v>4817</v>
      </c>
      <c r="FOS1" s="7" t="s">
        <v>4818</v>
      </c>
      <c r="FOT1" s="7" t="s">
        <v>4819</v>
      </c>
      <c r="FOU1" s="7" t="s">
        <v>4820</v>
      </c>
      <c r="FOV1" s="7" t="s">
        <v>4821</v>
      </c>
      <c r="FOW1" s="7" t="s">
        <v>4822</v>
      </c>
      <c r="FOX1" s="7" t="s">
        <v>4823</v>
      </c>
      <c r="FOY1" s="7" t="s">
        <v>4824</v>
      </c>
      <c r="FOZ1" s="7" t="s">
        <v>4825</v>
      </c>
      <c r="FPA1" s="7" t="s">
        <v>4826</v>
      </c>
      <c r="FPB1" s="7" t="s">
        <v>4827</v>
      </c>
      <c r="FPC1" s="7" t="s">
        <v>4828</v>
      </c>
      <c r="FPD1" s="7" t="s">
        <v>4829</v>
      </c>
      <c r="FPE1" s="7" t="s">
        <v>4830</v>
      </c>
      <c r="FPF1" s="7" t="s">
        <v>4831</v>
      </c>
      <c r="FPG1" s="7" t="s">
        <v>4832</v>
      </c>
      <c r="FPH1" s="7" t="s">
        <v>4833</v>
      </c>
      <c r="FPI1" s="7" t="s">
        <v>4834</v>
      </c>
      <c r="FPJ1" s="7" t="s">
        <v>4835</v>
      </c>
      <c r="FPK1" s="7" t="s">
        <v>4836</v>
      </c>
      <c r="FPL1" s="7" t="s">
        <v>4837</v>
      </c>
      <c r="FPM1" s="7" t="s">
        <v>4838</v>
      </c>
      <c r="FPN1" s="7" t="s">
        <v>4839</v>
      </c>
      <c r="FPO1" s="7" t="s">
        <v>4840</v>
      </c>
      <c r="FPP1" s="7" t="s">
        <v>4841</v>
      </c>
      <c r="FPQ1" s="7" t="s">
        <v>4842</v>
      </c>
      <c r="FPR1" s="7" t="s">
        <v>4843</v>
      </c>
      <c r="FPS1" s="7" t="s">
        <v>4844</v>
      </c>
      <c r="FPT1" s="7" t="s">
        <v>4845</v>
      </c>
      <c r="FPU1" s="7" t="s">
        <v>4846</v>
      </c>
      <c r="FPV1" s="7" t="s">
        <v>4847</v>
      </c>
      <c r="FPW1" s="7" t="s">
        <v>4848</v>
      </c>
      <c r="FPX1" s="7" t="s">
        <v>4849</v>
      </c>
      <c r="FPY1" s="7" t="s">
        <v>4850</v>
      </c>
      <c r="FPZ1" s="7" t="s">
        <v>4851</v>
      </c>
      <c r="FQA1" s="7" t="s">
        <v>4852</v>
      </c>
      <c r="FQB1" s="7" t="s">
        <v>4853</v>
      </c>
      <c r="FQC1" s="7" t="s">
        <v>4854</v>
      </c>
      <c r="FQD1" s="7" t="s">
        <v>4855</v>
      </c>
      <c r="FQE1" s="7" t="s">
        <v>4856</v>
      </c>
      <c r="FQF1" s="7" t="s">
        <v>4857</v>
      </c>
      <c r="FQG1" s="7" t="s">
        <v>4858</v>
      </c>
      <c r="FQH1" s="7" t="s">
        <v>4859</v>
      </c>
      <c r="FQI1" s="7" t="s">
        <v>4860</v>
      </c>
      <c r="FQJ1" s="7" t="s">
        <v>4861</v>
      </c>
      <c r="FQK1" s="7" t="s">
        <v>4862</v>
      </c>
      <c r="FQL1" s="7" t="s">
        <v>4863</v>
      </c>
      <c r="FQM1" s="7" t="s">
        <v>4864</v>
      </c>
      <c r="FQN1" s="7" t="s">
        <v>4865</v>
      </c>
      <c r="FQO1" s="7" t="s">
        <v>4866</v>
      </c>
      <c r="FQP1" s="7" t="s">
        <v>4867</v>
      </c>
      <c r="FQQ1" s="7" t="s">
        <v>4868</v>
      </c>
      <c r="FQR1" s="7" t="s">
        <v>4869</v>
      </c>
      <c r="FQS1" s="7" t="s">
        <v>4870</v>
      </c>
      <c r="FQT1" s="7" t="s">
        <v>4871</v>
      </c>
      <c r="FQU1" s="7" t="s">
        <v>4872</v>
      </c>
      <c r="FQV1" s="7" t="s">
        <v>4873</v>
      </c>
      <c r="FQW1" s="7" t="s">
        <v>4874</v>
      </c>
      <c r="FQX1" s="7" t="s">
        <v>4875</v>
      </c>
      <c r="FQY1" s="7" t="s">
        <v>4876</v>
      </c>
      <c r="FQZ1" s="7" t="s">
        <v>4877</v>
      </c>
      <c r="FRA1" s="7" t="s">
        <v>4878</v>
      </c>
      <c r="FRB1" s="7" t="s">
        <v>4879</v>
      </c>
      <c r="FRC1" s="7" t="s">
        <v>4880</v>
      </c>
      <c r="FRD1" s="7" t="s">
        <v>4881</v>
      </c>
      <c r="FRE1" s="7" t="s">
        <v>4882</v>
      </c>
      <c r="FRF1" s="7" t="s">
        <v>4883</v>
      </c>
      <c r="FRG1" s="7" t="s">
        <v>4884</v>
      </c>
      <c r="FRH1" s="7" t="s">
        <v>4885</v>
      </c>
      <c r="FRI1" s="7" t="s">
        <v>4886</v>
      </c>
      <c r="FRJ1" s="7" t="s">
        <v>4887</v>
      </c>
      <c r="FRK1" s="7" t="s">
        <v>4888</v>
      </c>
      <c r="FRL1" s="7" t="s">
        <v>4889</v>
      </c>
      <c r="FRM1" s="7" t="s">
        <v>4890</v>
      </c>
      <c r="FRN1" s="7" t="s">
        <v>4891</v>
      </c>
      <c r="FRO1" s="7" t="s">
        <v>4892</v>
      </c>
      <c r="FRP1" s="7" t="s">
        <v>4893</v>
      </c>
      <c r="FRQ1" s="7" t="s">
        <v>4894</v>
      </c>
      <c r="FRR1" s="7" t="s">
        <v>4895</v>
      </c>
      <c r="FRS1" s="7" t="s">
        <v>4896</v>
      </c>
      <c r="FRT1" s="7" t="s">
        <v>4897</v>
      </c>
      <c r="FRU1" s="7" t="s">
        <v>4898</v>
      </c>
      <c r="FRV1" s="7" t="s">
        <v>4899</v>
      </c>
      <c r="FRW1" s="7" t="s">
        <v>4900</v>
      </c>
      <c r="FRX1" s="7" t="s">
        <v>4901</v>
      </c>
      <c r="FRY1" s="7" t="s">
        <v>4902</v>
      </c>
      <c r="FRZ1" s="7" t="s">
        <v>4903</v>
      </c>
      <c r="FSA1" s="7" t="s">
        <v>4904</v>
      </c>
      <c r="FSB1" s="7" t="s">
        <v>4905</v>
      </c>
      <c r="FSC1" s="7" t="s">
        <v>4906</v>
      </c>
      <c r="FSD1" s="7" t="s">
        <v>4907</v>
      </c>
      <c r="FSE1" s="7" t="s">
        <v>4908</v>
      </c>
      <c r="FSF1" s="7" t="s">
        <v>4909</v>
      </c>
      <c r="FSG1" s="7" t="s">
        <v>4910</v>
      </c>
      <c r="FSH1" s="7" t="s">
        <v>4911</v>
      </c>
      <c r="FSI1" s="7" t="s">
        <v>4912</v>
      </c>
      <c r="FSJ1" s="7" t="s">
        <v>4913</v>
      </c>
      <c r="FSK1" s="7" t="s">
        <v>4914</v>
      </c>
      <c r="FSL1" s="7" t="s">
        <v>4915</v>
      </c>
      <c r="FSM1" s="7" t="s">
        <v>4916</v>
      </c>
      <c r="FSN1" s="7" t="s">
        <v>4917</v>
      </c>
      <c r="FSO1" s="7" t="s">
        <v>4918</v>
      </c>
      <c r="FSP1" s="7" t="s">
        <v>4919</v>
      </c>
      <c r="FSQ1" s="7" t="s">
        <v>4920</v>
      </c>
      <c r="FSR1" s="7" t="s">
        <v>4921</v>
      </c>
      <c r="FSS1" s="7" t="s">
        <v>4922</v>
      </c>
      <c r="FST1" s="7" t="s">
        <v>4923</v>
      </c>
      <c r="FSU1" s="7" t="s">
        <v>4924</v>
      </c>
      <c r="FSV1" s="7" t="s">
        <v>4925</v>
      </c>
      <c r="FSW1" s="7" t="s">
        <v>4926</v>
      </c>
      <c r="FSX1" s="7" t="s">
        <v>4927</v>
      </c>
      <c r="FSY1" s="7" t="s">
        <v>4928</v>
      </c>
      <c r="FSZ1" s="7" t="s">
        <v>4929</v>
      </c>
      <c r="FTA1" s="7" t="s">
        <v>4930</v>
      </c>
      <c r="FTB1" s="7" t="s">
        <v>4931</v>
      </c>
      <c r="FTC1" s="7" t="s">
        <v>4932</v>
      </c>
      <c r="FTD1" s="7" t="s">
        <v>4933</v>
      </c>
      <c r="FTE1" s="7" t="s">
        <v>4934</v>
      </c>
      <c r="FTF1" s="7" t="s">
        <v>4935</v>
      </c>
      <c r="FTG1" s="7" t="s">
        <v>4936</v>
      </c>
      <c r="FTH1" s="7" t="s">
        <v>4937</v>
      </c>
      <c r="FTI1" s="7" t="s">
        <v>4938</v>
      </c>
      <c r="FTJ1" s="7" t="s">
        <v>4939</v>
      </c>
      <c r="FTK1" s="7" t="s">
        <v>4940</v>
      </c>
      <c r="FTL1" s="7" t="s">
        <v>4941</v>
      </c>
      <c r="FTM1" s="7" t="s">
        <v>4942</v>
      </c>
      <c r="FTN1" s="7" t="s">
        <v>4943</v>
      </c>
      <c r="FTO1" s="7" t="s">
        <v>4944</v>
      </c>
      <c r="FTP1" s="7" t="s">
        <v>4945</v>
      </c>
      <c r="FTQ1" s="7" t="s">
        <v>4946</v>
      </c>
      <c r="FTR1" s="7" t="s">
        <v>4947</v>
      </c>
      <c r="FTS1" s="7" t="s">
        <v>4948</v>
      </c>
      <c r="FTT1" s="7" t="s">
        <v>4949</v>
      </c>
      <c r="FTU1" s="7" t="s">
        <v>4950</v>
      </c>
      <c r="FTV1" s="7" t="s">
        <v>4951</v>
      </c>
      <c r="FTW1" s="7" t="s">
        <v>4952</v>
      </c>
      <c r="FTX1" s="7" t="s">
        <v>4953</v>
      </c>
      <c r="FTY1" s="7" t="s">
        <v>4954</v>
      </c>
      <c r="FTZ1" s="7" t="s">
        <v>4955</v>
      </c>
      <c r="FUA1" s="7" t="s">
        <v>4956</v>
      </c>
      <c r="FUB1" s="7" t="s">
        <v>4957</v>
      </c>
      <c r="FUC1" s="7" t="s">
        <v>4958</v>
      </c>
      <c r="FUD1" s="7" t="s">
        <v>4959</v>
      </c>
      <c r="FUE1" s="7" t="s">
        <v>4960</v>
      </c>
      <c r="FUF1" s="7" t="s">
        <v>4961</v>
      </c>
      <c r="FUG1" s="7" t="s">
        <v>4962</v>
      </c>
      <c r="FUH1" s="7" t="s">
        <v>4963</v>
      </c>
      <c r="FUI1" s="7" t="s">
        <v>4964</v>
      </c>
      <c r="FUJ1" s="7" t="s">
        <v>4965</v>
      </c>
      <c r="FUK1" s="7" t="s">
        <v>4966</v>
      </c>
      <c r="FUL1" s="7" t="s">
        <v>4967</v>
      </c>
      <c r="FUM1" s="7" t="s">
        <v>4968</v>
      </c>
      <c r="FUN1" s="7" t="s">
        <v>4969</v>
      </c>
      <c r="FUO1" s="7" t="s">
        <v>4970</v>
      </c>
      <c r="FUP1" s="7" t="s">
        <v>4971</v>
      </c>
      <c r="FUQ1" s="7" t="s">
        <v>4972</v>
      </c>
      <c r="FUR1" s="7" t="s">
        <v>4973</v>
      </c>
      <c r="FUS1" s="7" t="s">
        <v>4974</v>
      </c>
      <c r="FUT1" s="7" t="s">
        <v>4975</v>
      </c>
      <c r="FUU1" s="7" t="s">
        <v>4976</v>
      </c>
      <c r="FUV1" s="7" t="s">
        <v>4977</v>
      </c>
      <c r="FUW1" s="7" t="s">
        <v>4978</v>
      </c>
      <c r="FUX1" s="7" t="s">
        <v>4979</v>
      </c>
      <c r="FUY1" s="7" t="s">
        <v>4980</v>
      </c>
      <c r="FUZ1" s="7" t="s">
        <v>4981</v>
      </c>
      <c r="FVA1" s="7" t="s">
        <v>4982</v>
      </c>
      <c r="FVB1" s="7" t="s">
        <v>4983</v>
      </c>
      <c r="FVC1" s="7" t="s">
        <v>4984</v>
      </c>
      <c r="FVD1" s="7" t="s">
        <v>4985</v>
      </c>
      <c r="FVE1" s="7" t="s">
        <v>4986</v>
      </c>
      <c r="FVF1" s="7" t="s">
        <v>4987</v>
      </c>
      <c r="FVG1" s="7" t="s">
        <v>4988</v>
      </c>
      <c r="FVH1" s="7" t="s">
        <v>4989</v>
      </c>
      <c r="FVI1" s="7" t="s">
        <v>4990</v>
      </c>
      <c r="FVJ1" s="7" t="s">
        <v>4991</v>
      </c>
      <c r="FVK1" s="7" t="s">
        <v>4992</v>
      </c>
      <c r="FVL1" s="7" t="s">
        <v>4993</v>
      </c>
      <c r="FVM1" s="7" t="s">
        <v>4994</v>
      </c>
      <c r="FVN1" s="7" t="s">
        <v>4995</v>
      </c>
      <c r="FVO1" s="7" t="s">
        <v>4996</v>
      </c>
      <c r="FVP1" s="7" t="s">
        <v>4997</v>
      </c>
      <c r="FVQ1" s="7" t="s">
        <v>4998</v>
      </c>
      <c r="FVR1" s="7" t="s">
        <v>4999</v>
      </c>
      <c r="FVS1" s="7" t="s">
        <v>5000</v>
      </c>
      <c r="FVT1" s="7" t="s">
        <v>5001</v>
      </c>
      <c r="FVU1" s="7" t="s">
        <v>5002</v>
      </c>
      <c r="FVV1" s="7" t="s">
        <v>5003</v>
      </c>
      <c r="FVW1" s="7" t="s">
        <v>5004</v>
      </c>
      <c r="FVX1" s="7" t="s">
        <v>5005</v>
      </c>
      <c r="FVY1" s="7" t="s">
        <v>5006</v>
      </c>
      <c r="FVZ1" s="7" t="s">
        <v>5007</v>
      </c>
      <c r="FWA1" s="7" t="s">
        <v>5008</v>
      </c>
      <c r="FWB1" s="7" t="s">
        <v>5009</v>
      </c>
      <c r="FWC1" s="7" t="s">
        <v>5010</v>
      </c>
      <c r="FWD1" s="7" t="s">
        <v>5011</v>
      </c>
      <c r="FWE1" s="7" t="s">
        <v>5012</v>
      </c>
      <c r="FWF1" s="7" t="s">
        <v>5013</v>
      </c>
      <c r="FWG1" s="7" t="s">
        <v>5014</v>
      </c>
      <c r="FWH1" s="7" t="s">
        <v>5015</v>
      </c>
      <c r="FWI1" s="7" t="s">
        <v>5016</v>
      </c>
      <c r="FWJ1" s="7" t="s">
        <v>5017</v>
      </c>
      <c r="FWK1" s="7" t="s">
        <v>5018</v>
      </c>
      <c r="FWL1" s="7" t="s">
        <v>5019</v>
      </c>
      <c r="FWM1" s="7" t="s">
        <v>5020</v>
      </c>
      <c r="FWN1" s="7" t="s">
        <v>5021</v>
      </c>
      <c r="FWO1" s="7" t="s">
        <v>5022</v>
      </c>
      <c r="FWP1" s="7" t="s">
        <v>5023</v>
      </c>
      <c r="FWQ1" s="7" t="s">
        <v>5024</v>
      </c>
      <c r="FWR1" s="7" t="s">
        <v>5025</v>
      </c>
      <c r="FWS1" s="7" t="s">
        <v>5026</v>
      </c>
      <c r="FWT1" s="7" t="s">
        <v>5027</v>
      </c>
      <c r="FWU1" s="7" t="s">
        <v>5028</v>
      </c>
      <c r="FWV1" s="7" t="s">
        <v>5029</v>
      </c>
      <c r="FWW1" s="7" t="s">
        <v>5030</v>
      </c>
      <c r="FWX1" s="7" t="s">
        <v>5031</v>
      </c>
      <c r="FWY1" s="7" t="s">
        <v>5032</v>
      </c>
      <c r="FWZ1" s="7" t="s">
        <v>5033</v>
      </c>
      <c r="FXA1" s="7" t="s">
        <v>5034</v>
      </c>
      <c r="FXB1" s="7" t="s">
        <v>5035</v>
      </c>
      <c r="FXC1" s="7" t="s">
        <v>5036</v>
      </c>
      <c r="FXD1" s="7" t="s">
        <v>5037</v>
      </c>
      <c r="FXE1" s="7" t="s">
        <v>5038</v>
      </c>
      <c r="FXF1" s="7" t="s">
        <v>5039</v>
      </c>
      <c r="FXG1" s="7" t="s">
        <v>5040</v>
      </c>
      <c r="FXH1" s="7" t="s">
        <v>5041</v>
      </c>
      <c r="FXI1" s="7" t="s">
        <v>5042</v>
      </c>
      <c r="FXJ1" s="7" t="s">
        <v>5043</v>
      </c>
      <c r="FXK1" s="7" t="s">
        <v>5044</v>
      </c>
      <c r="FXL1" s="7" t="s">
        <v>5045</v>
      </c>
      <c r="FXM1" s="7" t="s">
        <v>5046</v>
      </c>
      <c r="FXN1" s="7" t="s">
        <v>5047</v>
      </c>
      <c r="FXO1" s="7" t="s">
        <v>5048</v>
      </c>
      <c r="FXP1" s="7" t="s">
        <v>5049</v>
      </c>
      <c r="FXQ1" s="7" t="s">
        <v>5050</v>
      </c>
      <c r="FXR1" s="7" t="s">
        <v>5051</v>
      </c>
      <c r="FXS1" s="7" t="s">
        <v>5052</v>
      </c>
      <c r="FXT1" s="7" t="s">
        <v>5053</v>
      </c>
      <c r="FXU1" s="7" t="s">
        <v>5054</v>
      </c>
      <c r="FXV1" s="7" t="s">
        <v>5055</v>
      </c>
      <c r="FXW1" s="7" t="s">
        <v>5056</v>
      </c>
      <c r="FXX1" s="7" t="s">
        <v>5057</v>
      </c>
      <c r="FXY1" s="7" t="s">
        <v>5058</v>
      </c>
      <c r="FXZ1" s="7" t="s">
        <v>5059</v>
      </c>
      <c r="FYA1" s="7" t="s">
        <v>5060</v>
      </c>
      <c r="FYB1" s="7" t="s">
        <v>5061</v>
      </c>
      <c r="FYC1" s="7" t="s">
        <v>5062</v>
      </c>
      <c r="FYD1" s="7" t="s">
        <v>5063</v>
      </c>
      <c r="FYE1" s="7" t="s">
        <v>5064</v>
      </c>
      <c r="FYF1" s="7" t="s">
        <v>5065</v>
      </c>
      <c r="FYG1" s="7" t="s">
        <v>5066</v>
      </c>
      <c r="FYH1" s="7" t="s">
        <v>5067</v>
      </c>
      <c r="FYI1" s="7" t="s">
        <v>5068</v>
      </c>
      <c r="FYJ1" s="7" t="s">
        <v>5069</v>
      </c>
      <c r="FYK1" s="7" t="s">
        <v>5070</v>
      </c>
      <c r="FYL1" s="7" t="s">
        <v>5071</v>
      </c>
      <c r="FYM1" s="7" t="s">
        <v>5072</v>
      </c>
      <c r="FYN1" s="7" t="s">
        <v>5073</v>
      </c>
      <c r="FYO1" s="7" t="s">
        <v>5074</v>
      </c>
      <c r="FYP1" s="7" t="s">
        <v>5075</v>
      </c>
      <c r="FYQ1" s="7" t="s">
        <v>5076</v>
      </c>
      <c r="FYR1" s="7" t="s">
        <v>5077</v>
      </c>
      <c r="FYS1" s="7" t="s">
        <v>5078</v>
      </c>
      <c r="FYT1" s="7" t="s">
        <v>5079</v>
      </c>
      <c r="FYU1" s="7" t="s">
        <v>5080</v>
      </c>
      <c r="FYV1" s="7" t="s">
        <v>5081</v>
      </c>
      <c r="FYW1" s="7" t="s">
        <v>5082</v>
      </c>
      <c r="FYX1" s="7" t="s">
        <v>5083</v>
      </c>
      <c r="FYY1" s="7" t="s">
        <v>5084</v>
      </c>
      <c r="FYZ1" s="7" t="s">
        <v>5085</v>
      </c>
      <c r="FZA1" s="7" t="s">
        <v>5086</v>
      </c>
      <c r="FZB1" s="7" t="s">
        <v>5087</v>
      </c>
      <c r="FZC1" s="7" t="s">
        <v>5088</v>
      </c>
      <c r="FZD1" s="7" t="s">
        <v>5089</v>
      </c>
      <c r="FZE1" s="7" t="s">
        <v>5090</v>
      </c>
      <c r="FZF1" s="7" t="s">
        <v>5091</v>
      </c>
      <c r="FZG1" s="7" t="s">
        <v>5092</v>
      </c>
      <c r="FZH1" s="7" t="s">
        <v>5093</v>
      </c>
      <c r="FZI1" s="7" t="s">
        <v>5094</v>
      </c>
      <c r="FZJ1" s="7" t="s">
        <v>5095</v>
      </c>
      <c r="FZK1" s="7" t="s">
        <v>5096</v>
      </c>
      <c r="FZL1" s="7" t="s">
        <v>5097</v>
      </c>
      <c r="FZM1" s="7" t="s">
        <v>5098</v>
      </c>
      <c r="FZN1" s="7" t="s">
        <v>5099</v>
      </c>
      <c r="FZO1" s="7" t="s">
        <v>5100</v>
      </c>
      <c r="FZP1" s="7" t="s">
        <v>5101</v>
      </c>
      <c r="FZQ1" s="7" t="s">
        <v>5102</v>
      </c>
      <c r="FZR1" s="7" t="s">
        <v>5103</v>
      </c>
      <c r="FZS1" s="7" t="s">
        <v>5104</v>
      </c>
      <c r="FZT1" s="7" t="s">
        <v>5105</v>
      </c>
      <c r="FZU1" s="7" t="s">
        <v>5106</v>
      </c>
      <c r="FZV1" s="7" t="s">
        <v>5107</v>
      </c>
      <c r="FZW1" s="7" t="s">
        <v>5108</v>
      </c>
      <c r="FZX1" s="7" t="s">
        <v>5109</v>
      </c>
      <c r="FZY1" s="7" t="s">
        <v>5110</v>
      </c>
      <c r="FZZ1" s="7" t="s">
        <v>5111</v>
      </c>
      <c r="GAA1" s="7" t="s">
        <v>5112</v>
      </c>
      <c r="GAB1" s="7" t="s">
        <v>5113</v>
      </c>
      <c r="GAC1" s="7" t="s">
        <v>5114</v>
      </c>
      <c r="GAD1" s="7" t="s">
        <v>5115</v>
      </c>
      <c r="GAE1" s="7" t="s">
        <v>5116</v>
      </c>
      <c r="GAF1" s="7" t="s">
        <v>5117</v>
      </c>
      <c r="GAG1" s="7" t="s">
        <v>5118</v>
      </c>
      <c r="GAH1" s="7" t="s">
        <v>5119</v>
      </c>
      <c r="GAI1" s="7" t="s">
        <v>5120</v>
      </c>
      <c r="GAJ1" s="7" t="s">
        <v>5121</v>
      </c>
      <c r="GAK1" s="7" t="s">
        <v>5122</v>
      </c>
      <c r="GAL1" s="7" t="s">
        <v>5123</v>
      </c>
      <c r="GAM1" s="7" t="s">
        <v>5124</v>
      </c>
      <c r="GAN1" s="7" t="s">
        <v>5125</v>
      </c>
      <c r="GAO1" s="7" t="s">
        <v>5126</v>
      </c>
      <c r="GAP1" s="7" t="s">
        <v>5127</v>
      </c>
      <c r="GAQ1" s="7" t="s">
        <v>5128</v>
      </c>
      <c r="GAR1" s="7" t="s">
        <v>5129</v>
      </c>
      <c r="GAS1" s="7" t="s">
        <v>5130</v>
      </c>
      <c r="GAT1" s="7" t="s">
        <v>5131</v>
      </c>
      <c r="GAU1" s="7" t="s">
        <v>5132</v>
      </c>
      <c r="GAV1" s="7" t="s">
        <v>5133</v>
      </c>
      <c r="GAW1" s="7" t="s">
        <v>5134</v>
      </c>
      <c r="GAX1" s="7" t="s">
        <v>5135</v>
      </c>
      <c r="GAY1" s="7" t="s">
        <v>5136</v>
      </c>
      <c r="GAZ1" s="7" t="s">
        <v>5137</v>
      </c>
      <c r="GBA1" s="7" t="s">
        <v>5138</v>
      </c>
      <c r="GBB1" s="7" t="s">
        <v>5139</v>
      </c>
      <c r="GBC1" s="7" t="s">
        <v>5140</v>
      </c>
      <c r="GBD1" s="7" t="s">
        <v>5141</v>
      </c>
      <c r="GBE1" s="7" t="s">
        <v>5142</v>
      </c>
      <c r="GBF1" s="7" t="s">
        <v>5143</v>
      </c>
      <c r="GBG1" s="7" t="s">
        <v>5144</v>
      </c>
      <c r="GBH1" s="7" t="s">
        <v>5145</v>
      </c>
      <c r="GBI1" s="7" t="s">
        <v>5146</v>
      </c>
      <c r="GBJ1" s="7" t="s">
        <v>5147</v>
      </c>
      <c r="GBK1" s="7" t="s">
        <v>5148</v>
      </c>
      <c r="GBL1" s="7" t="s">
        <v>5149</v>
      </c>
      <c r="GBM1" s="7" t="s">
        <v>5150</v>
      </c>
      <c r="GBN1" s="7" t="s">
        <v>5151</v>
      </c>
      <c r="GBO1" s="7" t="s">
        <v>5152</v>
      </c>
      <c r="GBP1" s="7" t="s">
        <v>5153</v>
      </c>
      <c r="GBQ1" s="7" t="s">
        <v>5154</v>
      </c>
      <c r="GBR1" s="7" t="s">
        <v>5155</v>
      </c>
      <c r="GBS1" s="7" t="s">
        <v>5156</v>
      </c>
      <c r="GBT1" s="7" t="s">
        <v>5157</v>
      </c>
      <c r="GBU1" s="7" t="s">
        <v>5158</v>
      </c>
      <c r="GBV1" s="7" t="s">
        <v>5159</v>
      </c>
      <c r="GBW1" s="7" t="s">
        <v>5160</v>
      </c>
      <c r="GBX1" s="7" t="s">
        <v>5161</v>
      </c>
      <c r="GBY1" s="7" t="s">
        <v>5162</v>
      </c>
      <c r="GBZ1" s="7" t="s">
        <v>5163</v>
      </c>
      <c r="GCA1" s="7" t="s">
        <v>5164</v>
      </c>
      <c r="GCB1" s="7" t="s">
        <v>5165</v>
      </c>
      <c r="GCC1" s="7" t="s">
        <v>5166</v>
      </c>
      <c r="GCD1" s="7" t="s">
        <v>5167</v>
      </c>
      <c r="GCE1" s="7" t="s">
        <v>5168</v>
      </c>
      <c r="GCF1" s="7" t="s">
        <v>5169</v>
      </c>
      <c r="GCG1" s="7" t="s">
        <v>5170</v>
      </c>
      <c r="GCH1" s="7" t="s">
        <v>5171</v>
      </c>
      <c r="GCI1" s="7" t="s">
        <v>5172</v>
      </c>
      <c r="GCJ1" s="7" t="s">
        <v>5173</v>
      </c>
      <c r="GCK1" s="7" t="s">
        <v>5174</v>
      </c>
      <c r="GCL1" s="7" t="s">
        <v>5175</v>
      </c>
      <c r="GCM1" s="7" t="s">
        <v>5176</v>
      </c>
      <c r="GCN1" s="7" t="s">
        <v>5177</v>
      </c>
      <c r="GCO1" s="7" t="s">
        <v>5178</v>
      </c>
      <c r="GCP1" s="7" t="s">
        <v>5179</v>
      </c>
      <c r="GCQ1" s="7" t="s">
        <v>5180</v>
      </c>
      <c r="GCR1" s="7" t="s">
        <v>5181</v>
      </c>
      <c r="GCS1" s="7" t="s">
        <v>5182</v>
      </c>
      <c r="GCT1" s="7" t="s">
        <v>5183</v>
      </c>
      <c r="GCU1" s="7" t="s">
        <v>5184</v>
      </c>
      <c r="GCV1" s="7" t="s">
        <v>5185</v>
      </c>
      <c r="GCW1" s="7" t="s">
        <v>5186</v>
      </c>
      <c r="GCX1" s="7" t="s">
        <v>5187</v>
      </c>
      <c r="GCY1" s="7" t="s">
        <v>5188</v>
      </c>
      <c r="GCZ1" s="7" t="s">
        <v>5189</v>
      </c>
      <c r="GDA1" s="7" t="s">
        <v>5190</v>
      </c>
      <c r="GDB1" s="7" t="s">
        <v>5191</v>
      </c>
      <c r="GDC1" s="7" t="s">
        <v>5192</v>
      </c>
      <c r="GDD1" s="7" t="s">
        <v>5193</v>
      </c>
      <c r="GDE1" s="7" t="s">
        <v>5194</v>
      </c>
      <c r="GDF1" s="7" t="s">
        <v>5195</v>
      </c>
      <c r="GDG1" s="7" t="s">
        <v>5196</v>
      </c>
      <c r="GDH1" s="7" t="s">
        <v>5197</v>
      </c>
      <c r="GDI1" s="7" t="s">
        <v>5198</v>
      </c>
      <c r="GDJ1" s="7" t="s">
        <v>5199</v>
      </c>
      <c r="GDK1" s="7" t="s">
        <v>5200</v>
      </c>
      <c r="GDL1" s="7" t="s">
        <v>5201</v>
      </c>
      <c r="GDM1" s="7" t="s">
        <v>5202</v>
      </c>
      <c r="GDN1" s="7" t="s">
        <v>5203</v>
      </c>
      <c r="GDO1" s="7" t="s">
        <v>5204</v>
      </c>
      <c r="GDP1" s="7" t="s">
        <v>5205</v>
      </c>
      <c r="GDQ1" s="7" t="s">
        <v>5206</v>
      </c>
      <c r="GDR1" s="7" t="s">
        <v>5207</v>
      </c>
      <c r="GDS1" s="7" t="s">
        <v>5208</v>
      </c>
      <c r="GDT1" s="7" t="s">
        <v>5209</v>
      </c>
      <c r="GDU1" s="7" t="s">
        <v>5210</v>
      </c>
      <c r="GDV1" s="7" t="s">
        <v>5211</v>
      </c>
      <c r="GDW1" s="7" t="s">
        <v>5212</v>
      </c>
      <c r="GDX1" s="7" t="s">
        <v>5213</v>
      </c>
      <c r="GDY1" s="7" t="s">
        <v>5214</v>
      </c>
      <c r="GDZ1" s="7" t="s">
        <v>5215</v>
      </c>
      <c r="GEA1" s="7" t="s">
        <v>5216</v>
      </c>
      <c r="GEB1" s="7" t="s">
        <v>5217</v>
      </c>
      <c r="GEC1" s="7" t="s">
        <v>5218</v>
      </c>
      <c r="GED1" s="7" t="s">
        <v>5219</v>
      </c>
      <c r="GEE1" s="7" t="s">
        <v>5220</v>
      </c>
      <c r="GEF1" s="7" t="s">
        <v>5221</v>
      </c>
      <c r="GEG1" s="7" t="s">
        <v>5222</v>
      </c>
      <c r="GEH1" s="7" t="s">
        <v>5223</v>
      </c>
      <c r="GEI1" s="7" t="s">
        <v>5224</v>
      </c>
      <c r="GEJ1" s="7" t="s">
        <v>5225</v>
      </c>
      <c r="GEK1" s="7" t="s">
        <v>5226</v>
      </c>
      <c r="GEL1" s="7" t="s">
        <v>5227</v>
      </c>
      <c r="GEM1" s="7" t="s">
        <v>5228</v>
      </c>
      <c r="GEN1" s="7" t="s">
        <v>5229</v>
      </c>
      <c r="GEO1" s="7" t="s">
        <v>5230</v>
      </c>
      <c r="GEP1" s="7" t="s">
        <v>5231</v>
      </c>
      <c r="GEQ1" s="7" t="s">
        <v>5232</v>
      </c>
      <c r="GER1" s="7" t="s">
        <v>5233</v>
      </c>
      <c r="GES1" s="7" t="s">
        <v>5234</v>
      </c>
      <c r="GET1" s="7" t="s">
        <v>5235</v>
      </c>
      <c r="GEU1" s="7" t="s">
        <v>5236</v>
      </c>
      <c r="GEV1" s="7" t="s">
        <v>5237</v>
      </c>
      <c r="GEW1" s="7" t="s">
        <v>5238</v>
      </c>
      <c r="GEX1" s="7" t="s">
        <v>5239</v>
      </c>
      <c r="GEY1" s="7" t="s">
        <v>5240</v>
      </c>
      <c r="GEZ1" s="7" t="s">
        <v>5241</v>
      </c>
      <c r="GFA1" s="7" t="s">
        <v>5242</v>
      </c>
      <c r="GFB1" s="7" t="s">
        <v>5243</v>
      </c>
      <c r="GFC1" s="7" t="s">
        <v>5244</v>
      </c>
      <c r="GFD1" s="7" t="s">
        <v>5245</v>
      </c>
      <c r="GFE1" s="7" t="s">
        <v>5246</v>
      </c>
      <c r="GFF1" s="7" t="s">
        <v>5247</v>
      </c>
      <c r="GFG1" s="7" t="s">
        <v>5248</v>
      </c>
      <c r="GFH1" s="7" t="s">
        <v>5249</v>
      </c>
      <c r="GFI1" s="7" t="s">
        <v>5250</v>
      </c>
      <c r="GFJ1" s="7" t="s">
        <v>5251</v>
      </c>
      <c r="GFK1" s="7" t="s">
        <v>5252</v>
      </c>
      <c r="GFL1" s="7" t="s">
        <v>5253</v>
      </c>
      <c r="GFM1" s="7" t="s">
        <v>5254</v>
      </c>
      <c r="GFN1" s="7" t="s">
        <v>5255</v>
      </c>
      <c r="GFO1" s="7" t="s">
        <v>5256</v>
      </c>
      <c r="GFP1" s="7" t="s">
        <v>5257</v>
      </c>
      <c r="GFQ1" s="7" t="s">
        <v>5258</v>
      </c>
      <c r="GFR1" s="7" t="s">
        <v>5259</v>
      </c>
      <c r="GFS1" s="7" t="s">
        <v>5260</v>
      </c>
      <c r="GFT1" s="7" t="s">
        <v>5261</v>
      </c>
      <c r="GFU1" s="7" t="s">
        <v>5262</v>
      </c>
      <c r="GFV1" s="7" t="s">
        <v>5263</v>
      </c>
      <c r="GFW1" s="7" t="s">
        <v>5264</v>
      </c>
      <c r="GFX1" s="7" t="s">
        <v>5265</v>
      </c>
      <c r="GFY1" s="7" t="s">
        <v>5266</v>
      </c>
      <c r="GFZ1" s="7" t="s">
        <v>5267</v>
      </c>
      <c r="GGA1" s="7" t="s">
        <v>5268</v>
      </c>
      <c r="GGB1" s="7" t="s">
        <v>5269</v>
      </c>
      <c r="GGC1" s="7" t="s">
        <v>5270</v>
      </c>
      <c r="GGD1" s="7" t="s">
        <v>5271</v>
      </c>
      <c r="GGE1" s="7" t="s">
        <v>5272</v>
      </c>
      <c r="GGF1" s="7" t="s">
        <v>5273</v>
      </c>
      <c r="GGG1" s="7" t="s">
        <v>5274</v>
      </c>
      <c r="GGH1" s="7" t="s">
        <v>5275</v>
      </c>
      <c r="GGI1" s="7" t="s">
        <v>5276</v>
      </c>
      <c r="GGJ1" s="7" t="s">
        <v>5277</v>
      </c>
      <c r="GGK1" s="7" t="s">
        <v>5278</v>
      </c>
      <c r="GGL1" s="7" t="s">
        <v>5279</v>
      </c>
      <c r="GGM1" s="7" t="s">
        <v>5280</v>
      </c>
      <c r="GGN1" s="7" t="s">
        <v>5281</v>
      </c>
      <c r="GGO1" s="7" t="s">
        <v>5282</v>
      </c>
      <c r="GGP1" s="7" t="s">
        <v>5283</v>
      </c>
      <c r="GGQ1" s="7" t="s">
        <v>5284</v>
      </c>
      <c r="GGR1" s="7" t="s">
        <v>5285</v>
      </c>
      <c r="GGS1" s="7" t="s">
        <v>5286</v>
      </c>
      <c r="GGT1" s="7" t="s">
        <v>5287</v>
      </c>
      <c r="GGU1" s="7" t="s">
        <v>5288</v>
      </c>
      <c r="GGV1" s="7" t="s">
        <v>5289</v>
      </c>
      <c r="GGW1" s="7" t="s">
        <v>5290</v>
      </c>
      <c r="GGX1" s="7" t="s">
        <v>5291</v>
      </c>
      <c r="GGY1" s="7" t="s">
        <v>5292</v>
      </c>
      <c r="GGZ1" s="7" t="s">
        <v>5293</v>
      </c>
      <c r="GHA1" s="7" t="s">
        <v>5294</v>
      </c>
      <c r="GHB1" s="7" t="s">
        <v>5295</v>
      </c>
      <c r="GHC1" s="7" t="s">
        <v>5296</v>
      </c>
      <c r="GHD1" s="7" t="s">
        <v>5297</v>
      </c>
      <c r="GHE1" s="7" t="s">
        <v>5298</v>
      </c>
      <c r="GHF1" s="7" t="s">
        <v>5299</v>
      </c>
      <c r="GHG1" s="7" t="s">
        <v>5300</v>
      </c>
      <c r="GHH1" s="7" t="s">
        <v>5301</v>
      </c>
      <c r="GHI1" s="7" t="s">
        <v>5302</v>
      </c>
      <c r="GHJ1" s="7" t="s">
        <v>5303</v>
      </c>
      <c r="GHK1" s="7" t="s">
        <v>5304</v>
      </c>
      <c r="GHL1" s="7" t="s">
        <v>5305</v>
      </c>
      <c r="GHM1" s="7" t="s">
        <v>5306</v>
      </c>
      <c r="GHN1" s="7" t="s">
        <v>5307</v>
      </c>
      <c r="GHO1" s="7" t="s">
        <v>5308</v>
      </c>
      <c r="GHP1" s="7" t="s">
        <v>5309</v>
      </c>
      <c r="GHQ1" s="7" t="s">
        <v>5310</v>
      </c>
      <c r="GHR1" s="7" t="s">
        <v>5311</v>
      </c>
      <c r="GHS1" s="7" t="s">
        <v>5312</v>
      </c>
      <c r="GHT1" s="7" t="s">
        <v>5313</v>
      </c>
      <c r="GHU1" s="7" t="s">
        <v>5314</v>
      </c>
      <c r="GHV1" s="7" t="s">
        <v>5315</v>
      </c>
      <c r="GHW1" s="7" t="s">
        <v>5316</v>
      </c>
      <c r="GHX1" s="7" t="s">
        <v>5317</v>
      </c>
      <c r="GHY1" s="7" t="s">
        <v>5318</v>
      </c>
      <c r="GHZ1" s="7" t="s">
        <v>5319</v>
      </c>
      <c r="GIA1" s="7" t="s">
        <v>5320</v>
      </c>
      <c r="GIB1" s="7" t="s">
        <v>5321</v>
      </c>
      <c r="GIC1" s="7" t="s">
        <v>5322</v>
      </c>
      <c r="GID1" s="7" t="s">
        <v>5323</v>
      </c>
      <c r="GIE1" s="7" t="s">
        <v>5324</v>
      </c>
      <c r="GIF1" s="7" t="s">
        <v>5325</v>
      </c>
      <c r="GIG1" s="7" t="s">
        <v>5326</v>
      </c>
      <c r="GIH1" s="7" t="s">
        <v>5327</v>
      </c>
      <c r="GII1" s="7" t="s">
        <v>5328</v>
      </c>
      <c r="GIJ1" s="7" t="s">
        <v>5329</v>
      </c>
      <c r="GIK1" s="7" t="s">
        <v>5330</v>
      </c>
      <c r="GIL1" s="7" t="s">
        <v>5331</v>
      </c>
      <c r="GIM1" s="7" t="s">
        <v>5332</v>
      </c>
      <c r="GIN1" s="7" t="s">
        <v>5333</v>
      </c>
      <c r="GIO1" s="7" t="s">
        <v>5334</v>
      </c>
      <c r="GIP1" s="7" t="s">
        <v>5335</v>
      </c>
      <c r="GIQ1" s="7" t="s">
        <v>5336</v>
      </c>
      <c r="GIR1" s="7" t="s">
        <v>5337</v>
      </c>
      <c r="GIS1" s="7" t="s">
        <v>5338</v>
      </c>
      <c r="GIT1" s="7" t="s">
        <v>5339</v>
      </c>
      <c r="GIU1" s="7" t="s">
        <v>5340</v>
      </c>
      <c r="GIV1" s="7" t="s">
        <v>5341</v>
      </c>
      <c r="GIW1" s="7" t="s">
        <v>5342</v>
      </c>
      <c r="GIX1" s="7" t="s">
        <v>5343</v>
      </c>
      <c r="GIY1" s="7" t="s">
        <v>5344</v>
      </c>
      <c r="GIZ1" s="7" t="s">
        <v>5345</v>
      </c>
      <c r="GJA1" s="7" t="s">
        <v>5346</v>
      </c>
      <c r="GJB1" s="7" t="s">
        <v>5347</v>
      </c>
      <c r="GJC1" s="7" t="s">
        <v>5348</v>
      </c>
      <c r="GJD1" s="7" t="s">
        <v>5349</v>
      </c>
      <c r="GJE1" s="7" t="s">
        <v>5350</v>
      </c>
      <c r="GJF1" s="7" t="s">
        <v>5351</v>
      </c>
      <c r="GJG1" s="7" t="s">
        <v>5352</v>
      </c>
      <c r="GJH1" s="7" t="s">
        <v>5353</v>
      </c>
      <c r="GJI1" s="7" t="s">
        <v>5354</v>
      </c>
      <c r="GJJ1" s="7" t="s">
        <v>5355</v>
      </c>
      <c r="GJK1" s="7" t="s">
        <v>5356</v>
      </c>
      <c r="GJL1" s="7" t="s">
        <v>5357</v>
      </c>
      <c r="GJM1" s="7" t="s">
        <v>5358</v>
      </c>
      <c r="GJN1" s="7" t="s">
        <v>5359</v>
      </c>
      <c r="GJO1" s="7" t="s">
        <v>5360</v>
      </c>
      <c r="GJP1" s="7" t="s">
        <v>5361</v>
      </c>
      <c r="GJQ1" s="7" t="s">
        <v>5362</v>
      </c>
      <c r="GJR1" s="7" t="s">
        <v>5363</v>
      </c>
      <c r="GJS1" s="7" t="s">
        <v>5364</v>
      </c>
      <c r="GJT1" s="7" t="s">
        <v>5365</v>
      </c>
      <c r="GJU1" s="7" t="s">
        <v>5366</v>
      </c>
      <c r="GJV1" s="7" t="s">
        <v>5367</v>
      </c>
      <c r="GJW1" s="7" t="s">
        <v>5368</v>
      </c>
      <c r="GJX1" s="7" t="s">
        <v>5369</v>
      </c>
      <c r="GJY1" s="7" t="s">
        <v>5370</v>
      </c>
      <c r="GJZ1" s="7" t="s">
        <v>5371</v>
      </c>
      <c r="GKA1" s="7" t="s">
        <v>5372</v>
      </c>
      <c r="GKB1" s="7" t="s">
        <v>5373</v>
      </c>
      <c r="GKC1" s="7" t="s">
        <v>5374</v>
      </c>
      <c r="GKD1" s="7" t="s">
        <v>5375</v>
      </c>
      <c r="GKE1" s="7" t="s">
        <v>5376</v>
      </c>
      <c r="GKF1" s="7" t="s">
        <v>5377</v>
      </c>
      <c r="GKG1" s="7" t="s">
        <v>5378</v>
      </c>
      <c r="GKH1" s="7" t="s">
        <v>5379</v>
      </c>
      <c r="GKI1" s="7" t="s">
        <v>5380</v>
      </c>
      <c r="GKJ1" s="7" t="s">
        <v>5381</v>
      </c>
      <c r="GKK1" s="7" t="s">
        <v>5382</v>
      </c>
      <c r="GKL1" s="7" t="s">
        <v>5383</v>
      </c>
      <c r="GKM1" s="7" t="s">
        <v>5384</v>
      </c>
      <c r="GKN1" s="7" t="s">
        <v>5385</v>
      </c>
      <c r="GKO1" s="7" t="s">
        <v>5386</v>
      </c>
      <c r="GKP1" s="7" t="s">
        <v>5387</v>
      </c>
      <c r="GKQ1" s="7" t="s">
        <v>5388</v>
      </c>
      <c r="GKR1" s="7" t="s">
        <v>5389</v>
      </c>
      <c r="GKS1" s="7" t="s">
        <v>5390</v>
      </c>
      <c r="GKT1" s="7" t="s">
        <v>5391</v>
      </c>
      <c r="GKU1" s="7" t="s">
        <v>5392</v>
      </c>
      <c r="GKV1" s="7" t="s">
        <v>5393</v>
      </c>
      <c r="GKW1" s="7" t="s">
        <v>5394</v>
      </c>
      <c r="GKX1" s="7" t="s">
        <v>5395</v>
      </c>
      <c r="GKY1" s="7" t="s">
        <v>5396</v>
      </c>
      <c r="GKZ1" s="7" t="s">
        <v>5397</v>
      </c>
      <c r="GLA1" s="7" t="s">
        <v>5398</v>
      </c>
      <c r="GLB1" s="7" t="s">
        <v>5399</v>
      </c>
      <c r="GLC1" s="7" t="s">
        <v>5400</v>
      </c>
      <c r="GLD1" s="7" t="s">
        <v>5401</v>
      </c>
      <c r="GLE1" s="7" t="s">
        <v>5402</v>
      </c>
      <c r="GLF1" s="7" t="s">
        <v>5403</v>
      </c>
      <c r="GLG1" s="7" t="s">
        <v>5404</v>
      </c>
      <c r="GLH1" s="7" t="s">
        <v>5405</v>
      </c>
      <c r="GLI1" s="7" t="s">
        <v>5406</v>
      </c>
      <c r="GLJ1" s="7" t="s">
        <v>5407</v>
      </c>
      <c r="GLK1" s="7" t="s">
        <v>5408</v>
      </c>
      <c r="GLL1" s="7" t="s">
        <v>5409</v>
      </c>
      <c r="GLM1" s="7" t="s">
        <v>5410</v>
      </c>
      <c r="GLN1" s="7" t="s">
        <v>5411</v>
      </c>
      <c r="GLO1" s="7" t="s">
        <v>5412</v>
      </c>
      <c r="GLP1" s="7" t="s">
        <v>5413</v>
      </c>
      <c r="GLQ1" s="7" t="s">
        <v>5414</v>
      </c>
      <c r="GLR1" s="7" t="s">
        <v>5415</v>
      </c>
      <c r="GLS1" s="7" t="s">
        <v>5416</v>
      </c>
      <c r="GLT1" s="7" t="s">
        <v>5417</v>
      </c>
      <c r="GLU1" s="7" t="s">
        <v>5418</v>
      </c>
      <c r="GLV1" s="7" t="s">
        <v>5419</v>
      </c>
      <c r="GLW1" s="7" t="s">
        <v>5420</v>
      </c>
      <c r="GLX1" s="7" t="s">
        <v>5421</v>
      </c>
      <c r="GLY1" s="7" t="s">
        <v>5422</v>
      </c>
      <c r="GLZ1" s="7" t="s">
        <v>5423</v>
      </c>
      <c r="GMA1" s="7" t="s">
        <v>5424</v>
      </c>
      <c r="GMB1" s="7" t="s">
        <v>5425</v>
      </c>
      <c r="GMC1" s="7" t="s">
        <v>5426</v>
      </c>
      <c r="GMD1" s="7" t="s">
        <v>5427</v>
      </c>
      <c r="GME1" s="7" t="s">
        <v>5428</v>
      </c>
      <c r="GMF1" s="7" t="s">
        <v>5429</v>
      </c>
      <c r="GMG1" s="7" t="s">
        <v>5430</v>
      </c>
      <c r="GMH1" s="7" t="s">
        <v>5431</v>
      </c>
      <c r="GMI1" s="7" t="s">
        <v>5432</v>
      </c>
      <c r="GMJ1" s="7" t="s">
        <v>5433</v>
      </c>
      <c r="GMK1" s="7" t="s">
        <v>5434</v>
      </c>
      <c r="GML1" s="7" t="s">
        <v>5435</v>
      </c>
      <c r="GMM1" s="7" t="s">
        <v>5436</v>
      </c>
      <c r="GMN1" s="7" t="s">
        <v>5437</v>
      </c>
      <c r="GMO1" s="7" t="s">
        <v>5438</v>
      </c>
      <c r="GMP1" s="7" t="s">
        <v>5439</v>
      </c>
      <c r="GMQ1" s="7" t="s">
        <v>5440</v>
      </c>
      <c r="GMR1" s="7" t="s">
        <v>5441</v>
      </c>
      <c r="GMS1" s="7" t="s">
        <v>5442</v>
      </c>
      <c r="GMT1" s="7" t="s">
        <v>5443</v>
      </c>
      <c r="GMU1" s="7" t="s">
        <v>5444</v>
      </c>
      <c r="GMV1" s="7" t="s">
        <v>5445</v>
      </c>
      <c r="GMW1" s="7" t="s">
        <v>5446</v>
      </c>
      <c r="GMX1" s="7" t="s">
        <v>5447</v>
      </c>
      <c r="GMY1" s="7" t="s">
        <v>5448</v>
      </c>
      <c r="GMZ1" s="7" t="s">
        <v>5449</v>
      </c>
      <c r="GNA1" s="7" t="s">
        <v>5450</v>
      </c>
      <c r="GNB1" s="7" t="s">
        <v>5451</v>
      </c>
      <c r="GNC1" s="7" t="s">
        <v>5452</v>
      </c>
      <c r="GND1" s="7" t="s">
        <v>5453</v>
      </c>
      <c r="GNE1" s="7" t="s">
        <v>5454</v>
      </c>
      <c r="GNF1" s="7" t="s">
        <v>5455</v>
      </c>
      <c r="GNG1" s="7" t="s">
        <v>5456</v>
      </c>
      <c r="GNH1" s="7" t="s">
        <v>5457</v>
      </c>
      <c r="GNI1" s="7" t="s">
        <v>5458</v>
      </c>
      <c r="GNJ1" s="7" t="s">
        <v>5459</v>
      </c>
      <c r="GNK1" s="7" t="s">
        <v>5460</v>
      </c>
      <c r="GNL1" s="7" t="s">
        <v>5461</v>
      </c>
      <c r="GNM1" s="7" t="s">
        <v>5462</v>
      </c>
      <c r="GNN1" s="7" t="s">
        <v>5463</v>
      </c>
      <c r="GNO1" s="7" t="s">
        <v>5464</v>
      </c>
      <c r="GNP1" s="7" t="s">
        <v>5465</v>
      </c>
      <c r="GNQ1" s="7" t="s">
        <v>5466</v>
      </c>
      <c r="GNR1" s="7" t="s">
        <v>5467</v>
      </c>
      <c r="GNS1" s="7" t="s">
        <v>5468</v>
      </c>
      <c r="GNT1" s="7" t="s">
        <v>5469</v>
      </c>
      <c r="GNU1" s="7" t="s">
        <v>5470</v>
      </c>
      <c r="GNV1" s="7" t="s">
        <v>5471</v>
      </c>
      <c r="GNW1" s="7" t="s">
        <v>5472</v>
      </c>
      <c r="GNX1" s="7" t="s">
        <v>5473</v>
      </c>
      <c r="GNY1" s="7" t="s">
        <v>5474</v>
      </c>
      <c r="GNZ1" s="7" t="s">
        <v>5475</v>
      </c>
      <c r="GOA1" s="7" t="s">
        <v>5476</v>
      </c>
      <c r="GOB1" s="7" t="s">
        <v>5477</v>
      </c>
      <c r="GOC1" s="7" t="s">
        <v>5478</v>
      </c>
      <c r="GOD1" s="7" t="s">
        <v>5479</v>
      </c>
      <c r="GOE1" s="7" t="s">
        <v>5480</v>
      </c>
      <c r="GOF1" s="7" t="s">
        <v>5481</v>
      </c>
      <c r="GOG1" s="7" t="s">
        <v>5482</v>
      </c>
      <c r="GOH1" s="7" t="s">
        <v>5483</v>
      </c>
      <c r="GOI1" s="7" t="s">
        <v>5484</v>
      </c>
      <c r="GOJ1" s="7" t="s">
        <v>5485</v>
      </c>
      <c r="GOK1" s="7" t="s">
        <v>5486</v>
      </c>
      <c r="GOL1" s="7" t="s">
        <v>5487</v>
      </c>
      <c r="GOM1" s="7" t="s">
        <v>5488</v>
      </c>
      <c r="GON1" s="7" t="s">
        <v>5489</v>
      </c>
      <c r="GOO1" s="7" t="s">
        <v>5490</v>
      </c>
      <c r="GOP1" s="7" t="s">
        <v>5491</v>
      </c>
      <c r="GOQ1" s="7" t="s">
        <v>5492</v>
      </c>
      <c r="GOR1" s="7" t="s">
        <v>5493</v>
      </c>
      <c r="GOS1" s="7" t="s">
        <v>5494</v>
      </c>
      <c r="GOT1" s="7" t="s">
        <v>5495</v>
      </c>
      <c r="GOU1" s="7" t="s">
        <v>5496</v>
      </c>
      <c r="GOV1" s="7" t="s">
        <v>5497</v>
      </c>
      <c r="GOW1" s="7" t="s">
        <v>5498</v>
      </c>
      <c r="GOX1" s="7" t="s">
        <v>5499</v>
      </c>
      <c r="GOY1" s="7" t="s">
        <v>5500</v>
      </c>
      <c r="GOZ1" s="7" t="s">
        <v>5501</v>
      </c>
      <c r="GPA1" s="7" t="s">
        <v>5502</v>
      </c>
      <c r="GPB1" s="7" t="s">
        <v>5503</v>
      </c>
      <c r="GPC1" s="7" t="s">
        <v>5504</v>
      </c>
      <c r="GPD1" s="7" t="s">
        <v>5505</v>
      </c>
      <c r="GPE1" s="7" t="s">
        <v>5506</v>
      </c>
      <c r="GPF1" s="7" t="s">
        <v>5507</v>
      </c>
      <c r="GPG1" s="7" t="s">
        <v>5508</v>
      </c>
      <c r="GPH1" s="7" t="s">
        <v>5509</v>
      </c>
      <c r="GPI1" s="7" t="s">
        <v>5510</v>
      </c>
      <c r="GPJ1" s="7" t="s">
        <v>5511</v>
      </c>
      <c r="GPK1" s="7" t="s">
        <v>5512</v>
      </c>
      <c r="GPL1" s="7" t="s">
        <v>5513</v>
      </c>
      <c r="GPM1" s="7" t="s">
        <v>5514</v>
      </c>
      <c r="GPN1" s="7" t="s">
        <v>5515</v>
      </c>
      <c r="GPO1" s="7" t="s">
        <v>5516</v>
      </c>
      <c r="GPP1" s="7" t="s">
        <v>5517</v>
      </c>
      <c r="GPQ1" s="7" t="s">
        <v>5518</v>
      </c>
      <c r="GPR1" s="7" t="s">
        <v>5519</v>
      </c>
      <c r="GPS1" s="7" t="s">
        <v>5520</v>
      </c>
      <c r="GPT1" s="7" t="s">
        <v>5521</v>
      </c>
      <c r="GPU1" s="7" t="s">
        <v>5522</v>
      </c>
      <c r="GPV1" s="7" t="s">
        <v>5523</v>
      </c>
      <c r="GPW1" s="7" t="s">
        <v>5524</v>
      </c>
      <c r="GPX1" s="7" t="s">
        <v>5525</v>
      </c>
      <c r="GPY1" s="7" t="s">
        <v>5526</v>
      </c>
      <c r="GPZ1" s="7" t="s">
        <v>5527</v>
      </c>
      <c r="GQA1" s="7" t="s">
        <v>5528</v>
      </c>
      <c r="GQB1" s="7" t="s">
        <v>5529</v>
      </c>
      <c r="GQC1" s="7" t="s">
        <v>5530</v>
      </c>
      <c r="GQD1" s="7" t="s">
        <v>5531</v>
      </c>
      <c r="GQE1" s="7" t="s">
        <v>5532</v>
      </c>
      <c r="GQF1" s="7" t="s">
        <v>5533</v>
      </c>
      <c r="GQG1" s="7" t="s">
        <v>5534</v>
      </c>
      <c r="GQH1" s="7" t="s">
        <v>5535</v>
      </c>
      <c r="GQI1" s="7" t="s">
        <v>5536</v>
      </c>
      <c r="GQJ1" s="7" t="s">
        <v>5537</v>
      </c>
      <c r="GQK1" s="7" t="s">
        <v>5538</v>
      </c>
      <c r="GQL1" s="7" t="s">
        <v>5539</v>
      </c>
      <c r="GQM1" s="7" t="s">
        <v>5540</v>
      </c>
      <c r="GQN1" s="7" t="s">
        <v>5541</v>
      </c>
      <c r="GQO1" s="7" t="s">
        <v>5542</v>
      </c>
      <c r="GQP1" s="7" t="s">
        <v>5543</v>
      </c>
      <c r="GQQ1" s="7" t="s">
        <v>5544</v>
      </c>
      <c r="GQR1" s="7" t="s">
        <v>5545</v>
      </c>
      <c r="GQS1" s="7" t="s">
        <v>5546</v>
      </c>
      <c r="GQT1" s="7" t="s">
        <v>5547</v>
      </c>
      <c r="GQU1" s="7" t="s">
        <v>5548</v>
      </c>
      <c r="GQV1" s="7" t="s">
        <v>5549</v>
      </c>
      <c r="GQW1" s="7" t="s">
        <v>5550</v>
      </c>
      <c r="GQX1" s="7" t="s">
        <v>5551</v>
      </c>
      <c r="GQY1" s="7" t="s">
        <v>5552</v>
      </c>
      <c r="GQZ1" s="7" t="s">
        <v>5553</v>
      </c>
      <c r="GRA1" s="7" t="s">
        <v>5554</v>
      </c>
      <c r="GRB1" s="7" t="s">
        <v>5555</v>
      </c>
      <c r="GRC1" s="7" t="s">
        <v>5556</v>
      </c>
      <c r="GRD1" s="7" t="s">
        <v>5557</v>
      </c>
      <c r="GRE1" s="7" t="s">
        <v>5558</v>
      </c>
      <c r="GRF1" s="7" t="s">
        <v>5559</v>
      </c>
      <c r="GRG1" s="7" t="s">
        <v>5560</v>
      </c>
      <c r="GRH1" s="7" t="s">
        <v>5561</v>
      </c>
      <c r="GRI1" s="7" t="s">
        <v>5562</v>
      </c>
      <c r="GRJ1" s="7" t="s">
        <v>5563</v>
      </c>
      <c r="GRK1" s="7" t="s">
        <v>5564</v>
      </c>
      <c r="GRL1" s="7" t="s">
        <v>5565</v>
      </c>
      <c r="GRM1" s="7" t="s">
        <v>5566</v>
      </c>
      <c r="GRN1" s="7" t="s">
        <v>5567</v>
      </c>
      <c r="GRO1" s="7" t="s">
        <v>5568</v>
      </c>
      <c r="GRP1" s="7" t="s">
        <v>5569</v>
      </c>
      <c r="GRQ1" s="7" t="s">
        <v>5570</v>
      </c>
      <c r="GRR1" s="7" t="s">
        <v>5571</v>
      </c>
      <c r="GRS1" s="7" t="s">
        <v>5572</v>
      </c>
      <c r="GRT1" s="7" t="s">
        <v>5573</v>
      </c>
      <c r="GRU1" s="7" t="s">
        <v>5574</v>
      </c>
      <c r="GRV1" s="7" t="s">
        <v>5575</v>
      </c>
      <c r="GRW1" s="7" t="s">
        <v>5576</v>
      </c>
      <c r="GRX1" s="7" t="s">
        <v>5577</v>
      </c>
      <c r="GRY1" s="7" t="s">
        <v>5578</v>
      </c>
      <c r="GRZ1" s="7" t="s">
        <v>5579</v>
      </c>
      <c r="GSA1" s="7" t="s">
        <v>5580</v>
      </c>
      <c r="GSB1" s="7" t="s">
        <v>5581</v>
      </c>
      <c r="GSC1" s="7" t="s">
        <v>5582</v>
      </c>
      <c r="GSD1" s="7" t="s">
        <v>5583</v>
      </c>
      <c r="GSE1" s="7" t="s">
        <v>5584</v>
      </c>
      <c r="GSF1" s="7" t="s">
        <v>5585</v>
      </c>
      <c r="GSG1" s="7" t="s">
        <v>5586</v>
      </c>
      <c r="GSH1" s="7" t="s">
        <v>5587</v>
      </c>
      <c r="GSI1" s="7" t="s">
        <v>5588</v>
      </c>
      <c r="GSJ1" s="7" t="s">
        <v>5589</v>
      </c>
      <c r="GSK1" s="7" t="s">
        <v>5590</v>
      </c>
      <c r="GSL1" s="7" t="s">
        <v>5591</v>
      </c>
      <c r="GSM1" s="7" t="s">
        <v>5592</v>
      </c>
      <c r="GSN1" s="7" t="s">
        <v>5593</v>
      </c>
      <c r="GSO1" s="7" t="s">
        <v>5594</v>
      </c>
      <c r="GSP1" s="7" t="s">
        <v>5595</v>
      </c>
      <c r="GSQ1" s="7" t="s">
        <v>5596</v>
      </c>
      <c r="GSR1" s="7" t="s">
        <v>5597</v>
      </c>
      <c r="GSS1" s="7" t="s">
        <v>5598</v>
      </c>
      <c r="GST1" s="7" t="s">
        <v>5599</v>
      </c>
      <c r="GSU1" s="7" t="s">
        <v>5600</v>
      </c>
      <c r="GSV1" s="7" t="s">
        <v>5601</v>
      </c>
      <c r="GSW1" s="7" t="s">
        <v>5602</v>
      </c>
      <c r="GSX1" s="7" t="s">
        <v>5603</v>
      </c>
      <c r="GSY1" s="7" t="s">
        <v>5604</v>
      </c>
      <c r="GSZ1" s="7" t="s">
        <v>5605</v>
      </c>
      <c r="GTA1" s="7" t="s">
        <v>5606</v>
      </c>
      <c r="GTB1" s="7" t="s">
        <v>5607</v>
      </c>
      <c r="GTC1" s="7" t="s">
        <v>5608</v>
      </c>
      <c r="GTD1" s="7" t="s">
        <v>5609</v>
      </c>
      <c r="GTE1" s="7" t="s">
        <v>5610</v>
      </c>
      <c r="GTF1" s="7" t="s">
        <v>5611</v>
      </c>
      <c r="GTG1" s="7" t="s">
        <v>5612</v>
      </c>
      <c r="GTH1" s="7" t="s">
        <v>5613</v>
      </c>
      <c r="GTI1" s="7" t="s">
        <v>5614</v>
      </c>
      <c r="GTJ1" s="7" t="s">
        <v>5615</v>
      </c>
      <c r="GTK1" s="7" t="s">
        <v>5616</v>
      </c>
      <c r="GTL1" s="7" t="s">
        <v>5617</v>
      </c>
      <c r="GTM1" s="7" t="s">
        <v>5618</v>
      </c>
      <c r="GTN1" s="7" t="s">
        <v>5619</v>
      </c>
      <c r="GTO1" s="7" t="s">
        <v>5620</v>
      </c>
      <c r="GTP1" s="7" t="s">
        <v>5621</v>
      </c>
      <c r="GTQ1" s="7" t="s">
        <v>5622</v>
      </c>
      <c r="GTR1" s="7" t="s">
        <v>5623</v>
      </c>
      <c r="GTS1" s="7" t="s">
        <v>5624</v>
      </c>
      <c r="GTT1" s="7" t="s">
        <v>5625</v>
      </c>
      <c r="GTU1" s="7" t="s">
        <v>5626</v>
      </c>
      <c r="GTV1" s="7" t="s">
        <v>5627</v>
      </c>
      <c r="GTW1" s="7" t="s">
        <v>5628</v>
      </c>
      <c r="GTX1" s="7" t="s">
        <v>5629</v>
      </c>
      <c r="GTY1" s="7" t="s">
        <v>5630</v>
      </c>
      <c r="GTZ1" s="7" t="s">
        <v>5631</v>
      </c>
      <c r="GUA1" s="7" t="s">
        <v>5632</v>
      </c>
      <c r="GUB1" s="7" t="s">
        <v>5633</v>
      </c>
      <c r="GUC1" s="7" t="s">
        <v>5634</v>
      </c>
      <c r="GUD1" s="7" t="s">
        <v>5635</v>
      </c>
      <c r="GUE1" s="7" t="s">
        <v>5636</v>
      </c>
      <c r="GUF1" s="7" t="s">
        <v>5637</v>
      </c>
      <c r="GUG1" s="7" t="s">
        <v>5638</v>
      </c>
      <c r="GUH1" s="7" t="s">
        <v>5639</v>
      </c>
      <c r="GUI1" s="7" t="s">
        <v>5640</v>
      </c>
      <c r="GUJ1" s="7" t="s">
        <v>5641</v>
      </c>
      <c r="GUK1" s="7" t="s">
        <v>5642</v>
      </c>
      <c r="GUL1" s="7" t="s">
        <v>5643</v>
      </c>
      <c r="GUM1" s="7" t="s">
        <v>5644</v>
      </c>
      <c r="GUN1" s="7" t="s">
        <v>5645</v>
      </c>
      <c r="GUO1" s="7" t="s">
        <v>5646</v>
      </c>
      <c r="GUP1" s="7" t="s">
        <v>5647</v>
      </c>
      <c r="GUQ1" s="7" t="s">
        <v>5648</v>
      </c>
      <c r="GUR1" s="7" t="s">
        <v>5649</v>
      </c>
      <c r="GUS1" s="7" t="s">
        <v>5650</v>
      </c>
      <c r="GUT1" s="7" t="s">
        <v>5651</v>
      </c>
      <c r="GUU1" s="7" t="s">
        <v>5652</v>
      </c>
      <c r="GUV1" s="7" t="s">
        <v>5653</v>
      </c>
      <c r="GUW1" s="7" t="s">
        <v>5654</v>
      </c>
      <c r="GUX1" s="7" t="s">
        <v>5655</v>
      </c>
      <c r="GUY1" s="7" t="s">
        <v>5656</v>
      </c>
      <c r="GUZ1" s="7" t="s">
        <v>5657</v>
      </c>
      <c r="GVA1" s="7" t="s">
        <v>5658</v>
      </c>
      <c r="GVB1" s="7" t="s">
        <v>5659</v>
      </c>
      <c r="GVC1" s="7" t="s">
        <v>5660</v>
      </c>
      <c r="GVD1" s="7" t="s">
        <v>5661</v>
      </c>
      <c r="GVE1" s="7" t="s">
        <v>5662</v>
      </c>
      <c r="GVF1" s="7" t="s">
        <v>5663</v>
      </c>
      <c r="GVG1" s="7" t="s">
        <v>5664</v>
      </c>
      <c r="GVH1" s="7" t="s">
        <v>5665</v>
      </c>
      <c r="GVI1" s="7" t="s">
        <v>5666</v>
      </c>
      <c r="GVJ1" s="7" t="s">
        <v>5667</v>
      </c>
      <c r="GVK1" s="7" t="s">
        <v>5668</v>
      </c>
      <c r="GVL1" s="7" t="s">
        <v>5669</v>
      </c>
      <c r="GVM1" s="7" t="s">
        <v>5670</v>
      </c>
      <c r="GVN1" s="7" t="s">
        <v>5671</v>
      </c>
      <c r="GVO1" s="7" t="s">
        <v>5672</v>
      </c>
      <c r="GVP1" s="7" t="s">
        <v>5673</v>
      </c>
      <c r="GVQ1" s="7" t="s">
        <v>5674</v>
      </c>
      <c r="GVR1" s="7" t="s">
        <v>5675</v>
      </c>
      <c r="GVS1" s="7" t="s">
        <v>5676</v>
      </c>
      <c r="GVT1" s="7" t="s">
        <v>5677</v>
      </c>
      <c r="GVU1" s="7" t="s">
        <v>5678</v>
      </c>
      <c r="GVV1" s="7" t="s">
        <v>5679</v>
      </c>
      <c r="GVW1" s="7" t="s">
        <v>5680</v>
      </c>
      <c r="GVX1" s="7" t="s">
        <v>5681</v>
      </c>
      <c r="GVY1" s="7" t="s">
        <v>5682</v>
      </c>
      <c r="GVZ1" s="7" t="s">
        <v>5683</v>
      </c>
      <c r="GWA1" s="7" t="s">
        <v>5684</v>
      </c>
      <c r="GWB1" s="7" t="s">
        <v>5685</v>
      </c>
      <c r="GWC1" s="7" t="s">
        <v>5686</v>
      </c>
      <c r="GWD1" s="7" t="s">
        <v>5687</v>
      </c>
      <c r="GWE1" s="7" t="s">
        <v>5688</v>
      </c>
      <c r="GWF1" s="7" t="s">
        <v>5689</v>
      </c>
      <c r="GWG1" s="7" t="s">
        <v>5690</v>
      </c>
      <c r="GWH1" s="7" t="s">
        <v>5691</v>
      </c>
      <c r="GWI1" s="7" t="s">
        <v>5692</v>
      </c>
      <c r="GWJ1" s="7" t="s">
        <v>5693</v>
      </c>
      <c r="GWK1" s="7" t="s">
        <v>5694</v>
      </c>
      <c r="GWL1" s="7" t="s">
        <v>5695</v>
      </c>
      <c r="GWM1" s="7" t="s">
        <v>5696</v>
      </c>
      <c r="GWN1" s="7" t="s">
        <v>5697</v>
      </c>
      <c r="GWO1" s="7" t="s">
        <v>5698</v>
      </c>
      <c r="GWP1" s="7" t="s">
        <v>5699</v>
      </c>
      <c r="GWQ1" s="7" t="s">
        <v>5700</v>
      </c>
      <c r="GWR1" s="7" t="s">
        <v>5701</v>
      </c>
      <c r="GWS1" s="7" t="s">
        <v>5702</v>
      </c>
      <c r="GWT1" s="7" t="s">
        <v>5703</v>
      </c>
      <c r="GWU1" s="7" t="s">
        <v>5704</v>
      </c>
      <c r="GWV1" s="7" t="s">
        <v>5705</v>
      </c>
      <c r="GWW1" s="7" t="s">
        <v>5706</v>
      </c>
      <c r="GWX1" s="7" t="s">
        <v>5707</v>
      </c>
      <c r="GWY1" s="7" t="s">
        <v>5708</v>
      </c>
      <c r="GWZ1" s="7" t="s">
        <v>5709</v>
      </c>
      <c r="GXA1" s="7" t="s">
        <v>5710</v>
      </c>
      <c r="GXB1" s="7" t="s">
        <v>5711</v>
      </c>
      <c r="GXC1" s="7" t="s">
        <v>5712</v>
      </c>
      <c r="GXD1" s="7" t="s">
        <v>5713</v>
      </c>
      <c r="GXE1" s="7" t="s">
        <v>5714</v>
      </c>
      <c r="GXF1" s="7" t="s">
        <v>5715</v>
      </c>
      <c r="GXG1" s="7" t="s">
        <v>5716</v>
      </c>
      <c r="GXH1" s="7" t="s">
        <v>5717</v>
      </c>
      <c r="GXI1" s="7" t="s">
        <v>5718</v>
      </c>
      <c r="GXJ1" s="7" t="s">
        <v>5719</v>
      </c>
      <c r="GXK1" s="7" t="s">
        <v>5720</v>
      </c>
      <c r="GXL1" s="7" t="s">
        <v>5721</v>
      </c>
      <c r="GXM1" s="7" t="s">
        <v>5722</v>
      </c>
      <c r="GXN1" s="7" t="s">
        <v>5723</v>
      </c>
      <c r="GXO1" s="7" t="s">
        <v>5724</v>
      </c>
      <c r="GXP1" s="7" t="s">
        <v>5725</v>
      </c>
      <c r="GXQ1" s="7" t="s">
        <v>5726</v>
      </c>
      <c r="GXR1" s="7" t="s">
        <v>5727</v>
      </c>
      <c r="GXS1" s="7" t="s">
        <v>5728</v>
      </c>
      <c r="GXT1" s="7" t="s">
        <v>5729</v>
      </c>
      <c r="GXU1" s="7" t="s">
        <v>5730</v>
      </c>
      <c r="GXV1" s="7" t="s">
        <v>5731</v>
      </c>
      <c r="GXW1" s="7" t="s">
        <v>5732</v>
      </c>
      <c r="GXX1" s="7" t="s">
        <v>5733</v>
      </c>
      <c r="GXY1" s="7" t="s">
        <v>5734</v>
      </c>
      <c r="GXZ1" s="7" t="s">
        <v>5735</v>
      </c>
      <c r="GYA1" s="7" t="s">
        <v>5736</v>
      </c>
      <c r="GYB1" s="7" t="s">
        <v>5737</v>
      </c>
      <c r="GYC1" s="7" t="s">
        <v>5738</v>
      </c>
      <c r="GYD1" s="7" t="s">
        <v>5739</v>
      </c>
      <c r="GYE1" s="7" t="s">
        <v>5740</v>
      </c>
      <c r="GYF1" s="7" t="s">
        <v>5741</v>
      </c>
      <c r="GYG1" s="7" t="s">
        <v>5742</v>
      </c>
      <c r="GYH1" s="7" t="s">
        <v>5743</v>
      </c>
      <c r="GYI1" s="7" t="s">
        <v>5744</v>
      </c>
      <c r="GYJ1" s="7" t="s">
        <v>5745</v>
      </c>
      <c r="GYK1" s="7" t="s">
        <v>5746</v>
      </c>
      <c r="GYL1" s="7" t="s">
        <v>5747</v>
      </c>
      <c r="GYM1" s="7" t="s">
        <v>5748</v>
      </c>
      <c r="GYN1" s="7" t="s">
        <v>5749</v>
      </c>
      <c r="GYO1" s="7" t="s">
        <v>5750</v>
      </c>
      <c r="GYP1" s="7" t="s">
        <v>5751</v>
      </c>
      <c r="GYQ1" s="7" t="s">
        <v>5752</v>
      </c>
      <c r="GYR1" s="7" t="s">
        <v>5753</v>
      </c>
      <c r="GYS1" s="7" t="s">
        <v>5754</v>
      </c>
      <c r="GYT1" s="7" t="s">
        <v>5755</v>
      </c>
      <c r="GYU1" s="7" t="s">
        <v>5756</v>
      </c>
      <c r="GYV1" s="7" t="s">
        <v>5757</v>
      </c>
      <c r="GYW1" s="7" t="s">
        <v>5758</v>
      </c>
      <c r="GYX1" s="7" t="s">
        <v>5759</v>
      </c>
      <c r="GYY1" s="7" t="s">
        <v>5760</v>
      </c>
      <c r="GYZ1" s="7" t="s">
        <v>5761</v>
      </c>
      <c r="GZA1" s="7" t="s">
        <v>5762</v>
      </c>
      <c r="GZB1" s="7" t="s">
        <v>5763</v>
      </c>
      <c r="GZC1" s="7" t="s">
        <v>5764</v>
      </c>
      <c r="GZD1" s="7" t="s">
        <v>5765</v>
      </c>
      <c r="GZE1" s="7" t="s">
        <v>5766</v>
      </c>
      <c r="GZF1" s="7" t="s">
        <v>5767</v>
      </c>
      <c r="GZG1" s="7" t="s">
        <v>5768</v>
      </c>
      <c r="GZH1" s="7" t="s">
        <v>5769</v>
      </c>
      <c r="GZI1" s="7" t="s">
        <v>5770</v>
      </c>
      <c r="GZJ1" s="7" t="s">
        <v>5771</v>
      </c>
      <c r="GZK1" s="7" t="s">
        <v>5772</v>
      </c>
      <c r="GZL1" s="7" t="s">
        <v>5773</v>
      </c>
      <c r="GZM1" s="7" t="s">
        <v>5774</v>
      </c>
      <c r="GZN1" s="7" t="s">
        <v>5775</v>
      </c>
      <c r="GZO1" s="7" t="s">
        <v>5776</v>
      </c>
      <c r="GZP1" s="7" t="s">
        <v>5777</v>
      </c>
      <c r="GZQ1" s="7" t="s">
        <v>5778</v>
      </c>
      <c r="GZR1" s="7" t="s">
        <v>5779</v>
      </c>
      <c r="GZS1" s="7" t="s">
        <v>5780</v>
      </c>
      <c r="GZT1" s="7" t="s">
        <v>5781</v>
      </c>
      <c r="GZU1" s="7" t="s">
        <v>5782</v>
      </c>
      <c r="GZV1" s="7" t="s">
        <v>5783</v>
      </c>
      <c r="GZW1" s="7" t="s">
        <v>5784</v>
      </c>
      <c r="GZX1" s="7" t="s">
        <v>5785</v>
      </c>
      <c r="GZY1" s="7" t="s">
        <v>5786</v>
      </c>
      <c r="GZZ1" s="7" t="s">
        <v>5787</v>
      </c>
      <c r="HAA1" s="7" t="s">
        <v>5788</v>
      </c>
      <c r="HAB1" s="7" t="s">
        <v>5789</v>
      </c>
      <c r="HAC1" s="7" t="s">
        <v>5790</v>
      </c>
      <c r="HAD1" s="7" t="s">
        <v>5791</v>
      </c>
      <c r="HAE1" s="7" t="s">
        <v>5792</v>
      </c>
      <c r="HAF1" s="7" t="s">
        <v>5793</v>
      </c>
      <c r="HAG1" s="7" t="s">
        <v>5794</v>
      </c>
      <c r="HAH1" s="7" t="s">
        <v>5795</v>
      </c>
      <c r="HAI1" s="7" t="s">
        <v>5796</v>
      </c>
      <c r="HAJ1" s="7" t="s">
        <v>5797</v>
      </c>
      <c r="HAK1" s="7" t="s">
        <v>5798</v>
      </c>
      <c r="HAL1" s="7" t="s">
        <v>5799</v>
      </c>
      <c r="HAM1" s="7" t="s">
        <v>5800</v>
      </c>
      <c r="HAN1" s="7" t="s">
        <v>5801</v>
      </c>
      <c r="HAO1" s="7" t="s">
        <v>5802</v>
      </c>
      <c r="HAP1" s="7" t="s">
        <v>5803</v>
      </c>
      <c r="HAQ1" s="7" t="s">
        <v>5804</v>
      </c>
      <c r="HAR1" s="7" t="s">
        <v>5805</v>
      </c>
      <c r="HAS1" s="7" t="s">
        <v>5806</v>
      </c>
      <c r="HAT1" s="7" t="s">
        <v>5807</v>
      </c>
      <c r="HAU1" s="7" t="s">
        <v>5808</v>
      </c>
      <c r="HAV1" s="7" t="s">
        <v>5809</v>
      </c>
      <c r="HAW1" s="7" t="s">
        <v>5810</v>
      </c>
      <c r="HAX1" s="7" t="s">
        <v>5811</v>
      </c>
      <c r="HAY1" s="7" t="s">
        <v>5812</v>
      </c>
      <c r="HAZ1" s="7" t="s">
        <v>5813</v>
      </c>
      <c r="HBA1" s="7" t="s">
        <v>5814</v>
      </c>
      <c r="HBB1" s="7" t="s">
        <v>5815</v>
      </c>
      <c r="HBC1" s="7" t="s">
        <v>5816</v>
      </c>
      <c r="HBD1" s="7" t="s">
        <v>5817</v>
      </c>
      <c r="HBE1" s="7" t="s">
        <v>5818</v>
      </c>
      <c r="HBF1" s="7" t="s">
        <v>5819</v>
      </c>
      <c r="HBG1" s="7" t="s">
        <v>5820</v>
      </c>
      <c r="HBH1" s="7" t="s">
        <v>5821</v>
      </c>
      <c r="HBI1" s="7" t="s">
        <v>5822</v>
      </c>
      <c r="HBJ1" s="7" t="s">
        <v>5823</v>
      </c>
      <c r="HBK1" s="7" t="s">
        <v>5824</v>
      </c>
      <c r="HBL1" s="7" t="s">
        <v>5825</v>
      </c>
      <c r="HBM1" s="7" t="s">
        <v>5826</v>
      </c>
      <c r="HBN1" s="7" t="s">
        <v>5827</v>
      </c>
      <c r="HBO1" s="7" t="s">
        <v>5828</v>
      </c>
      <c r="HBP1" s="7" t="s">
        <v>5829</v>
      </c>
      <c r="HBQ1" s="7" t="s">
        <v>5830</v>
      </c>
      <c r="HBR1" s="7" t="s">
        <v>5831</v>
      </c>
      <c r="HBS1" s="7" t="s">
        <v>5832</v>
      </c>
      <c r="HBT1" s="7" t="s">
        <v>5833</v>
      </c>
      <c r="HBU1" s="7" t="s">
        <v>5834</v>
      </c>
      <c r="HBV1" s="7" t="s">
        <v>5835</v>
      </c>
      <c r="HBW1" s="7" t="s">
        <v>5836</v>
      </c>
      <c r="HBX1" s="7" t="s">
        <v>5837</v>
      </c>
      <c r="HBY1" s="7" t="s">
        <v>5838</v>
      </c>
      <c r="HBZ1" s="7" t="s">
        <v>5839</v>
      </c>
      <c r="HCA1" s="7" t="s">
        <v>5840</v>
      </c>
      <c r="HCB1" s="7" t="s">
        <v>5841</v>
      </c>
      <c r="HCC1" s="7" t="s">
        <v>5842</v>
      </c>
      <c r="HCD1" s="7" t="s">
        <v>5843</v>
      </c>
      <c r="HCE1" s="7" t="s">
        <v>5844</v>
      </c>
      <c r="HCF1" s="7" t="s">
        <v>5845</v>
      </c>
      <c r="HCG1" s="7" t="s">
        <v>5846</v>
      </c>
      <c r="HCH1" s="7" t="s">
        <v>5847</v>
      </c>
      <c r="HCI1" s="7" t="s">
        <v>5848</v>
      </c>
      <c r="HCJ1" s="7" t="s">
        <v>5849</v>
      </c>
      <c r="HCK1" s="7" t="s">
        <v>5850</v>
      </c>
      <c r="HCL1" s="7" t="s">
        <v>5851</v>
      </c>
      <c r="HCM1" s="7" t="s">
        <v>5852</v>
      </c>
      <c r="HCN1" s="7" t="s">
        <v>5853</v>
      </c>
      <c r="HCO1" s="7" t="s">
        <v>5854</v>
      </c>
      <c r="HCP1" s="7" t="s">
        <v>5855</v>
      </c>
      <c r="HCQ1" s="7" t="s">
        <v>5856</v>
      </c>
      <c r="HCR1" s="7" t="s">
        <v>5857</v>
      </c>
      <c r="HCS1" s="7" t="s">
        <v>5858</v>
      </c>
      <c r="HCT1" s="7" t="s">
        <v>5859</v>
      </c>
      <c r="HCU1" s="7" t="s">
        <v>5860</v>
      </c>
      <c r="HCV1" s="7" t="s">
        <v>5861</v>
      </c>
      <c r="HCW1" s="7" t="s">
        <v>5862</v>
      </c>
      <c r="HCX1" s="7" t="s">
        <v>5863</v>
      </c>
      <c r="HCY1" s="7" t="s">
        <v>5864</v>
      </c>
      <c r="HCZ1" s="7" t="s">
        <v>5865</v>
      </c>
      <c r="HDA1" s="7" t="s">
        <v>5866</v>
      </c>
      <c r="HDB1" s="7" t="s">
        <v>5867</v>
      </c>
      <c r="HDC1" s="7" t="s">
        <v>5868</v>
      </c>
      <c r="HDD1" s="7" t="s">
        <v>5869</v>
      </c>
      <c r="HDE1" s="7" t="s">
        <v>5870</v>
      </c>
      <c r="HDF1" s="7" t="s">
        <v>5871</v>
      </c>
      <c r="HDG1" s="7" t="s">
        <v>5872</v>
      </c>
      <c r="HDH1" s="7" t="s">
        <v>5873</v>
      </c>
      <c r="HDI1" s="7" t="s">
        <v>5874</v>
      </c>
      <c r="HDJ1" s="7" t="s">
        <v>5875</v>
      </c>
      <c r="HDK1" s="7" t="s">
        <v>5876</v>
      </c>
      <c r="HDL1" s="7" t="s">
        <v>5877</v>
      </c>
      <c r="HDM1" s="7" t="s">
        <v>5878</v>
      </c>
      <c r="HDN1" s="7" t="s">
        <v>5879</v>
      </c>
      <c r="HDO1" s="7" t="s">
        <v>5880</v>
      </c>
      <c r="HDP1" s="7" t="s">
        <v>5881</v>
      </c>
      <c r="HDQ1" s="7" t="s">
        <v>5882</v>
      </c>
      <c r="HDR1" s="7" t="s">
        <v>5883</v>
      </c>
      <c r="HDS1" s="7" t="s">
        <v>5884</v>
      </c>
      <c r="HDT1" s="7" t="s">
        <v>5885</v>
      </c>
      <c r="HDU1" s="7" t="s">
        <v>5886</v>
      </c>
      <c r="HDV1" s="7" t="s">
        <v>5887</v>
      </c>
      <c r="HDW1" s="7" t="s">
        <v>5888</v>
      </c>
      <c r="HDX1" s="7" t="s">
        <v>5889</v>
      </c>
      <c r="HDY1" s="7" t="s">
        <v>5890</v>
      </c>
      <c r="HDZ1" s="7" t="s">
        <v>5891</v>
      </c>
      <c r="HEA1" s="7" t="s">
        <v>5892</v>
      </c>
      <c r="HEB1" s="7" t="s">
        <v>5893</v>
      </c>
      <c r="HEC1" s="7" t="s">
        <v>5894</v>
      </c>
      <c r="HED1" s="7" t="s">
        <v>5895</v>
      </c>
      <c r="HEE1" s="7" t="s">
        <v>5896</v>
      </c>
      <c r="HEF1" s="7" t="s">
        <v>5897</v>
      </c>
      <c r="HEG1" s="7" t="s">
        <v>5898</v>
      </c>
      <c r="HEH1" s="7" t="s">
        <v>5899</v>
      </c>
      <c r="HEI1" s="7" t="s">
        <v>5900</v>
      </c>
      <c r="HEJ1" s="7" t="s">
        <v>5901</v>
      </c>
      <c r="HEK1" s="7" t="s">
        <v>5902</v>
      </c>
      <c r="HEL1" s="7" t="s">
        <v>5903</v>
      </c>
      <c r="HEM1" s="7" t="s">
        <v>5904</v>
      </c>
      <c r="HEN1" s="7" t="s">
        <v>5905</v>
      </c>
      <c r="HEO1" s="7" t="s">
        <v>5906</v>
      </c>
      <c r="HEP1" s="7" t="s">
        <v>5907</v>
      </c>
      <c r="HEQ1" s="7" t="s">
        <v>5908</v>
      </c>
      <c r="HER1" s="7" t="s">
        <v>5909</v>
      </c>
      <c r="HES1" s="7" t="s">
        <v>5910</v>
      </c>
      <c r="HET1" s="7" t="s">
        <v>5911</v>
      </c>
      <c r="HEU1" s="7" t="s">
        <v>5912</v>
      </c>
      <c r="HEV1" s="7" t="s">
        <v>5913</v>
      </c>
      <c r="HEW1" s="7" t="s">
        <v>5914</v>
      </c>
      <c r="HEX1" s="7" t="s">
        <v>5915</v>
      </c>
      <c r="HEY1" s="7" t="s">
        <v>5916</v>
      </c>
      <c r="HEZ1" s="7" t="s">
        <v>5917</v>
      </c>
      <c r="HFA1" s="7" t="s">
        <v>5918</v>
      </c>
      <c r="HFB1" s="7" t="s">
        <v>5919</v>
      </c>
      <c r="HFC1" s="7" t="s">
        <v>5920</v>
      </c>
      <c r="HFD1" s="7" t="s">
        <v>5921</v>
      </c>
      <c r="HFE1" s="7" t="s">
        <v>5922</v>
      </c>
      <c r="HFF1" s="7" t="s">
        <v>5923</v>
      </c>
      <c r="HFG1" s="7" t="s">
        <v>5924</v>
      </c>
      <c r="HFH1" s="7" t="s">
        <v>5925</v>
      </c>
      <c r="HFI1" s="7" t="s">
        <v>5926</v>
      </c>
      <c r="HFJ1" s="7" t="s">
        <v>5927</v>
      </c>
      <c r="HFK1" s="7" t="s">
        <v>5928</v>
      </c>
      <c r="HFL1" s="7" t="s">
        <v>5929</v>
      </c>
      <c r="HFM1" s="7" t="s">
        <v>5930</v>
      </c>
      <c r="HFN1" s="7" t="s">
        <v>5931</v>
      </c>
      <c r="HFO1" s="7" t="s">
        <v>5932</v>
      </c>
      <c r="HFP1" s="7" t="s">
        <v>5933</v>
      </c>
      <c r="HFQ1" s="7" t="s">
        <v>5934</v>
      </c>
      <c r="HFR1" s="7" t="s">
        <v>5935</v>
      </c>
      <c r="HFS1" s="7" t="s">
        <v>5936</v>
      </c>
      <c r="HFT1" s="7" t="s">
        <v>5937</v>
      </c>
      <c r="HFU1" s="7" t="s">
        <v>5938</v>
      </c>
      <c r="HFV1" s="7" t="s">
        <v>5939</v>
      </c>
      <c r="HFW1" s="7" t="s">
        <v>5940</v>
      </c>
      <c r="HFX1" s="7" t="s">
        <v>5941</v>
      </c>
      <c r="HFY1" s="7" t="s">
        <v>5942</v>
      </c>
      <c r="HFZ1" s="7" t="s">
        <v>5943</v>
      </c>
      <c r="HGA1" s="7" t="s">
        <v>5944</v>
      </c>
      <c r="HGB1" s="7" t="s">
        <v>5945</v>
      </c>
      <c r="HGC1" s="7" t="s">
        <v>5946</v>
      </c>
      <c r="HGD1" s="7" t="s">
        <v>5947</v>
      </c>
      <c r="HGE1" s="7" t="s">
        <v>5948</v>
      </c>
      <c r="HGF1" s="7" t="s">
        <v>5949</v>
      </c>
      <c r="HGG1" s="7" t="s">
        <v>5950</v>
      </c>
      <c r="HGH1" s="7" t="s">
        <v>5951</v>
      </c>
      <c r="HGI1" s="7" t="s">
        <v>5952</v>
      </c>
      <c r="HGJ1" s="7" t="s">
        <v>5953</v>
      </c>
      <c r="HGK1" s="7" t="s">
        <v>5954</v>
      </c>
      <c r="HGL1" s="7" t="s">
        <v>5955</v>
      </c>
      <c r="HGM1" s="7" t="s">
        <v>5956</v>
      </c>
      <c r="HGN1" s="7" t="s">
        <v>5957</v>
      </c>
      <c r="HGO1" s="7" t="s">
        <v>5958</v>
      </c>
      <c r="HGP1" s="7" t="s">
        <v>5959</v>
      </c>
      <c r="HGQ1" s="7" t="s">
        <v>5960</v>
      </c>
      <c r="HGR1" s="7" t="s">
        <v>5961</v>
      </c>
      <c r="HGS1" s="7" t="s">
        <v>5962</v>
      </c>
      <c r="HGT1" s="7" t="s">
        <v>5963</v>
      </c>
      <c r="HGU1" s="7" t="s">
        <v>5964</v>
      </c>
      <c r="HGV1" s="7" t="s">
        <v>5965</v>
      </c>
      <c r="HGW1" s="7" t="s">
        <v>5966</v>
      </c>
      <c r="HGX1" s="7" t="s">
        <v>5967</v>
      </c>
      <c r="HGY1" s="7" t="s">
        <v>5968</v>
      </c>
      <c r="HGZ1" s="7" t="s">
        <v>5969</v>
      </c>
      <c r="HHA1" s="7" t="s">
        <v>5970</v>
      </c>
      <c r="HHB1" s="7" t="s">
        <v>5971</v>
      </c>
      <c r="HHC1" s="7" t="s">
        <v>5972</v>
      </c>
      <c r="HHD1" s="7" t="s">
        <v>5973</v>
      </c>
      <c r="HHE1" s="7" t="s">
        <v>5974</v>
      </c>
      <c r="HHF1" s="7" t="s">
        <v>5975</v>
      </c>
      <c r="HHG1" s="7" t="s">
        <v>5976</v>
      </c>
      <c r="HHH1" s="7" t="s">
        <v>5977</v>
      </c>
      <c r="HHI1" s="7" t="s">
        <v>5978</v>
      </c>
      <c r="HHJ1" s="7" t="s">
        <v>5979</v>
      </c>
      <c r="HHK1" s="7" t="s">
        <v>5980</v>
      </c>
      <c r="HHL1" s="7" t="s">
        <v>5981</v>
      </c>
      <c r="HHM1" s="7" t="s">
        <v>5982</v>
      </c>
      <c r="HHN1" s="7" t="s">
        <v>5983</v>
      </c>
      <c r="HHO1" s="7" t="s">
        <v>5984</v>
      </c>
      <c r="HHP1" s="7" t="s">
        <v>5985</v>
      </c>
      <c r="HHQ1" s="7" t="s">
        <v>5986</v>
      </c>
      <c r="HHR1" s="7" t="s">
        <v>5987</v>
      </c>
      <c r="HHS1" s="7" t="s">
        <v>5988</v>
      </c>
      <c r="HHT1" s="7" t="s">
        <v>5989</v>
      </c>
      <c r="HHU1" s="7" t="s">
        <v>5990</v>
      </c>
      <c r="HHV1" s="7" t="s">
        <v>5991</v>
      </c>
      <c r="HHW1" s="7" t="s">
        <v>5992</v>
      </c>
      <c r="HHX1" s="7" t="s">
        <v>5993</v>
      </c>
      <c r="HHY1" s="7" t="s">
        <v>5994</v>
      </c>
      <c r="HHZ1" s="7" t="s">
        <v>5995</v>
      </c>
      <c r="HIA1" s="7" t="s">
        <v>5996</v>
      </c>
      <c r="HIB1" s="7" t="s">
        <v>5997</v>
      </c>
      <c r="HIC1" s="7" t="s">
        <v>5998</v>
      </c>
      <c r="HID1" s="7" t="s">
        <v>5999</v>
      </c>
      <c r="HIE1" s="7" t="s">
        <v>6000</v>
      </c>
      <c r="HIF1" s="7" t="s">
        <v>6001</v>
      </c>
      <c r="HIG1" s="7" t="s">
        <v>6002</v>
      </c>
      <c r="HIH1" s="7" t="s">
        <v>6003</v>
      </c>
      <c r="HII1" s="7" t="s">
        <v>6004</v>
      </c>
      <c r="HIJ1" s="7" t="s">
        <v>6005</v>
      </c>
      <c r="HIK1" s="7" t="s">
        <v>6006</v>
      </c>
      <c r="HIL1" s="7" t="s">
        <v>6007</v>
      </c>
      <c r="HIM1" s="7" t="s">
        <v>6008</v>
      </c>
      <c r="HIN1" s="7" t="s">
        <v>6009</v>
      </c>
      <c r="HIO1" s="7" t="s">
        <v>6010</v>
      </c>
      <c r="HIP1" s="7" t="s">
        <v>6011</v>
      </c>
      <c r="HIQ1" s="7" t="s">
        <v>6012</v>
      </c>
      <c r="HIR1" s="7" t="s">
        <v>6013</v>
      </c>
      <c r="HIS1" s="7" t="s">
        <v>6014</v>
      </c>
      <c r="HIT1" s="7" t="s">
        <v>6015</v>
      </c>
      <c r="HIU1" s="7" t="s">
        <v>6016</v>
      </c>
      <c r="HIV1" s="7" t="s">
        <v>6017</v>
      </c>
      <c r="HIW1" s="7" t="s">
        <v>6018</v>
      </c>
      <c r="HIX1" s="7" t="s">
        <v>6019</v>
      </c>
      <c r="HIY1" s="7" t="s">
        <v>6020</v>
      </c>
      <c r="HIZ1" s="7" t="s">
        <v>6021</v>
      </c>
      <c r="HJA1" s="7" t="s">
        <v>6022</v>
      </c>
      <c r="HJB1" s="7" t="s">
        <v>6023</v>
      </c>
      <c r="HJC1" s="7" t="s">
        <v>6024</v>
      </c>
      <c r="HJD1" s="7" t="s">
        <v>6025</v>
      </c>
      <c r="HJE1" s="7" t="s">
        <v>6026</v>
      </c>
      <c r="HJF1" s="7" t="s">
        <v>6027</v>
      </c>
      <c r="HJG1" s="7" t="s">
        <v>6028</v>
      </c>
      <c r="HJH1" s="7" t="s">
        <v>6029</v>
      </c>
      <c r="HJI1" s="7" t="s">
        <v>6030</v>
      </c>
      <c r="HJJ1" s="7" t="s">
        <v>6031</v>
      </c>
      <c r="HJK1" s="7" t="s">
        <v>6032</v>
      </c>
      <c r="HJL1" s="7" t="s">
        <v>6033</v>
      </c>
      <c r="HJM1" s="7" t="s">
        <v>6034</v>
      </c>
      <c r="HJN1" s="7" t="s">
        <v>6035</v>
      </c>
      <c r="HJO1" s="7" t="s">
        <v>6036</v>
      </c>
      <c r="HJP1" s="7" t="s">
        <v>6037</v>
      </c>
      <c r="HJQ1" s="7" t="s">
        <v>6038</v>
      </c>
      <c r="HJR1" s="7" t="s">
        <v>6039</v>
      </c>
      <c r="HJS1" s="7" t="s">
        <v>6040</v>
      </c>
      <c r="HJT1" s="7" t="s">
        <v>6041</v>
      </c>
      <c r="HJU1" s="7" t="s">
        <v>6042</v>
      </c>
      <c r="HJV1" s="7" t="s">
        <v>6043</v>
      </c>
      <c r="HJW1" s="7" t="s">
        <v>6044</v>
      </c>
      <c r="HJX1" s="7" t="s">
        <v>6045</v>
      </c>
      <c r="HJY1" s="7" t="s">
        <v>6046</v>
      </c>
      <c r="HJZ1" s="7" t="s">
        <v>6047</v>
      </c>
      <c r="HKA1" s="7" t="s">
        <v>6048</v>
      </c>
      <c r="HKB1" s="7" t="s">
        <v>6049</v>
      </c>
      <c r="HKC1" s="7" t="s">
        <v>6050</v>
      </c>
      <c r="HKD1" s="7" t="s">
        <v>6051</v>
      </c>
      <c r="HKE1" s="7" t="s">
        <v>6052</v>
      </c>
      <c r="HKF1" s="7" t="s">
        <v>6053</v>
      </c>
      <c r="HKG1" s="7" t="s">
        <v>6054</v>
      </c>
      <c r="HKH1" s="7" t="s">
        <v>6055</v>
      </c>
      <c r="HKI1" s="7" t="s">
        <v>6056</v>
      </c>
      <c r="HKJ1" s="7" t="s">
        <v>6057</v>
      </c>
      <c r="HKK1" s="7" t="s">
        <v>6058</v>
      </c>
      <c r="HKL1" s="7" t="s">
        <v>6059</v>
      </c>
      <c r="HKM1" s="7" t="s">
        <v>6060</v>
      </c>
      <c r="HKN1" s="7" t="s">
        <v>6061</v>
      </c>
      <c r="HKO1" s="7" t="s">
        <v>6062</v>
      </c>
      <c r="HKP1" s="7" t="s">
        <v>6063</v>
      </c>
      <c r="HKQ1" s="7" t="s">
        <v>6064</v>
      </c>
      <c r="HKR1" s="7" t="s">
        <v>6065</v>
      </c>
      <c r="HKS1" s="7" t="s">
        <v>6066</v>
      </c>
      <c r="HKT1" s="7" t="s">
        <v>6067</v>
      </c>
      <c r="HKU1" s="7" t="s">
        <v>6068</v>
      </c>
      <c r="HKV1" s="7" t="s">
        <v>6069</v>
      </c>
      <c r="HKW1" s="7" t="s">
        <v>6070</v>
      </c>
      <c r="HKX1" s="7" t="s">
        <v>6071</v>
      </c>
      <c r="HKY1" s="7" t="s">
        <v>6072</v>
      </c>
      <c r="HKZ1" s="7" t="s">
        <v>6073</v>
      </c>
      <c r="HLA1" s="7" t="s">
        <v>6074</v>
      </c>
      <c r="HLB1" s="7" t="s">
        <v>6075</v>
      </c>
      <c r="HLC1" s="7" t="s">
        <v>6076</v>
      </c>
      <c r="HLD1" s="7" t="s">
        <v>6077</v>
      </c>
      <c r="HLE1" s="7" t="s">
        <v>6078</v>
      </c>
      <c r="HLF1" s="7" t="s">
        <v>6079</v>
      </c>
      <c r="HLG1" s="7" t="s">
        <v>6080</v>
      </c>
      <c r="HLH1" s="7" t="s">
        <v>6081</v>
      </c>
      <c r="HLI1" s="7" t="s">
        <v>6082</v>
      </c>
      <c r="HLJ1" s="7" t="s">
        <v>6083</v>
      </c>
      <c r="HLK1" s="7" t="s">
        <v>6084</v>
      </c>
      <c r="HLL1" s="7" t="s">
        <v>6085</v>
      </c>
      <c r="HLM1" s="7" t="s">
        <v>6086</v>
      </c>
      <c r="HLN1" s="7" t="s">
        <v>6087</v>
      </c>
      <c r="HLO1" s="7" t="s">
        <v>6088</v>
      </c>
      <c r="HLP1" s="7" t="s">
        <v>6089</v>
      </c>
      <c r="HLQ1" s="7" t="s">
        <v>6090</v>
      </c>
      <c r="HLR1" s="7" t="s">
        <v>6091</v>
      </c>
      <c r="HLS1" s="7" t="s">
        <v>6092</v>
      </c>
      <c r="HLT1" s="7" t="s">
        <v>6093</v>
      </c>
      <c r="HLU1" s="7" t="s">
        <v>6094</v>
      </c>
      <c r="HLV1" s="7" t="s">
        <v>6095</v>
      </c>
      <c r="HLW1" s="7" t="s">
        <v>6096</v>
      </c>
      <c r="HLX1" s="7" t="s">
        <v>6097</v>
      </c>
      <c r="HLY1" s="7" t="s">
        <v>6098</v>
      </c>
      <c r="HLZ1" s="7" t="s">
        <v>6099</v>
      </c>
      <c r="HMA1" s="7" t="s">
        <v>6100</v>
      </c>
      <c r="HMB1" s="7" t="s">
        <v>6101</v>
      </c>
      <c r="HMC1" s="7" t="s">
        <v>6102</v>
      </c>
      <c r="HMD1" s="7" t="s">
        <v>6103</v>
      </c>
      <c r="HME1" s="7" t="s">
        <v>6104</v>
      </c>
      <c r="HMF1" s="7" t="s">
        <v>6105</v>
      </c>
      <c r="HMG1" s="7" t="s">
        <v>6106</v>
      </c>
      <c r="HMH1" s="7" t="s">
        <v>6107</v>
      </c>
      <c r="HMI1" s="7" t="s">
        <v>6108</v>
      </c>
      <c r="HMJ1" s="7" t="s">
        <v>6109</v>
      </c>
      <c r="HMK1" s="7" t="s">
        <v>6110</v>
      </c>
      <c r="HML1" s="7" t="s">
        <v>6111</v>
      </c>
      <c r="HMM1" s="7" t="s">
        <v>6112</v>
      </c>
      <c r="HMN1" s="7" t="s">
        <v>6113</v>
      </c>
      <c r="HMO1" s="7" t="s">
        <v>6114</v>
      </c>
      <c r="HMP1" s="7" t="s">
        <v>6115</v>
      </c>
      <c r="HMQ1" s="7" t="s">
        <v>6116</v>
      </c>
      <c r="HMR1" s="7" t="s">
        <v>6117</v>
      </c>
      <c r="HMS1" s="7" t="s">
        <v>6118</v>
      </c>
      <c r="HMT1" s="7" t="s">
        <v>6119</v>
      </c>
      <c r="HMU1" s="7" t="s">
        <v>6120</v>
      </c>
      <c r="HMV1" s="7" t="s">
        <v>6121</v>
      </c>
      <c r="HMW1" s="7" t="s">
        <v>6122</v>
      </c>
      <c r="HMX1" s="7" t="s">
        <v>6123</v>
      </c>
      <c r="HMY1" s="7" t="s">
        <v>6124</v>
      </c>
      <c r="HMZ1" s="7" t="s">
        <v>6125</v>
      </c>
      <c r="HNA1" s="7" t="s">
        <v>6126</v>
      </c>
      <c r="HNB1" s="7" t="s">
        <v>6127</v>
      </c>
      <c r="HNC1" s="7" t="s">
        <v>6128</v>
      </c>
      <c r="HND1" s="7" t="s">
        <v>6129</v>
      </c>
      <c r="HNE1" s="7" t="s">
        <v>6130</v>
      </c>
      <c r="HNF1" s="7" t="s">
        <v>6131</v>
      </c>
      <c r="HNG1" s="7" t="s">
        <v>6132</v>
      </c>
      <c r="HNH1" s="7" t="s">
        <v>6133</v>
      </c>
      <c r="HNI1" s="7" t="s">
        <v>6134</v>
      </c>
      <c r="HNJ1" s="7" t="s">
        <v>6135</v>
      </c>
      <c r="HNK1" s="7" t="s">
        <v>6136</v>
      </c>
      <c r="HNL1" s="7" t="s">
        <v>6137</v>
      </c>
      <c r="HNM1" s="7" t="s">
        <v>6138</v>
      </c>
      <c r="HNN1" s="7" t="s">
        <v>6139</v>
      </c>
      <c r="HNO1" s="7" t="s">
        <v>6140</v>
      </c>
      <c r="HNP1" s="7" t="s">
        <v>6141</v>
      </c>
      <c r="HNQ1" s="7" t="s">
        <v>6142</v>
      </c>
      <c r="HNR1" s="7" t="s">
        <v>6143</v>
      </c>
      <c r="HNS1" s="7" t="s">
        <v>6144</v>
      </c>
      <c r="HNT1" s="7" t="s">
        <v>6145</v>
      </c>
      <c r="HNU1" s="7" t="s">
        <v>6146</v>
      </c>
      <c r="HNV1" s="7" t="s">
        <v>6147</v>
      </c>
      <c r="HNW1" s="7" t="s">
        <v>6148</v>
      </c>
      <c r="HNX1" s="7" t="s">
        <v>6149</v>
      </c>
      <c r="HNY1" s="7" t="s">
        <v>6150</v>
      </c>
      <c r="HNZ1" s="7" t="s">
        <v>6151</v>
      </c>
      <c r="HOA1" s="7" t="s">
        <v>6152</v>
      </c>
      <c r="HOB1" s="7" t="s">
        <v>6153</v>
      </c>
      <c r="HOC1" s="7" t="s">
        <v>6154</v>
      </c>
      <c r="HOD1" s="7" t="s">
        <v>6155</v>
      </c>
      <c r="HOE1" s="7" t="s">
        <v>6156</v>
      </c>
      <c r="HOF1" s="7" t="s">
        <v>6157</v>
      </c>
      <c r="HOG1" s="7" t="s">
        <v>6158</v>
      </c>
      <c r="HOH1" s="7" t="s">
        <v>6159</v>
      </c>
      <c r="HOI1" s="7" t="s">
        <v>6160</v>
      </c>
      <c r="HOJ1" s="7" t="s">
        <v>6161</v>
      </c>
      <c r="HOK1" s="7" t="s">
        <v>6162</v>
      </c>
      <c r="HOL1" s="7" t="s">
        <v>6163</v>
      </c>
      <c r="HOM1" s="7" t="s">
        <v>6164</v>
      </c>
      <c r="HON1" s="7" t="s">
        <v>6165</v>
      </c>
      <c r="HOO1" s="7" t="s">
        <v>6166</v>
      </c>
      <c r="HOP1" s="7" t="s">
        <v>6167</v>
      </c>
      <c r="HOQ1" s="7" t="s">
        <v>6168</v>
      </c>
      <c r="HOR1" s="7" t="s">
        <v>6169</v>
      </c>
      <c r="HOS1" s="7" t="s">
        <v>6170</v>
      </c>
      <c r="HOT1" s="7" t="s">
        <v>6171</v>
      </c>
      <c r="HOU1" s="7" t="s">
        <v>6172</v>
      </c>
      <c r="HOV1" s="7" t="s">
        <v>6173</v>
      </c>
      <c r="HOW1" s="7" t="s">
        <v>6174</v>
      </c>
      <c r="HOX1" s="7" t="s">
        <v>6175</v>
      </c>
      <c r="HOY1" s="7" t="s">
        <v>6176</v>
      </c>
      <c r="HOZ1" s="7" t="s">
        <v>6177</v>
      </c>
      <c r="HPA1" s="7" t="s">
        <v>6178</v>
      </c>
      <c r="HPB1" s="7" t="s">
        <v>6179</v>
      </c>
      <c r="HPC1" s="7" t="s">
        <v>6180</v>
      </c>
      <c r="HPD1" s="7" t="s">
        <v>6181</v>
      </c>
      <c r="HPE1" s="7" t="s">
        <v>6182</v>
      </c>
      <c r="HPF1" s="7" t="s">
        <v>6183</v>
      </c>
      <c r="HPG1" s="7" t="s">
        <v>6184</v>
      </c>
      <c r="HPH1" s="7" t="s">
        <v>6185</v>
      </c>
      <c r="HPI1" s="7" t="s">
        <v>6186</v>
      </c>
      <c r="HPJ1" s="7" t="s">
        <v>6187</v>
      </c>
      <c r="HPK1" s="7" t="s">
        <v>6188</v>
      </c>
      <c r="HPL1" s="7" t="s">
        <v>6189</v>
      </c>
      <c r="HPM1" s="7" t="s">
        <v>6190</v>
      </c>
      <c r="HPN1" s="7" t="s">
        <v>6191</v>
      </c>
      <c r="HPO1" s="7" t="s">
        <v>6192</v>
      </c>
      <c r="HPP1" s="7" t="s">
        <v>6193</v>
      </c>
      <c r="HPQ1" s="7" t="s">
        <v>6194</v>
      </c>
      <c r="HPR1" s="7" t="s">
        <v>6195</v>
      </c>
      <c r="HPS1" s="7" t="s">
        <v>6196</v>
      </c>
      <c r="HPT1" s="7" t="s">
        <v>6197</v>
      </c>
      <c r="HPU1" s="7" t="s">
        <v>6198</v>
      </c>
      <c r="HPV1" s="7" t="s">
        <v>6199</v>
      </c>
      <c r="HPW1" s="7" t="s">
        <v>6200</v>
      </c>
      <c r="HPX1" s="7" t="s">
        <v>6201</v>
      </c>
      <c r="HPY1" s="7" t="s">
        <v>6202</v>
      </c>
      <c r="HPZ1" s="7" t="s">
        <v>6203</v>
      </c>
      <c r="HQA1" s="7" t="s">
        <v>6204</v>
      </c>
      <c r="HQB1" s="7" t="s">
        <v>6205</v>
      </c>
      <c r="HQC1" s="7" t="s">
        <v>6206</v>
      </c>
      <c r="HQD1" s="7" t="s">
        <v>6207</v>
      </c>
      <c r="HQE1" s="7" t="s">
        <v>6208</v>
      </c>
      <c r="HQF1" s="7" t="s">
        <v>6209</v>
      </c>
      <c r="HQG1" s="7" t="s">
        <v>6210</v>
      </c>
      <c r="HQH1" s="7" t="s">
        <v>6211</v>
      </c>
      <c r="HQI1" s="7" t="s">
        <v>6212</v>
      </c>
      <c r="HQJ1" s="7" t="s">
        <v>6213</v>
      </c>
      <c r="HQK1" s="7" t="s">
        <v>6214</v>
      </c>
      <c r="HQL1" s="7" t="s">
        <v>6215</v>
      </c>
      <c r="HQM1" s="7" t="s">
        <v>6216</v>
      </c>
      <c r="HQN1" s="7" t="s">
        <v>6217</v>
      </c>
      <c r="HQO1" s="7" t="s">
        <v>6218</v>
      </c>
      <c r="HQP1" s="7" t="s">
        <v>6219</v>
      </c>
      <c r="HQQ1" s="7" t="s">
        <v>6220</v>
      </c>
      <c r="HQR1" s="7" t="s">
        <v>6221</v>
      </c>
      <c r="HQS1" s="7" t="s">
        <v>6222</v>
      </c>
      <c r="HQT1" s="7" t="s">
        <v>6223</v>
      </c>
      <c r="HQU1" s="7" t="s">
        <v>6224</v>
      </c>
      <c r="HQV1" s="7" t="s">
        <v>6225</v>
      </c>
      <c r="HQW1" s="7" t="s">
        <v>6226</v>
      </c>
      <c r="HQX1" s="7" t="s">
        <v>6227</v>
      </c>
      <c r="HQY1" s="7" t="s">
        <v>6228</v>
      </c>
      <c r="HQZ1" s="7" t="s">
        <v>6229</v>
      </c>
      <c r="HRA1" s="7" t="s">
        <v>6230</v>
      </c>
      <c r="HRB1" s="7" t="s">
        <v>6231</v>
      </c>
      <c r="HRC1" s="7" t="s">
        <v>6232</v>
      </c>
      <c r="HRD1" s="7" t="s">
        <v>6233</v>
      </c>
      <c r="HRE1" s="7" t="s">
        <v>6234</v>
      </c>
      <c r="HRF1" s="7" t="s">
        <v>6235</v>
      </c>
      <c r="HRG1" s="7" t="s">
        <v>6236</v>
      </c>
      <c r="HRH1" s="7" t="s">
        <v>6237</v>
      </c>
      <c r="HRI1" s="7" t="s">
        <v>6238</v>
      </c>
      <c r="HRJ1" s="7" t="s">
        <v>6239</v>
      </c>
      <c r="HRK1" s="7" t="s">
        <v>6240</v>
      </c>
      <c r="HRL1" s="7" t="s">
        <v>6241</v>
      </c>
      <c r="HRM1" s="7" t="s">
        <v>6242</v>
      </c>
      <c r="HRN1" s="7" t="s">
        <v>6243</v>
      </c>
      <c r="HRO1" s="7" t="s">
        <v>6244</v>
      </c>
      <c r="HRP1" s="7" t="s">
        <v>6245</v>
      </c>
      <c r="HRQ1" s="7" t="s">
        <v>6246</v>
      </c>
      <c r="HRR1" s="7" t="s">
        <v>6247</v>
      </c>
      <c r="HRS1" s="7" t="s">
        <v>6248</v>
      </c>
      <c r="HRT1" s="7" t="s">
        <v>6249</v>
      </c>
      <c r="HRU1" s="7" t="s">
        <v>6250</v>
      </c>
      <c r="HRV1" s="7" t="s">
        <v>6251</v>
      </c>
      <c r="HRW1" s="7" t="s">
        <v>6252</v>
      </c>
      <c r="HRX1" s="7" t="s">
        <v>6253</v>
      </c>
      <c r="HRY1" s="7" t="s">
        <v>6254</v>
      </c>
      <c r="HRZ1" s="7" t="s">
        <v>6255</v>
      </c>
      <c r="HSA1" s="7" t="s">
        <v>6256</v>
      </c>
      <c r="HSB1" s="7" t="s">
        <v>6257</v>
      </c>
      <c r="HSC1" s="7" t="s">
        <v>6258</v>
      </c>
      <c r="HSD1" s="7" t="s">
        <v>6259</v>
      </c>
      <c r="HSE1" s="7" t="s">
        <v>6260</v>
      </c>
      <c r="HSF1" s="7" t="s">
        <v>6261</v>
      </c>
      <c r="HSG1" s="7" t="s">
        <v>6262</v>
      </c>
      <c r="HSH1" s="7" t="s">
        <v>6263</v>
      </c>
      <c r="HSI1" s="7" t="s">
        <v>6264</v>
      </c>
      <c r="HSJ1" s="7" t="s">
        <v>6265</v>
      </c>
      <c r="HSK1" s="7" t="s">
        <v>6266</v>
      </c>
      <c r="HSL1" s="7" t="s">
        <v>6267</v>
      </c>
      <c r="HSM1" s="7" t="s">
        <v>6268</v>
      </c>
      <c r="HSN1" s="7" t="s">
        <v>6269</v>
      </c>
      <c r="HSO1" s="7" t="s">
        <v>6270</v>
      </c>
      <c r="HSP1" s="7" t="s">
        <v>6271</v>
      </c>
      <c r="HSQ1" s="7" t="s">
        <v>6272</v>
      </c>
      <c r="HSR1" s="7" t="s">
        <v>6273</v>
      </c>
      <c r="HSS1" s="7" t="s">
        <v>6274</v>
      </c>
      <c r="HST1" s="7" t="s">
        <v>6275</v>
      </c>
      <c r="HSU1" s="7" t="s">
        <v>6276</v>
      </c>
      <c r="HSV1" s="7" t="s">
        <v>6277</v>
      </c>
      <c r="HSW1" s="7" t="s">
        <v>6278</v>
      </c>
      <c r="HSX1" s="7" t="s">
        <v>6279</v>
      </c>
      <c r="HSY1" s="7" t="s">
        <v>6280</v>
      </c>
      <c r="HSZ1" s="7" t="s">
        <v>6281</v>
      </c>
      <c r="HTA1" s="7" t="s">
        <v>6282</v>
      </c>
      <c r="HTB1" s="7" t="s">
        <v>6283</v>
      </c>
      <c r="HTC1" s="7" t="s">
        <v>6284</v>
      </c>
      <c r="HTD1" s="7" t="s">
        <v>6285</v>
      </c>
      <c r="HTE1" s="7" t="s">
        <v>6286</v>
      </c>
      <c r="HTF1" s="7" t="s">
        <v>6287</v>
      </c>
      <c r="HTG1" s="7" t="s">
        <v>6288</v>
      </c>
      <c r="HTH1" s="7" t="s">
        <v>6289</v>
      </c>
      <c r="HTI1" s="7" t="s">
        <v>6290</v>
      </c>
      <c r="HTJ1" s="7" t="s">
        <v>6291</v>
      </c>
      <c r="HTK1" s="7" t="s">
        <v>6292</v>
      </c>
      <c r="HTL1" s="7" t="s">
        <v>6293</v>
      </c>
      <c r="HTM1" s="7" t="s">
        <v>6294</v>
      </c>
      <c r="HTN1" s="7" t="s">
        <v>6295</v>
      </c>
      <c r="HTO1" s="7" t="s">
        <v>6296</v>
      </c>
      <c r="HTP1" s="7" t="s">
        <v>6297</v>
      </c>
      <c r="HTQ1" s="7" t="s">
        <v>6298</v>
      </c>
      <c r="HTR1" s="7" t="s">
        <v>6299</v>
      </c>
      <c r="HTS1" s="7" t="s">
        <v>6300</v>
      </c>
      <c r="HTT1" s="7" t="s">
        <v>6301</v>
      </c>
      <c r="HTU1" s="7" t="s">
        <v>6302</v>
      </c>
      <c r="HTV1" s="7" t="s">
        <v>6303</v>
      </c>
      <c r="HTW1" s="7" t="s">
        <v>6304</v>
      </c>
      <c r="HTX1" s="7" t="s">
        <v>6305</v>
      </c>
      <c r="HTY1" s="7" t="s">
        <v>6306</v>
      </c>
      <c r="HTZ1" s="7" t="s">
        <v>6307</v>
      </c>
      <c r="HUA1" s="7" t="s">
        <v>6308</v>
      </c>
      <c r="HUB1" s="7" t="s">
        <v>6309</v>
      </c>
      <c r="HUC1" s="7" t="s">
        <v>6310</v>
      </c>
      <c r="HUD1" s="7" t="s">
        <v>6311</v>
      </c>
      <c r="HUE1" s="7" t="s">
        <v>6312</v>
      </c>
      <c r="HUF1" s="7" t="s">
        <v>6313</v>
      </c>
      <c r="HUG1" s="7" t="s">
        <v>6314</v>
      </c>
      <c r="HUH1" s="7" t="s">
        <v>6315</v>
      </c>
      <c r="HUI1" s="7" t="s">
        <v>6316</v>
      </c>
      <c r="HUJ1" s="7" t="s">
        <v>6317</v>
      </c>
      <c r="HUK1" s="7" t="s">
        <v>6318</v>
      </c>
      <c r="HUL1" s="7" t="s">
        <v>6319</v>
      </c>
      <c r="HUM1" s="7" t="s">
        <v>6320</v>
      </c>
      <c r="HUN1" s="7" t="s">
        <v>6321</v>
      </c>
      <c r="HUO1" s="7" t="s">
        <v>6322</v>
      </c>
      <c r="HUP1" s="7" t="s">
        <v>6323</v>
      </c>
      <c r="HUQ1" s="7" t="s">
        <v>6324</v>
      </c>
      <c r="HUR1" s="7" t="s">
        <v>6325</v>
      </c>
      <c r="HUS1" s="7" t="s">
        <v>6326</v>
      </c>
      <c r="HUT1" s="7" t="s">
        <v>6327</v>
      </c>
      <c r="HUU1" s="7" t="s">
        <v>6328</v>
      </c>
      <c r="HUV1" s="7" t="s">
        <v>6329</v>
      </c>
      <c r="HUW1" s="7" t="s">
        <v>6330</v>
      </c>
      <c r="HUX1" s="7" t="s">
        <v>6331</v>
      </c>
      <c r="HUY1" s="7" t="s">
        <v>6332</v>
      </c>
      <c r="HUZ1" s="7" t="s">
        <v>6333</v>
      </c>
      <c r="HVA1" s="7" t="s">
        <v>6334</v>
      </c>
      <c r="HVB1" s="7" t="s">
        <v>6335</v>
      </c>
      <c r="HVC1" s="7" t="s">
        <v>6336</v>
      </c>
      <c r="HVD1" s="7" t="s">
        <v>6337</v>
      </c>
      <c r="HVE1" s="7" t="s">
        <v>6338</v>
      </c>
      <c r="HVF1" s="7" t="s">
        <v>6339</v>
      </c>
      <c r="HVG1" s="7" t="s">
        <v>6340</v>
      </c>
      <c r="HVH1" s="7" t="s">
        <v>6341</v>
      </c>
      <c r="HVI1" s="7" t="s">
        <v>6342</v>
      </c>
      <c r="HVJ1" s="7" t="s">
        <v>6343</v>
      </c>
      <c r="HVK1" s="7" t="s">
        <v>6344</v>
      </c>
      <c r="HVL1" s="7" t="s">
        <v>6345</v>
      </c>
      <c r="HVM1" s="7" t="s">
        <v>6346</v>
      </c>
      <c r="HVN1" s="7" t="s">
        <v>6347</v>
      </c>
      <c r="HVO1" s="7" t="s">
        <v>6348</v>
      </c>
      <c r="HVP1" s="7" t="s">
        <v>6349</v>
      </c>
      <c r="HVQ1" s="7" t="s">
        <v>6350</v>
      </c>
      <c r="HVR1" s="7" t="s">
        <v>6351</v>
      </c>
      <c r="HVS1" s="7" t="s">
        <v>6352</v>
      </c>
      <c r="HVT1" s="7" t="s">
        <v>6353</v>
      </c>
      <c r="HVU1" s="7" t="s">
        <v>6354</v>
      </c>
      <c r="HVV1" s="7" t="s">
        <v>6355</v>
      </c>
      <c r="HVW1" s="7" t="s">
        <v>6356</v>
      </c>
      <c r="HVX1" s="7" t="s">
        <v>6357</v>
      </c>
      <c r="HVY1" s="7" t="s">
        <v>6358</v>
      </c>
      <c r="HVZ1" s="7" t="s">
        <v>6359</v>
      </c>
      <c r="HWA1" s="7" t="s">
        <v>6360</v>
      </c>
      <c r="HWB1" s="7" t="s">
        <v>6361</v>
      </c>
      <c r="HWC1" s="7" t="s">
        <v>6362</v>
      </c>
      <c r="HWD1" s="7" t="s">
        <v>6363</v>
      </c>
      <c r="HWE1" s="7" t="s">
        <v>6364</v>
      </c>
      <c r="HWF1" s="7" t="s">
        <v>6365</v>
      </c>
      <c r="HWG1" s="7" t="s">
        <v>6366</v>
      </c>
      <c r="HWH1" s="7" t="s">
        <v>6367</v>
      </c>
      <c r="HWI1" s="7" t="s">
        <v>6368</v>
      </c>
      <c r="HWJ1" s="7" t="s">
        <v>6369</v>
      </c>
      <c r="HWK1" s="7" t="s">
        <v>6370</v>
      </c>
      <c r="HWL1" s="7" t="s">
        <v>6371</v>
      </c>
      <c r="HWM1" s="7" t="s">
        <v>6372</v>
      </c>
      <c r="HWN1" s="7" t="s">
        <v>6373</v>
      </c>
      <c r="HWO1" s="7" t="s">
        <v>6374</v>
      </c>
      <c r="HWP1" s="7" t="s">
        <v>6375</v>
      </c>
      <c r="HWQ1" s="7" t="s">
        <v>6376</v>
      </c>
      <c r="HWR1" s="7" t="s">
        <v>6377</v>
      </c>
      <c r="HWS1" s="7" t="s">
        <v>6378</v>
      </c>
      <c r="HWT1" s="7" t="s">
        <v>6379</v>
      </c>
      <c r="HWU1" s="7" t="s">
        <v>6380</v>
      </c>
      <c r="HWV1" s="7" t="s">
        <v>6381</v>
      </c>
      <c r="HWW1" s="7" t="s">
        <v>6382</v>
      </c>
      <c r="HWX1" s="7" t="s">
        <v>6383</v>
      </c>
      <c r="HWY1" s="7" t="s">
        <v>6384</v>
      </c>
      <c r="HWZ1" s="7" t="s">
        <v>6385</v>
      </c>
      <c r="HXA1" s="7" t="s">
        <v>6386</v>
      </c>
      <c r="HXB1" s="7" t="s">
        <v>6387</v>
      </c>
      <c r="HXC1" s="7" t="s">
        <v>6388</v>
      </c>
      <c r="HXD1" s="7" t="s">
        <v>6389</v>
      </c>
      <c r="HXE1" s="7" t="s">
        <v>6390</v>
      </c>
      <c r="HXF1" s="7" t="s">
        <v>6391</v>
      </c>
      <c r="HXG1" s="7" t="s">
        <v>6392</v>
      </c>
      <c r="HXH1" s="7" t="s">
        <v>6393</v>
      </c>
      <c r="HXI1" s="7" t="s">
        <v>6394</v>
      </c>
      <c r="HXJ1" s="7" t="s">
        <v>6395</v>
      </c>
      <c r="HXK1" s="7" t="s">
        <v>6396</v>
      </c>
      <c r="HXL1" s="7" t="s">
        <v>6397</v>
      </c>
      <c r="HXM1" s="7" t="s">
        <v>6398</v>
      </c>
      <c r="HXN1" s="7" t="s">
        <v>6399</v>
      </c>
      <c r="HXO1" s="7" t="s">
        <v>6400</v>
      </c>
      <c r="HXP1" s="7" t="s">
        <v>6401</v>
      </c>
      <c r="HXQ1" s="7" t="s">
        <v>6402</v>
      </c>
      <c r="HXR1" s="7" t="s">
        <v>6403</v>
      </c>
      <c r="HXS1" s="7" t="s">
        <v>6404</v>
      </c>
      <c r="HXT1" s="7" t="s">
        <v>6405</v>
      </c>
      <c r="HXU1" s="7" t="s">
        <v>6406</v>
      </c>
      <c r="HXV1" s="7" t="s">
        <v>6407</v>
      </c>
      <c r="HXW1" s="7" t="s">
        <v>6408</v>
      </c>
      <c r="HXX1" s="7" t="s">
        <v>6409</v>
      </c>
      <c r="HXY1" s="7" t="s">
        <v>6410</v>
      </c>
      <c r="HXZ1" s="7" t="s">
        <v>6411</v>
      </c>
      <c r="HYA1" s="7" t="s">
        <v>6412</v>
      </c>
      <c r="HYB1" s="7" t="s">
        <v>6413</v>
      </c>
      <c r="HYC1" s="7" t="s">
        <v>6414</v>
      </c>
      <c r="HYD1" s="7" t="s">
        <v>6415</v>
      </c>
      <c r="HYE1" s="7" t="s">
        <v>6416</v>
      </c>
      <c r="HYF1" s="7" t="s">
        <v>6417</v>
      </c>
      <c r="HYG1" s="7" t="s">
        <v>6418</v>
      </c>
      <c r="HYH1" s="7" t="s">
        <v>6419</v>
      </c>
      <c r="HYI1" s="7" t="s">
        <v>6420</v>
      </c>
      <c r="HYJ1" s="7" t="s">
        <v>6421</v>
      </c>
      <c r="HYK1" s="7" t="s">
        <v>6422</v>
      </c>
      <c r="HYL1" s="7" t="s">
        <v>6423</v>
      </c>
      <c r="HYM1" s="7" t="s">
        <v>6424</v>
      </c>
      <c r="HYN1" s="7" t="s">
        <v>6425</v>
      </c>
      <c r="HYO1" s="7" t="s">
        <v>6426</v>
      </c>
      <c r="HYP1" s="7" t="s">
        <v>6427</v>
      </c>
      <c r="HYQ1" s="7" t="s">
        <v>6428</v>
      </c>
      <c r="HYR1" s="7" t="s">
        <v>6429</v>
      </c>
      <c r="HYS1" s="7" t="s">
        <v>6430</v>
      </c>
      <c r="HYT1" s="7" t="s">
        <v>6431</v>
      </c>
      <c r="HYU1" s="7" t="s">
        <v>6432</v>
      </c>
      <c r="HYV1" s="7" t="s">
        <v>6433</v>
      </c>
      <c r="HYW1" s="7" t="s">
        <v>6434</v>
      </c>
      <c r="HYX1" s="7" t="s">
        <v>6435</v>
      </c>
      <c r="HYY1" s="7" t="s">
        <v>6436</v>
      </c>
      <c r="HYZ1" s="7" t="s">
        <v>6437</v>
      </c>
      <c r="HZA1" s="7" t="s">
        <v>6438</v>
      </c>
      <c r="HZB1" s="7" t="s">
        <v>6439</v>
      </c>
      <c r="HZC1" s="7" t="s">
        <v>6440</v>
      </c>
      <c r="HZD1" s="7" t="s">
        <v>6441</v>
      </c>
      <c r="HZE1" s="7" t="s">
        <v>6442</v>
      </c>
      <c r="HZF1" s="7" t="s">
        <v>6443</v>
      </c>
      <c r="HZG1" s="7" t="s">
        <v>6444</v>
      </c>
      <c r="HZH1" s="7" t="s">
        <v>6445</v>
      </c>
      <c r="HZI1" s="7" t="s">
        <v>6446</v>
      </c>
      <c r="HZJ1" s="7" t="s">
        <v>6447</v>
      </c>
      <c r="HZK1" s="7" t="s">
        <v>6448</v>
      </c>
      <c r="HZL1" s="7" t="s">
        <v>6449</v>
      </c>
      <c r="HZM1" s="7" t="s">
        <v>6450</v>
      </c>
      <c r="HZN1" s="7" t="s">
        <v>6451</v>
      </c>
      <c r="HZO1" s="7" t="s">
        <v>6452</v>
      </c>
      <c r="HZP1" s="7" t="s">
        <v>6453</v>
      </c>
      <c r="HZQ1" s="7" t="s">
        <v>6454</v>
      </c>
      <c r="HZR1" s="7" t="s">
        <v>6455</v>
      </c>
      <c r="HZS1" s="7" t="s">
        <v>6456</v>
      </c>
      <c r="HZT1" s="7" t="s">
        <v>6457</v>
      </c>
      <c r="HZU1" s="7" t="s">
        <v>6458</v>
      </c>
      <c r="HZV1" s="7" t="s">
        <v>6459</v>
      </c>
      <c r="HZW1" s="7" t="s">
        <v>6460</v>
      </c>
      <c r="HZX1" s="7" t="s">
        <v>6461</v>
      </c>
      <c r="HZY1" s="7" t="s">
        <v>6462</v>
      </c>
      <c r="HZZ1" s="7" t="s">
        <v>6463</v>
      </c>
      <c r="IAA1" s="7" t="s">
        <v>6464</v>
      </c>
      <c r="IAB1" s="7" t="s">
        <v>6465</v>
      </c>
      <c r="IAC1" s="7" t="s">
        <v>6466</v>
      </c>
      <c r="IAD1" s="7" t="s">
        <v>6467</v>
      </c>
      <c r="IAE1" s="7" t="s">
        <v>6468</v>
      </c>
      <c r="IAF1" s="7" t="s">
        <v>6469</v>
      </c>
      <c r="IAG1" s="7" t="s">
        <v>6470</v>
      </c>
      <c r="IAH1" s="7" t="s">
        <v>6471</v>
      </c>
      <c r="IAI1" s="7" t="s">
        <v>6472</v>
      </c>
      <c r="IAJ1" s="7" t="s">
        <v>6473</v>
      </c>
      <c r="IAK1" s="7" t="s">
        <v>6474</v>
      </c>
      <c r="IAL1" s="7" t="s">
        <v>6475</v>
      </c>
      <c r="IAM1" s="7" t="s">
        <v>6476</v>
      </c>
      <c r="IAN1" s="7" t="s">
        <v>6477</v>
      </c>
      <c r="IAO1" s="7" t="s">
        <v>6478</v>
      </c>
      <c r="IAP1" s="7" t="s">
        <v>6479</v>
      </c>
      <c r="IAQ1" s="7" t="s">
        <v>6480</v>
      </c>
      <c r="IAR1" s="7" t="s">
        <v>6481</v>
      </c>
      <c r="IAS1" s="7" t="s">
        <v>6482</v>
      </c>
      <c r="IAT1" s="7" t="s">
        <v>6483</v>
      </c>
      <c r="IAU1" s="7" t="s">
        <v>6484</v>
      </c>
      <c r="IAV1" s="7" t="s">
        <v>6485</v>
      </c>
      <c r="IAW1" s="7" t="s">
        <v>6486</v>
      </c>
      <c r="IAX1" s="7" t="s">
        <v>6487</v>
      </c>
      <c r="IAY1" s="7" t="s">
        <v>6488</v>
      </c>
      <c r="IAZ1" s="7" t="s">
        <v>6489</v>
      </c>
      <c r="IBA1" s="7" t="s">
        <v>6490</v>
      </c>
      <c r="IBB1" s="7" t="s">
        <v>6491</v>
      </c>
      <c r="IBC1" s="7" t="s">
        <v>6492</v>
      </c>
      <c r="IBD1" s="7" t="s">
        <v>6493</v>
      </c>
      <c r="IBE1" s="7" t="s">
        <v>6494</v>
      </c>
      <c r="IBF1" s="7" t="s">
        <v>6495</v>
      </c>
      <c r="IBG1" s="7" t="s">
        <v>6496</v>
      </c>
      <c r="IBH1" s="7" t="s">
        <v>6497</v>
      </c>
      <c r="IBI1" s="7" t="s">
        <v>6498</v>
      </c>
      <c r="IBJ1" s="7" t="s">
        <v>6499</v>
      </c>
      <c r="IBK1" s="7" t="s">
        <v>6500</v>
      </c>
      <c r="IBL1" s="7" t="s">
        <v>6501</v>
      </c>
      <c r="IBM1" s="7" t="s">
        <v>6502</v>
      </c>
      <c r="IBN1" s="7" t="s">
        <v>6503</v>
      </c>
      <c r="IBO1" s="7" t="s">
        <v>6504</v>
      </c>
      <c r="IBP1" s="7" t="s">
        <v>6505</v>
      </c>
      <c r="IBQ1" s="7" t="s">
        <v>6506</v>
      </c>
      <c r="IBR1" s="7" t="s">
        <v>6507</v>
      </c>
      <c r="IBS1" s="7" t="s">
        <v>6508</v>
      </c>
      <c r="IBT1" s="7" t="s">
        <v>6509</v>
      </c>
      <c r="IBU1" s="7" t="s">
        <v>6510</v>
      </c>
      <c r="IBV1" s="7" t="s">
        <v>6511</v>
      </c>
      <c r="IBW1" s="7" t="s">
        <v>6512</v>
      </c>
      <c r="IBX1" s="7" t="s">
        <v>6513</v>
      </c>
      <c r="IBY1" s="7" t="s">
        <v>6514</v>
      </c>
      <c r="IBZ1" s="7" t="s">
        <v>6515</v>
      </c>
      <c r="ICA1" s="7" t="s">
        <v>6516</v>
      </c>
      <c r="ICB1" s="7" t="s">
        <v>6517</v>
      </c>
      <c r="ICC1" s="7" t="s">
        <v>6518</v>
      </c>
      <c r="ICD1" s="7" t="s">
        <v>6519</v>
      </c>
      <c r="ICE1" s="7" t="s">
        <v>6520</v>
      </c>
      <c r="ICF1" s="7" t="s">
        <v>6521</v>
      </c>
      <c r="ICG1" s="7" t="s">
        <v>6522</v>
      </c>
      <c r="ICH1" s="7" t="s">
        <v>6523</v>
      </c>
      <c r="ICI1" s="7" t="s">
        <v>6524</v>
      </c>
      <c r="ICJ1" s="7" t="s">
        <v>6525</v>
      </c>
      <c r="ICK1" s="7" t="s">
        <v>6526</v>
      </c>
      <c r="ICL1" s="7" t="s">
        <v>6527</v>
      </c>
      <c r="ICM1" s="7" t="s">
        <v>6528</v>
      </c>
      <c r="ICN1" s="7" t="s">
        <v>6529</v>
      </c>
      <c r="ICO1" s="7" t="s">
        <v>6530</v>
      </c>
      <c r="ICP1" s="7" t="s">
        <v>6531</v>
      </c>
      <c r="ICQ1" s="7" t="s">
        <v>6532</v>
      </c>
      <c r="ICR1" s="7" t="s">
        <v>6533</v>
      </c>
      <c r="ICS1" s="7" t="s">
        <v>6534</v>
      </c>
      <c r="ICT1" s="7" t="s">
        <v>6535</v>
      </c>
      <c r="ICU1" s="7" t="s">
        <v>6536</v>
      </c>
      <c r="ICV1" s="7" t="s">
        <v>6537</v>
      </c>
      <c r="ICW1" s="7" t="s">
        <v>6538</v>
      </c>
      <c r="ICX1" s="7" t="s">
        <v>6539</v>
      </c>
      <c r="ICY1" s="7" t="s">
        <v>6540</v>
      </c>
      <c r="ICZ1" s="7" t="s">
        <v>6541</v>
      </c>
      <c r="IDA1" s="7" t="s">
        <v>6542</v>
      </c>
      <c r="IDB1" s="7" t="s">
        <v>6543</v>
      </c>
      <c r="IDC1" s="7" t="s">
        <v>6544</v>
      </c>
      <c r="IDD1" s="7" t="s">
        <v>6545</v>
      </c>
      <c r="IDE1" s="7" t="s">
        <v>6546</v>
      </c>
      <c r="IDF1" s="7" t="s">
        <v>6547</v>
      </c>
      <c r="IDG1" s="7" t="s">
        <v>6548</v>
      </c>
      <c r="IDH1" s="7" t="s">
        <v>6549</v>
      </c>
      <c r="IDI1" s="7" t="s">
        <v>6550</v>
      </c>
      <c r="IDJ1" s="7" t="s">
        <v>6551</v>
      </c>
      <c r="IDK1" s="7" t="s">
        <v>6552</v>
      </c>
      <c r="IDL1" s="7" t="s">
        <v>6553</v>
      </c>
      <c r="IDM1" s="7" t="s">
        <v>6554</v>
      </c>
      <c r="IDN1" s="7" t="s">
        <v>6555</v>
      </c>
      <c r="IDO1" s="7" t="s">
        <v>6556</v>
      </c>
      <c r="IDP1" s="7" t="s">
        <v>6557</v>
      </c>
      <c r="IDQ1" s="7" t="s">
        <v>6558</v>
      </c>
      <c r="IDR1" s="7" t="s">
        <v>6559</v>
      </c>
      <c r="IDS1" s="7" t="s">
        <v>6560</v>
      </c>
      <c r="IDT1" s="7" t="s">
        <v>6561</v>
      </c>
      <c r="IDU1" s="7" t="s">
        <v>6562</v>
      </c>
      <c r="IDV1" s="7" t="s">
        <v>6563</v>
      </c>
      <c r="IDW1" s="7" t="s">
        <v>6564</v>
      </c>
      <c r="IDX1" s="7" t="s">
        <v>6565</v>
      </c>
      <c r="IDY1" s="7" t="s">
        <v>6566</v>
      </c>
      <c r="IDZ1" s="7" t="s">
        <v>6567</v>
      </c>
      <c r="IEA1" s="7" t="s">
        <v>6568</v>
      </c>
      <c r="IEB1" s="7" t="s">
        <v>6569</v>
      </c>
      <c r="IEC1" s="7" t="s">
        <v>6570</v>
      </c>
      <c r="IED1" s="7" t="s">
        <v>6571</v>
      </c>
      <c r="IEE1" s="7" t="s">
        <v>6572</v>
      </c>
      <c r="IEF1" s="7" t="s">
        <v>6573</v>
      </c>
      <c r="IEG1" s="7" t="s">
        <v>6574</v>
      </c>
      <c r="IEH1" s="7" t="s">
        <v>6575</v>
      </c>
      <c r="IEI1" s="7" t="s">
        <v>6576</v>
      </c>
      <c r="IEJ1" s="7" t="s">
        <v>6577</v>
      </c>
      <c r="IEK1" s="7" t="s">
        <v>6578</v>
      </c>
      <c r="IEL1" s="7" t="s">
        <v>6579</v>
      </c>
      <c r="IEM1" s="7" t="s">
        <v>6580</v>
      </c>
      <c r="IEN1" s="7" t="s">
        <v>6581</v>
      </c>
      <c r="IEO1" s="7" t="s">
        <v>6582</v>
      </c>
      <c r="IEP1" s="7" t="s">
        <v>6583</v>
      </c>
      <c r="IEQ1" s="7" t="s">
        <v>6584</v>
      </c>
      <c r="IER1" s="7" t="s">
        <v>6585</v>
      </c>
      <c r="IES1" s="7" t="s">
        <v>6586</v>
      </c>
      <c r="IET1" s="7" t="s">
        <v>6587</v>
      </c>
      <c r="IEU1" s="7" t="s">
        <v>6588</v>
      </c>
      <c r="IEV1" s="7" t="s">
        <v>6589</v>
      </c>
      <c r="IEW1" s="7" t="s">
        <v>6590</v>
      </c>
      <c r="IEX1" s="7" t="s">
        <v>6591</v>
      </c>
      <c r="IEY1" s="7" t="s">
        <v>6592</v>
      </c>
      <c r="IEZ1" s="7" t="s">
        <v>6593</v>
      </c>
      <c r="IFA1" s="7" t="s">
        <v>6594</v>
      </c>
      <c r="IFB1" s="7" t="s">
        <v>6595</v>
      </c>
      <c r="IFC1" s="7" t="s">
        <v>6596</v>
      </c>
      <c r="IFD1" s="7" t="s">
        <v>6597</v>
      </c>
      <c r="IFE1" s="7" t="s">
        <v>6598</v>
      </c>
      <c r="IFF1" s="7" t="s">
        <v>6599</v>
      </c>
      <c r="IFG1" s="7" t="s">
        <v>6600</v>
      </c>
      <c r="IFH1" s="7" t="s">
        <v>6601</v>
      </c>
      <c r="IFI1" s="7" t="s">
        <v>6602</v>
      </c>
      <c r="IFJ1" s="7" t="s">
        <v>6603</v>
      </c>
      <c r="IFK1" s="7" t="s">
        <v>6604</v>
      </c>
      <c r="IFL1" s="7" t="s">
        <v>6605</v>
      </c>
      <c r="IFM1" s="7" t="s">
        <v>6606</v>
      </c>
      <c r="IFN1" s="7" t="s">
        <v>6607</v>
      </c>
      <c r="IFO1" s="7" t="s">
        <v>6608</v>
      </c>
      <c r="IFP1" s="7" t="s">
        <v>6609</v>
      </c>
      <c r="IFQ1" s="7" t="s">
        <v>6610</v>
      </c>
      <c r="IFR1" s="7" t="s">
        <v>6611</v>
      </c>
      <c r="IFS1" s="7" t="s">
        <v>6612</v>
      </c>
      <c r="IFT1" s="7" t="s">
        <v>6613</v>
      </c>
      <c r="IFU1" s="7" t="s">
        <v>6614</v>
      </c>
      <c r="IFV1" s="7" t="s">
        <v>6615</v>
      </c>
      <c r="IFW1" s="7" t="s">
        <v>6616</v>
      </c>
      <c r="IFX1" s="7" t="s">
        <v>6617</v>
      </c>
      <c r="IFY1" s="7" t="s">
        <v>6618</v>
      </c>
      <c r="IFZ1" s="7" t="s">
        <v>6619</v>
      </c>
      <c r="IGA1" s="7" t="s">
        <v>6620</v>
      </c>
      <c r="IGB1" s="7" t="s">
        <v>6621</v>
      </c>
      <c r="IGC1" s="7" t="s">
        <v>6622</v>
      </c>
      <c r="IGD1" s="7" t="s">
        <v>6623</v>
      </c>
      <c r="IGE1" s="7" t="s">
        <v>6624</v>
      </c>
      <c r="IGF1" s="7" t="s">
        <v>6625</v>
      </c>
      <c r="IGG1" s="7" t="s">
        <v>6626</v>
      </c>
      <c r="IGH1" s="7" t="s">
        <v>6627</v>
      </c>
      <c r="IGI1" s="7" t="s">
        <v>6628</v>
      </c>
      <c r="IGJ1" s="7" t="s">
        <v>6629</v>
      </c>
      <c r="IGK1" s="7" t="s">
        <v>6630</v>
      </c>
      <c r="IGL1" s="7" t="s">
        <v>6631</v>
      </c>
      <c r="IGM1" s="7" t="s">
        <v>6632</v>
      </c>
      <c r="IGN1" s="7" t="s">
        <v>6633</v>
      </c>
      <c r="IGO1" s="7" t="s">
        <v>6634</v>
      </c>
      <c r="IGP1" s="7" t="s">
        <v>6635</v>
      </c>
      <c r="IGQ1" s="7" t="s">
        <v>6636</v>
      </c>
      <c r="IGR1" s="7" t="s">
        <v>6637</v>
      </c>
      <c r="IGS1" s="7" t="s">
        <v>6638</v>
      </c>
      <c r="IGT1" s="7" t="s">
        <v>6639</v>
      </c>
      <c r="IGU1" s="7" t="s">
        <v>6640</v>
      </c>
      <c r="IGV1" s="7" t="s">
        <v>6641</v>
      </c>
      <c r="IGW1" s="7" t="s">
        <v>6642</v>
      </c>
      <c r="IGX1" s="7" t="s">
        <v>6643</v>
      </c>
      <c r="IGY1" s="7" t="s">
        <v>6644</v>
      </c>
      <c r="IGZ1" s="7" t="s">
        <v>6645</v>
      </c>
      <c r="IHA1" s="7" t="s">
        <v>6646</v>
      </c>
      <c r="IHB1" s="7" t="s">
        <v>6647</v>
      </c>
      <c r="IHC1" s="7" t="s">
        <v>6648</v>
      </c>
      <c r="IHD1" s="7" t="s">
        <v>6649</v>
      </c>
      <c r="IHE1" s="7" t="s">
        <v>6650</v>
      </c>
      <c r="IHF1" s="7" t="s">
        <v>6651</v>
      </c>
      <c r="IHG1" s="7" t="s">
        <v>6652</v>
      </c>
      <c r="IHH1" s="7" t="s">
        <v>6653</v>
      </c>
      <c r="IHI1" s="7" t="s">
        <v>6654</v>
      </c>
      <c r="IHJ1" s="7" t="s">
        <v>6655</v>
      </c>
      <c r="IHK1" s="7" t="s">
        <v>6656</v>
      </c>
      <c r="IHL1" s="7" t="s">
        <v>6657</v>
      </c>
      <c r="IHM1" s="7" t="s">
        <v>6658</v>
      </c>
      <c r="IHN1" s="7" t="s">
        <v>6659</v>
      </c>
      <c r="IHO1" s="7" t="s">
        <v>6660</v>
      </c>
      <c r="IHP1" s="7" t="s">
        <v>6661</v>
      </c>
      <c r="IHQ1" s="7" t="s">
        <v>6662</v>
      </c>
      <c r="IHR1" s="7" t="s">
        <v>6663</v>
      </c>
      <c r="IHS1" s="7" t="s">
        <v>6664</v>
      </c>
      <c r="IHT1" s="7" t="s">
        <v>6665</v>
      </c>
      <c r="IHU1" s="7" t="s">
        <v>6666</v>
      </c>
      <c r="IHV1" s="7" t="s">
        <v>6667</v>
      </c>
      <c r="IHW1" s="7" t="s">
        <v>6668</v>
      </c>
      <c r="IHX1" s="7" t="s">
        <v>6669</v>
      </c>
      <c r="IHY1" s="7" t="s">
        <v>6670</v>
      </c>
      <c r="IHZ1" s="7" t="s">
        <v>6671</v>
      </c>
      <c r="IIA1" s="7" t="s">
        <v>6672</v>
      </c>
      <c r="IIB1" s="7" t="s">
        <v>6673</v>
      </c>
      <c r="IIC1" s="7" t="s">
        <v>6674</v>
      </c>
      <c r="IID1" s="7" t="s">
        <v>6675</v>
      </c>
      <c r="IIE1" s="7" t="s">
        <v>6676</v>
      </c>
      <c r="IIF1" s="7" t="s">
        <v>6677</v>
      </c>
      <c r="IIG1" s="7" t="s">
        <v>6678</v>
      </c>
      <c r="IIH1" s="7" t="s">
        <v>6679</v>
      </c>
      <c r="III1" s="7" t="s">
        <v>6680</v>
      </c>
      <c r="IIJ1" s="7" t="s">
        <v>6681</v>
      </c>
      <c r="IIK1" s="7" t="s">
        <v>6682</v>
      </c>
      <c r="IIL1" s="7" t="s">
        <v>6683</v>
      </c>
      <c r="IIM1" s="7" t="s">
        <v>6684</v>
      </c>
      <c r="IIN1" s="7" t="s">
        <v>6685</v>
      </c>
      <c r="IIO1" s="7" t="s">
        <v>6686</v>
      </c>
      <c r="IIP1" s="7" t="s">
        <v>6687</v>
      </c>
      <c r="IIQ1" s="7" t="s">
        <v>6688</v>
      </c>
      <c r="IIR1" s="7" t="s">
        <v>6689</v>
      </c>
      <c r="IIS1" s="7" t="s">
        <v>6690</v>
      </c>
      <c r="IIT1" s="7" t="s">
        <v>6691</v>
      </c>
      <c r="IIU1" s="7" t="s">
        <v>6692</v>
      </c>
      <c r="IIV1" s="7" t="s">
        <v>6693</v>
      </c>
      <c r="IIW1" s="7" t="s">
        <v>6694</v>
      </c>
      <c r="IIX1" s="7" t="s">
        <v>6695</v>
      </c>
      <c r="IIY1" s="7" t="s">
        <v>6696</v>
      </c>
      <c r="IIZ1" s="7" t="s">
        <v>6697</v>
      </c>
      <c r="IJA1" s="7" t="s">
        <v>6698</v>
      </c>
      <c r="IJB1" s="7" t="s">
        <v>6699</v>
      </c>
      <c r="IJC1" s="7" t="s">
        <v>6700</v>
      </c>
      <c r="IJD1" s="7" t="s">
        <v>6701</v>
      </c>
      <c r="IJE1" s="7" t="s">
        <v>6702</v>
      </c>
      <c r="IJF1" s="7" t="s">
        <v>6703</v>
      </c>
      <c r="IJG1" s="7" t="s">
        <v>6704</v>
      </c>
      <c r="IJH1" s="7" t="s">
        <v>6705</v>
      </c>
      <c r="IJI1" s="7" t="s">
        <v>6706</v>
      </c>
      <c r="IJJ1" s="7" t="s">
        <v>6707</v>
      </c>
      <c r="IJK1" s="7" t="s">
        <v>6708</v>
      </c>
      <c r="IJL1" s="7" t="s">
        <v>6709</v>
      </c>
      <c r="IJM1" s="7" t="s">
        <v>6710</v>
      </c>
      <c r="IJN1" s="7" t="s">
        <v>6711</v>
      </c>
      <c r="IJO1" s="7" t="s">
        <v>6712</v>
      </c>
      <c r="IJP1" s="7" t="s">
        <v>6713</v>
      </c>
      <c r="IJQ1" s="7" t="s">
        <v>6714</v>
      </c>
      <c r="IJR1" s="7" t="s">
        <v>6715</v>
      </c>
      <c r="IJS1" s="7" t="s">
        <v>6716</v>
      </c>
      <c r="IJT1" s="7" t="s">
        <v>6717</v>
      </c>
      <c r="IJU1" s="7" t="s">
        <v>6718</v>
      </c>
      <c r="IJV1" s="7" t="s">
        <v>6719</v>
      </c>
      <c r="IJW1" s="7" t="s">
        <v>6720</v>
      </c>
      <c r="IJX1" s="7" t="s">
        <v>6721</v>
      </c>
      <c r="IJY1" s="7" t="s">
        <v>6722</v>
      </c>
      <c r="IJZ1" s="7" t="s">
        <v>6723</v>
      </c>
      <c r="IKA1" s="7" t="s">
        <v>6724</v>
      </c>
      <c r="IKB1" s="7" t="s">
        <v>6725</v>
      </c>
      <c r="IKC1" s="7" t="s">
        <v>6726</v>
      </c>
      <c r="IKD1" s="7" t="s">
        <v>6727</v>
      </c>
      <c r="IKE1" s="7" t="s">
        <v>6728</v>
      </c>
      <c r="IKF1" s="7" t="s">
        <v>6729</v>
      </c>
      <c r="IKG1" s="7" t="s">
        <v>6730</v>
      </c>
      <c r="IKH1" s="7" t="s">
        <v>6731</v>
      </c>
      <c r="IKI1" s="7" t="s">
        <v>6732</v>
      </c>
      <c r="IKJ1" s="7" t="s">
        <v>6733</v>
      </c>
      <c r="IKK1" s="7" t="s">
        <v>6734</v>
      </c>
      <c r="IKL1" s="7" t="s">
        <v>6735</v>
      </c>
      <c r="IKM1" s="7" t="s">
        <v>6736</v>
      </c>
      <c r="IKN1" s="7" t="s">
        <v>6737</v>
      </c>
      <c r="IKO1" s="7" t="s">
        <v>6738</v>
      </c>
      <c r="IKP1" s="7" t="s">
        <v>6739</v>
      </c>
      <c r="IKQ1" s="7" t="s">
        <v>6740</v>
      </c>
      <c r="IKR1" s="7" t="s">
        <v>6741</v>
      </c>
      <c r="IKS1" s="7" t="s">
        <v>6742</v>
      </c>
      <c r="IKT1" s="7" t="s">
        <v>6743</v>
      </c>
      <c r="IKU1" s="7" t="s">
        <v>6744</v>
      </c>
      <c r="IKV1" s="7" t="s">
        <v>6745</v>
      </c>
      <c r="IKW1" s="7" t="s">
        <v>6746</v>
      </c>
      <c r="IKX1" s="7" t="s">
        <v>6747</v>
      </c>
      <c r="IKY1" s="7" t="s">
        <v>6748</v>
      </c>
      <c r="IKZ1" s="7" t="s">
        <v>6749</v>
      </c>
      <c r="ILA1" s="7" t="s">
        <v>6750</v>
      </c>
      <c r="ILB1" s="7" t="s">
        <v>6751</v>
      </c>
      <c r="ILC1" s="7" t="s">
        <v>6752</v>
      </c>
      <c r="ILD1" s="7" t="s">
        <v>6753</v>
      </c>
      <c r="ILE1" s="7" t="s">
        <v>6754</v>
      </c>
      <c r="ILF1" s="7" t="s">
        <v>6755</v>
      </c>
      <c r="ILG1" s="7" t="s">
        <v>6756</v>
      </c>
      <c r="ILH1" s="7" t="s">
        <v>6757</v>
      </c>
      <c r="ILI1" s="7" t="s">
        <v>6758</v>
      </c>
      <c r="ILJ1" s="7" t="s">
        <v>6759</v>
      </c>
      <c r="ILK1" s="7" t="s">
        <v>6760</v>
      </c>
      <c r="ILL1" s="7" t="s">
        <v>6761</v>
      </c>
      <c r="ILM1" s="7" t="s">
        <v>6762</v>
      </c>
      <c r="ILN1" s="7" t="s">
        <v>6763</v>
      </c>
      <c r="ILO1" s="7" t="s">
        <v>6764</v>
      </c>
      <c r="ILP1" s="7" t="s">
        <v>6765</v>
      </c>
      <c r="ILQ1" s="7" t="s">
        <v>6766</v>
      </c>
      <c r="ILR1" s="7" t="s">
        <v>6767</v>
      </c>
      <c r="ILS1" s="7" t="s">
        <v>6768</v>
      </c>
      <c r="ILT1" s="7" t="s">
        <v>6769</v>
      </c>
      <c r="ILU1" s="7" t="s">
        <v>6770</v>
      </c>
      <c r="ILV1" s="7" t="s">
        <v>6771</v>
      </c>
      <c r="ILW1" s="7" t="s">
        <v>6772</v>
      </c>
      <c r="ILX1" s="7" t="s">
        <v>6773</v>
      </c>
      <c r="ILY1" s="7" t="s">
        <v>6774</v>
      </c>
      <c r="ILZ1" s="7" t="s">
        <v>6775</v>
      </c>
      <c r="IMA1" s="7" t="s">
        <v>6776</v>
      </c>
      <c r="IMB1" s="7" t="s">
        <v>6777</v>
      </c>
      <c r="IMC1" s="7" t="s">
        <v>6778</v>
      </c>
      <c r="IMD1" s="7" t="s">
        <v>6779</v>
      </c>
      <c r="IME1" s="7" t="s">
        <v>6780</v>
      </c>
      <c r="IMF1" s="7" t="s">
        <v>6781</v>
      </c>
      <c r="IMG1" s="7" t="s">
        <v>6782</v>
      </c>
      <c r="IMH1" s="7" t="s">
        <v>6783</v>
      </c>
      <c r="IMI1" s="7" t="s">
        <v>6784</v>
      </c>
      <c r="IMJ1" s="7" t="s">
        <v>6785</v>
      </c>
      <c r="IMK1" s="7" t="s">
        <v>6786</v>
      </c>
      <c r="IML1" s="7" t="s">
        <v>6787</v>
      </c>
      <c r="IMM1" s="7" t="s">
        <v>6788</v>
      </c>
      <c r="IMN1" s="7" t="s">
        <v>6789</v>
      </c>
      <c r="IMO1" s="7" t="s">
        <v>6790</v>
      </c>
      <c r="IMP1" s="7" t="s">
        <v>6791</v>
      </c>
      <c r="IMQ1" s="7" t="s">
        <v>6792</v>
      </c>
      <c r="IMR1" s="7" t="s">
        <v>6793</v>
      </c>
      <c r="IMS1" s="7" t="s">
        <v>6794</v>
      </c>
      <c r="IMT1" s="7" t="s">
        <v>6795</v>
      </c>
      <c r="IMU1" s="7" t="s">
        <v>6796</v>
      </c>
      <c r="IMV1" s="7" t="s">
        <v>6797</v>
      </c>
      <c r="IMW1" s="7" t="s">
        <v>6798</v>
      </c>
      <c r="IMX1" s="7" t="s">
        <v>6799</v>
      </c>
      <c r="IMY1" s="7" t="s">
        <v>6800</v>
      </c>
      <c r="IMZ1" s="7" t="s">
        <v>6801</v>
      </c>
      <c r="INA1" s="7" t="s">
        <v>6802</v>
      </c>
      <c r="INB1" s="7" t="s">
        <v>6803</v>
      </c>
      <c r="INC1" s="7" t="s">
        <v>6804</v>
      </c>
      <c r="IND1" s="7" t="s">
        <v>6805</v>
      </c>
      <c r="INE1" s="7" t="s">
        <v>6806</v>
      </c>
      <c r="INF1" s="7" t="s">
        <v>6807</v>
      </c>
      <c r="ING1" s="7" t="s">
        <v>6808</v>
      </c>
      <c r="INH1" s="7" t="s">
        <v>6809</v>
      </c>
      <c r="INI1" s="7" t="s">
        <v>6810</v>
      </c>
      <c r="INJ1" s="7" t="s">
        <v>6811</v>
      </c>
      <c r="INK1" s="7" t="s">
        <v>6812</v>
      </c>
      <c r="INL1" s="7" t="s">
        <v>6813</v>
      </c>
      <c r="INM1" s="7" t="s">
        <v>6814</v>
      </c>
      <c r="INN1" s="7" t="s">
        <v>6815</v>
      </c>
      <c r="INO1" s="7" t="s">
        <v>6816</v>
      </c>
      <c r="INP1" s="7" t="s">
        <v>6817</v>
      </c>
      <c r="INQ1" s="7" t="s">
        <v>6818</v>
      </c>
      <c r="INR1" s="7" t="s">
        <v>6819</v>
      </c>
      <c r="INS1" s="7" t="s">
        <v>6820</v>
      </c>
      <c r="INT1" s="7" t="s">
        <v>6821</v>
      </c>
      <c r="INU1" s="7" t="s">
        <v>6822</v>
      </c>
      <c r="INV1" s="7" t="s">
        <v>6823</v>
      </c>
      <c r="INW1" s="7" t="s">
        <v>6824</v>
      </c>
      <c r="INX1" s="7" t="s">
        <v>6825</v>
      </c>
      <c r="INY1" s="7" t="s">
        <v>6826</v>
      </c>
      <c r="INZ1" s="7" t="s">
        <v>6827</v>
      </c>
      <c r="IOA1" s="7" t="s">
        <v>6828</v>
      </c>
      <c r="IOB1" s="7" t="s">
        <v>6829</v>
      </c>
      <c r="IOC1" s="7" t="s">
        <v>6830</v>
      </c>
      <c r="IOD1" s="7" t="s">
        <v>6831</v>
      </c>
      <c r="IOE1" s="7" t="s">
        <v>6832</v>
      </c>
      <c r="IOF1" s="7" t="s">
        <v>6833</v>
      </c>
      <c r="IOG1" s="7" t="s">
        <v>6834</v>
      </c>
      <c r="IOH1" s="7" t="s">
        <v>6835</v>
      </c>
      <c r="IOI1" s="7" t="s">
        <v>6836</v>
      </c>
      <c r="IOJ1" s="7" t="s">
        <v>6837</v>
      </c>
      <c r="IOK1" s="7" t="s">
        <v>6838</v>
      </c>
      <c r="IOL1" s="7" t="s">
        <v>6839</v>
      </c>
      <c r="IOM1" s="7" t="s">
        <v>6840</v>
      </c>
      <c r="ION1" s="7" t="s">
        <v>6841</v>
      </c>
      <c r="IOO1" s="7" t="s">
        <v>6842</v>
      </c>
      <c r="IOP1" s="7" t="s">
        <v>6843</v>
      </c>
      <c r="IOQ1" s="7" t="s">
        <v>6844</v>
      </c>
      <c r="IOR1" s="7" t="s">
        <v>6845</v>
      </c>
      <c r="IOS1" s="7" t="s">
        <v>6846</v>
      </c>
      <c r="IOT1" s="7" t="s">
        <v>6847</v>
      </c>
      <c r="IOU1" s="7" t="s">
        <v>6848</v>
      </c>
      <c r="IOV1" s="7" t="s">
        <v>6849</v>
      </c>
      <c r="IOW1" s="7" t="s">
        <v>6850</v>
      </c>
      <c r="IOX1" s="7" t="s">
        <v>6851</v>
      </c>
      <c r="IOY1" s="7" t="s">
        <v>6852</v>
      </c>
      <c r="IOZ1" s="7" t="s">
        <v>6853</v>
      </c>
      <c r="IPA1" s="7" t="s">
        <v>6854</v>
      </c>
      <c r="IPB1" s="7" t="s">
        <v>6855</v>
      </c>
      <c r="IPC1" s="7" t="s">
        <v>6856</v>
      </c>
      <c r="IPD1" s="7" t="s">
        <v>6857</v>
      </c>
      <c r="IPE1" s="7" t="s">
        <v>6858</v>
      </c>
      <c r="IPF1" s="7" t="s">
        <v>6859</v>
      </c>
      <c r="IPG1" s="7" t="s">
        <v>6860</v>
      </c>
      <c r="IPH1" s="7" t="s">
        <v>6861</v>
      </c>
      <c r="IPI1" s="7" t="s">
        <v>6862</v>
      </c>
      <c r="IPJ1" s="7" t="s">
        <v>6863</v>
      </c>
      <c r="IPK1" s="7" t="s">
        <v>6864</v>
      </c>
      <c r="IPL1" s="7" t="s">
        <v>6865</v>
      </c>
      <c r="IPM1" s="7" t="s">
        <v>6866</v>
      </c>
      <c r="IPN1" s="7" t="s">
        <v>6867</v>
      </c>
      <c r="IPO1" s="7" t="s">
        <v>6868</v>
      </c>
      <c r="IPP1" s="7" t="s">
        <v>6869</v>
      </c>
      <c r="IPQ1" s="7" t="s">
        <v>6870</v>
      </c>
      <c r="IPR1" s="7" t="s">
        <v>6871</v>
      </c>
      <c r="IPS1" s="7" t="s">
        <v>6872</v>
      </c>
      <c r="IPT1" s="7" t="s">
        <v>6873</v>
      </c>
      <c r="IPU1" s="7" t="s">
        <v>6874</v>
      </c>
      <c r="IPV1" s="7" t="s">
        <v>6875</v>
      </c>
      <c r="IPW1" s="7" t="s">
        <v>6876</v>
      </c>
      <c r="IPX1" s="7" t="s">
        <v>6877</v>
      </c>
      <c r="IPY1" s="7" t="s">
        <v>6878</v>
      </c>
      <c r="IPZ1" s="7" t="s">
        <v>6879</v>
      </c>
      <c r="IQA1" s="7" t="s">
        <v>6880</v>
      </c>
      <c r="IQB1" s="7" t="s">
        <v>6881</v>
      </c>
      <c r="IQC1" s="7" t="s">
        <v>6882</v>
      </c>
      <c r="IQD1" s="7" t="s">
        <v>6883</v>
      </c>
      <c r="IQE1" s="7" t="s">
        <v>6884</v>
      </c>
      <c r="IQF1" s="7" t="s">
        <v>6885</v>
      </c>
      <c r="IQG1" s="7" t="s">
        <v>6886</v>
      </c>
      <c r="IQH1" s="7" t="s">
        <v>6887</v>
      </c>
      <c r="IQI1" s="7" t="s">
        <v>6888</v>
      </c>
      <c r="IQJ1" s="7" t="s">
        <v>6889</v>
      </c>
      <c r="IQK1" s="7" t="s">
        <v>6890</v>
      </c>
      <c r="IQL1" s="7" t="s">
        <v>6891</v>
      </c>
      <c r="IQM1" s="7" t="s">
        <v>6892</v>
      </c>
      <c r="IQN1" s="7" t="s">
        <v>6893</v>
      </c>
      <c r="IQO1" s="7" t="s">
        <v>6894</v>
      </c>
      <c r="IQP1" s="7" t="s">
        <v>6895</v>
      </c>
      <c r="IQQ1" s="7" t="s">
        <v>6896</v>
      </c>
      <c r="IQR1" s="7" t="s">
        <v>6897</v>
      </c>
      <c r="IQS1" s="7" t="s">
        <v>6898</v>
      </c>
      <c r="IQT1" s="7" t="s">
        <v>6899</v>
      </c>
      <c r="IQU1" s="7" t="s">
        <v>6900</v>
      </c>
      <c r="IQV1" s="7" t="s">
        <v>6901</v>
      </c>
      <c r="IQW1" s="7" t="s">
        <v>6902</v>
      </c>
      <c r="IQX1" s="7" t="s">
        <v>6903</v>
      </c>
      <c r="IQY1" s="7" t="s">
        <v>6904</v>
      </c>
      <c r="IQZ1" s="7" t="s">
        <v>6905</v>
      </c>
      <c r="IRA1" s="7" t="s">
        <v>6906</v>
      </c>
      <c r="IRB1" s="7" t="s">
        <v>6907</v>
      </c>
      <c r="IRC1" s="7" t="s">
        <v>6908</v>
      </c>
      <c r="IRD1" s="7" t="s">
        <v>6909</v>
      </c>
      <c r="IRE1" s="7" t="s">
        <v>6910</v>
      </c>
      <c r="IRF1" s="7" t="s">
        <v>6911</v>
      </c>
      <c r="IRG1" s="7" t="s">
        <v>6912</v>
      </c>
      <c r="IRH1" s="7" t="s">
        <v>6913</v>
      </c>
      <c r="IRI1" s="7" t="s">
        <v>6914</v>
      </c>
      <c r="IRJ1" s="7" t="s">
        <v>6915</v>
      </c>
      <c r="IRK1" s="7" t="s">
        <v>6916</v>
      </c>
      <c r="IRL1" s="7" t="s">
        <v>6917</v>
      </c>
      <c r="IRM1" s="7" t="s">
        <v>6918</v>
      </c>
      <c r="IRN1" s="7" t="s">
        <v>6919</v>
      </c>
      <c r="IRO1" s="7" t="s">
        <v>6920</v>
      </c>
      <c r="IRP1" s="7" t="s">
        <v>6921</v>
      </c>
      <c r="IRQ1" s="7" t="s">
        <v>6922</v>
      </c>
      <c r="IRR1" s="7" t="s">
        <v>6923</v>
      </c>
      <c r="IRS1" s="7" t="s">
        <v>6924</v>
      </c>
      <c r="IRT1" s="7" t="s">
        <v>6925</v>
      </c>
      <c r="IRU1" s="7" t="s">
        <v>6926</v>
      </c>
      <c r="IRV1" s="7" t="s">
        <v>6927</v>
      </c>
      <c r="IRW1" s="7" t="s">
        <v>6928</v>
      </c>
      <c r="IRX1" s="7" t="s">
        <v>6929</v>
      </c>
      <c r="IRY1" s="7" t="s">
        <v>6930</v>
      </c>
      <c r="IRZ1" s="7" t="s">
        <v>6931</v>
      </c>
      <c r="ISA1" s="7" t="s">
        <v>6932</v>
      </c>
      <c r="ISB1" s="7" t="s">
        <v>6933</v>
      </c>
      <c r="ISC1" s="7" t="s">
        <v>6934</v>
      </c>
      <c r="ISD1" s="7" t="s">
        <v>6935</v>
      </c>
      <c r="ISE1" s="7" t="s">
        <v>6936</v>
      </c>
      <c r="ISF1" s="7" t="s">
        <v>6937</v>
      </c>
      <c r="ISG1" s="7" t="s">
        <v>6938</v>
      </c>
      <c r="ISH1" s="7" t="s">
        <v>6939</v>
      </c>
      <c r="ISI1" s="7" t="s">
        <v>6940</v>
      </c>
      <c r="ISJ1" s="7" t="s">
        <v>6941</v>
      </c>
      <c r="ISK1" s="7" t="s">
        <v>6942</v>
      </c>
      <c r="ISL1" s="7" t="s">
        <v>6943</v>
      </c>
      <c r="ISM1" s="7" t="s">
        <v>6944</v>
      </c>
      <c r="ISN1" s="7" t="s">
        <v>6945</v>
      </c>
      <c r="ISO1" s="7" t="s">
        <v>6946</v>
      </c>
      <c r="ISP1" s="7" t="s">
        <v>6947</v>
      </c>
      <c r="ISQ1" s="7" t="s">
        <v>6948</v>
      </c>
      <c r="ISR1" s="7" t="s">
        <v>6949</v>
      </c>
      <c r="ISS1" s="7" t="s">
        <v>6950</v>
      </c>
      <c r="IST1" s="7" t="s">
        <v>6951</v>
      </c>
      <c r="ISU1" s="7" t="s">
        <v>6952</v>
      </c>
      <c r="ISV1" s="7" t="s">
        <v>6953</v>
      </c>
      <c r="ISW1" s="7" t="s">
        <v>6954</v>
      </c>
      <c r="ISX1" s="7" t="s">
        <v>6955</v>
      </c>
      <c r="ISY1" s="7" t="s">
        <v>6956</v>
      </c>
      <c r="ISZ1" s="7" t="s">
        <v>6957</v>
      </c>
      <c r="ITA1" s="7" t="s">
        <v>6958</v>
      </c>
      <c r="ITB1" s="7" t="s">
        <v>6959</v>
      </c>
      <c r="ITC1" s="7" t="s">
        <v>6960</v>
      </c>
      <c r="ITD1" s="7" t="s">
        <v>6961</v>
      </c>
      <c r="ITE1" s="7" t="s">
        <v>6962</v>
      </c>
      <c r="ITF1" s="7" t="s">
        <v>6963</v>
      </c>
      <c r="ITG1" s="7" t="s">
        <v>6964</v>
      </c>
      <c r="ITH1" s="7" t="s">
        <v>6965</v>
      </c>
      <c r="ITI1" s="7" t="s">
        <v>6966</v>
      </c>
      <c r="ITJ1" s="7" t="s">
        <v>6967</v>
      </c>
      <c r="ITK1" s="7" t="s">
        <v>6968</v>
      </c>
      <c r="ITL1" s="7" t="s">
        <v>6969</v>
      </c>
      <c r="ITM1" s="7" t="s">
        <v>6970</v>
      </c>
      <c r="ITN1" s="7" t="s">
        <v>6971</v>
      </c>
      <c r="ITO1" s="7" t="s">
        <v>6972</v>
      </c>
      <c r="ITP1" s="7" t="s">
        <v>6973</v>
      </c>
      <c r="ITQ1" s="7" t="s">
        <v>6974</v>
      </c>
      <c r="ITR1" s="7" t="s">
        <v>6975</v>
      </c>
      <c r="ITS1" s="7" t="s">
        <v>6976</v>
      </c>
      <c r="ITT1" s="7" t="s">
        <v>6977</v>
      </c>
      <c r="ITU1" s="7" t="s">
        <v>6978</v>
      </c>
      <c r="ITV1" s="7" t="s">
        <v>6979</v>
      </c>
      <c r="ITW1" s="7" t="s">
        <v>6980</v>
      </c>
      <c r="ITX1" s="7" t="s">
        <v>6981</v>
      </c>
      <c r="ITY1" s="7" t="s">
        <v>6982</v>
      </c>
      <c r="ITZ1" s="7" t="s">
        <v>6983</v>
      </c>
      <c r="IUA1" s="7" t="s">
        <v>6984</v>
      </c>
      <c r="IUB1" s="7" t="s">
        <v>6985</v>
      </c>
      <c r="IUC1" s="7" t="s">
        <v>6986</v>
      </c>
      <c r="IUD1" s="7" t="s">
        <v>6987</v>
      </c>
      <c r="IUE1" s="7" t="s">
        <v>6988</v>
      </c>
      <c r="IUF1" s="7" t="s">
        <v>6989</v>
      </c>
      <c r="IUG1" s="7" t="s">
        <v>6990</v>
      </c>
      <c r="IUH1" s="7" t="s">
        <v>6991</v>
      </c>
      <c r="IUI1" s="7" t="s">
        <v>6992</v>
      </c>
      <c r="IUJ1" s="7" t="s">
        <v>6993</v>
      </c>
      <c r="IUK1" s="7" t="s">
        <v>6994</v>
      </c>
      <c r="IUL1" s="7" t="s">
        <v>6995</v>
      </c>
      <c r="IUM1" s="7" t="s">
        <v>6996</v>
      </c>
      <c r="IUN1" s="7" t="s">
        <v>6997</v>
      </c>
      <c r="IUO1" s="7" t="s">
        <v>6998</v>
      </c>
      <c r="IUP1" s="7" t="s">
        <v>6999</v>
      </c>
      <c r="IUQ1" s="7" t="s">
        <v>7000</v>
      </c>
      <c r="IUR1" s="7" t="s">
        <v>7001</v>
      </c>
      <c r="IUS1" s="7" t="s">
        <v>7002</v>
      </c>
      <c r="IUT1" s="7" t="s">
        <v>7003</v>
      </c>
      <c r="IUU1" s="7" t="s">
        <v>7004</v>
      </c>
      <c r="IUV1" s="7" t="s">
        <v>7005</v>
      </c>
      <c r="IUW1" s="7" t="s">
        <v>7006</v>
      </c>
      <c r="IUX1" s="7" t="s">
        <v>7007</v>
      </c>
      <c r="IUY1" s="7" t="s">
        <v>7008</v>
      </c>
      <c r="IUZ1" s="7" t="s">
        <v>7009</v>
      </c>
      <c r="IVA1" s="7" t="s">
        <v>7010</v>
      </c>
      <c r="IVB1" s="7" t="s">
        <v>7011</v>
      </c>
      <c r="IVC1" s="7" t="s">
        <v>7012</v>
      </c>
      <c r="IVD1" s="7" t="s">
        <v>7013</v>
      </c>
      <c r="IVE1" s="7" t="s">
        <v>7014</v>
      </c>
      <c r="IVF1" s="7" t="s">
        <v>7015</v>
      </c>
      <c r="IVG1" s="7" t="s">
        <v>7016</v>
      </c>
      <c r="IVH1" s="7" t="s">
        <v>7017</v>
      </c>
      <c r="IVI1" s="7" t="s">
        <v>7018</v>
      </c>
      <c r="IVJ1" s="7" t="s">
        <v>7019</v>
      </c>
      <c r="IVK1" s="7" t="s">
        <v>7020</v>
      </c>
      <c r="IVL1" s="7" t="s">
        <v>7021</v>
      </c>
      <c r="IVM1" s="7" t="s">
        <v>7022</v>
      </c>
      <c r="IVN1" s="7" t="s">
        <v>7023</v>
      </c>
      <c r="IVO1" s="7" t="s">
        <v>7024</v>
      </c>
      <c r="IVP1" s="7" t="s">
        <v>7025</v>
      </c>
      <c r="IVQ1" s="7" t="s">
        <v>7026</v>
      </c>
      <c r="IVR1" s="7" t="s">
        <v>7027</v>
      </c>
      <c r="IVS1" s="7" t="s">
        <v>7028</v>
      </c>
      <c r="IVT1" s="7" t="s">
        <v>7029</v>
      </c>
      <c r="IVU1" s="7" t="s">
        <v>7030</v>
      </c>
      <c r="IVV1" s="7" t="s">
        <v>7031</v>
      </c>
      <c r="IVW1" s="7" t="s">
        <v>7032</v>
      </c>
      <c r="IVX1" s="7" t="s">
        <v>7033</v>
      </c>
      <c r="IVY1" s="7" t="s">
        <v>7034</v>
      </c>
      <c r="IVZ1" s="7" t="s">
        <v>7035</v>
      </c>
      <c r="IWA1" s="7" t="s">
        <v>7036</v>
      </c>
      <c r="IWB1" s="7" t="s">
        <v>7037</v>
      </c>
      <c r="IWC1" s="7" t="s">
        <v>7038</v>
      </c>
      <c r="IWD1" s="7" t="s">
        <v>7039</v>
      </c>
      <c r="IWE1" s="7" t="s">
        <v>7040</v>
      </c>
      <c r="IWF1" s="7" t="s">
        <v>7041</v>
      </c>
      <c r="IWG1" s="7" t="s">
        <v>7042</v>
      </c>
      <c r="IWH1" s="7" t="s">
        <v>7043</v>
      </c>
      <c r="IWI1" s="7" t="s">
        <v>7044</v>
      </c>
      <c r="IWJ1" s="7" t="s">
        <v>7045</v>
      </c>
      <c r="IWK1" s="7" t="s">
        <v>7046</v>
      </c>
      <c r="IWL1" s="7" t="s">
        <v>7047</v>
      </c>
      <c r="IWM1" s="7" t="s">
        <v>7048</v>
      </c>
      <c r="IWN1" s="7" t="s">
        <v>7049</v>
      </c>
      <c r="IWO1" s="7" t="s">
        <v>7050</v>
      </c>
      <c r="IWP1" s="7" t="s">
        <v>7051</v>
      </c>
      <c r="IWQ1" s="7" t="s">
        <v>7052</v>
      </c>
      <c r="IWR1" s="7" t="s">
        <v>7053</v>
      </c>
      <c r="IWS1" s="7" t="s">
        <v>7054</v>
      </c>
      <c r="IWT1" s="7" t="s">
        <v>7055</v>
      </c>
      <c r="IWU1" s="7" t="s">
        <v>7056</v>
      </c>
      <c r="IWV1" s="7" t="s">
        <v>7057</v>
      </c>
      <c r="IWW1" s="7" t="s">
        <v>7058</v>
      </c>
      <c r="IWX1" s="7" t="s">
        <v>7059</v>
      </c>
      <c r="IWY1" s="7" t="s">
        <v>7060</v>
      </c>
      <c r="IWZ1" s="7" t="s">
        <v>7061</v>
      </c>
      <c r="IXA1" s="7" t="s">
        <v>7062</v>
      </c>
      <c r="IXB1" s="7" t="s">
        <v>7063</v>
      </c>
      <c r="IXC1" s="7" t="s">
        <v>7064</v>
      </c>
      <c r="IXD1" s="7" t="s">
        <v>7065</v>
      </c>
      <c r="IXE1" s="7" t="s">
        <v>7066</v>
      </c>
      <c r="IXF1" s="7" t="s">
        <v>7067</v>
      </c>
      <c r="IXG1" s="7" t="s">
        <v>7068</v>
      </c>
      <c r="IXH1" s="7" t="s">
        <v>7069</v>
      </c>
      <c r="IXI1" s="7" t="s">
        <v>7070</v>
      </c>
      <c r="IXJ1" s="7" t="s">
        <v>7071</v>
      </c>
      <c r="IXK1" s="7" t="s">
        <v>7072</v>
      </c>
      <c r="IXL1" s="7" t="s">
        <v>7073</v>
      </c>
      <c r="IXM1" s="7" t="s">
        <v>7074</v>
      </c>
      <c r="IXN1" s="7" t="s">
        <v>7075</v>
      </c>
      <c r="IXO1" s="7" t="s">
        <v>7076</v>
      </c>
      <c r="IXP1" s="7" t="s">
        <v>7077</v>
      </c>
      <c r="IXQ1" s="7" t="s">
        <v>7078</v>
      </c>
      <c r="IXR1" s="7" t="s">
        <v>7079</v>
      </c>
      <c r="IXS1" s="7" t="s">
        <v>7080</v>
      </c>
      <c r="IXT1" s="7" t="s">
        <v>7081</v>
      </c>
      <c r="IXU1" s="7" t="s">
        <v>7082</v>
      </c>
      <c r="IXV1" s="7" t="s">
        <v>7083</v>
      </c>
      <c r="IXW1" s="7" t="s">
        <v>7084</v>
      </c>
      <c r="IXX1" s="7" t="s">
        <v>7085</v>
      </c>
      <c r="IXY1" s="7" t="s">
        <v>7086</v>
      </c>
      <c r="IXZ1" s="7" t="s">
        <v>7087</v>
      </c>
      <c r="IYA1" s="7" t="s">
        <v>7088</v>
      </c>
      <c r="IYB1" s="7" t="s">
        <v>7089</v>
      </c>
      <c r="IYC1" s="7" t="s">
        <v>7090</v>
      </c>
      <c r="IYD1" s="7" t="s">
        <v>7091</v>
      </c>
      <c r="IYE1" s="7" t="s">
        <v>7092</v>
      </c>
      <c r="IYF1" s="7" t="s">
        <v>7093</v>
      </c>
      <c r="IYG1" s="7" t="s">
        <v>7094</v>
      </c>
      <c r="IYH1" s="7" t="s">
        <v>7095</v>
      </c>
      <c r="IYI1" s="7" t="s">
        <v>7096</v>
      </c>
      <c r="IYJ1" s="7" t="s">
        <v>7097</v>
      </c>
      <c r="IYK1" s="7" t="s">
        <v>7098</v>
      </c>
      <c r="IYL1" s="7" t="s">
        <v>7099</v>
      </c>
      <c r="IYM1" s="7" t="s">
        <v>7100</v>
      </c>
      <c r="IYN1" s="7" t="s">
        <v>7101</v>
      </c>
      <c r="IYO1" s="7" t="s">
        <v>7102</v>
      </c>
      <c r="IYP1" s="7" t="s">
        <v>7103</v>
      </c>
      <c r="IYQ1" s="7" t="s">
        <v>7104</v>
      </c>
      <c r="IYR1" s="7" t="s">
        <v>7105</v>
      </c>
      <c r="IYS1" s="7" t="s">
        <v>7106</v>
      </c>
      <c r="IYT1" s="7" t="s">
        <v>7107</v>
      </c>
      <c r="IYU1" s="7" t="s">
        <v>7108</v>
      </c>
      <c r="IYV1" s="7" t="s">
        <v>7109</v>
      </c>
      <c r="IYW1" s="7" t="s">
        <v>7110</v>
      </c>
      <c r="IYX1" s="7" t="s">
        <v>7111</v>
      </c>
      <c r="IYY1" s="7" t="s">
        <v>7112</v>
      </c>
      <c r="IYZ1" s="7" t="s">
        <v>7113</v>
      </c>
      <c r="IZA1" s="7" t="s">
        <v>7114</v>
      </c>
      <c r="IZB1" s="7" t="s">
        <v>7115</v>
      </c>
      <c r="IZC1" s="7" t="s">
        <v>7116</v>
      </c>
      <c r="IZD1" s="7" t="s">
        <v>7117</v>
      </c>
      <c r="IZE1" s="7" t="s">
        <v>7118</v>
      </c>
      <c r="IZF1" s="7" t="s">
        <v>7119</v>
      </c>
      <c r="IZG1" s="7" t="s">
        <v>7120</v>
      </c>
      <c r="IZH1" s="7" t="s">
        <v>7121</v>
      </c>
      <c r="IZI1" s="7" t="s">
        <v>7122</v>
      </c>
      <c r="IZJ1" s="7" t="s">
        <v>7123</v>
      </c>
      <c r="IZK1" s="7" t="s">
        <v>7124</v>
      </c>
      <c r="IZL1" s="7" t="s">
        <v>7125</v>
      </c>
      <c r="IZM1" s="7" t="s">
        <v>7126</v>
      </c>
      <c r="IZN1" s="7" t="s">
        <v>7127</v>
      </c>
      <c r="IZO1" s="7" t="s">
        <v>7128</v>
      </c>
      <c r="IZP1" s="7" t="s">
        <v>7129</v>
      </c>
      <c r="IZQ1" s="7" t="s">
        <v>7130</v>
      </c>
      <c r="IZR1" s="7" t="s">
        <v>7131</v>
      </c>
      <c r="IZS1" s="7" t="s">
        <v>7132</v>
      </c>
      <c r="IZT1" s="7" t="s">
        <v>7133</v>
      </c>
      <c r="IZU1" s="7" t="s">
        <v>7134</v>
      </c>
      <c r="IZV1" s="7" t="s">
        <v>7135</v>
      </c>
      <c r="IZW1" s="7" t="s">
        <v>7136</v>
      </c>
      <c r="IZX1" s="7" t="s">
        <v>7137</v>
      </c>
      <c r="IZY1" s="7" t="s">
        <v>7138</v>
      </c>
      <c r="IZZ1" s="7" t="s">
        <v>7139</v>
      </c>
      <c r="JAA1" s="7" t="s">
        <v>7140</v>
      </c>
      <c r="JAB1" s="7" t="s">
        <v>7141</v>
      </c>
      <c r="JAC1" s="7" t="s">
        <v>7142</v>
      </c>
      <c r="JAD1" s="7" t="s">
        <v>7143</v>
      </c>
      <c r="JAE1" s="7" t="s">
        <v>7144</v>
      </c>
      <c r="JAF1" s="7" t="s">
        <v>7145</v>
      </c>
      <c r="JAG1" s="7" t="s">
        <v>7146</v>
      </c>
      <c r="JAH1" s="7" t="s">
        <v>7147</v>
      </c>
      <c r="JAI1" s="7" t="s">
        <v>7148</v>
      </c>
      <c r="JAJ1" s="7" t="s">
        <v>7149</v>
      </c>
      <c r="JAK1" s="7" t="s">
        <v>7150</v>
      </c>
      <c r="JAL1" s="7" t="s">
        <v>7151</v>
      </c>
      <c r="JAM1" s="7" t="s">
        <v>7152</v>
      </c>
      <c r="JAN1" s="7" t="s">
        <v>7153</v>
      </c>
      <c r="JAO1" s="7" t="s">
        <v>7154</v>
      </c>
      <c r="JAP1" s="7" t="s">
        <v>7155</v>
      </c>
      <c r="JAQ1" s="7" t="s">
        <v>7156</v>
      </c>
      <c r="JAR1" s="7" t="s">
        <v>7157</v>
      </c>
      <c r="JAS1" s="7" t="s">
        <v>7158</v>
      </c>
      <c r="JAT1" s="7" t="s">
        <v>7159</v>
      </c>
      <c r="JAU1" s="7" t="s">
        <v>7160</v>
      </c>
      <c r="JAV1" s="7" t="s">
        <v>7161</v>
      </c>
      <c r="JAW1" s="7" t="s">
        <v>7162</v>
      </c>
      <c r="JAX1" s="7" t="s">
        <v>7163</v>
      </c>
      <c r="JAY1" s="7" t="s">
        <v>7164</v>
      </c>
      <c r="JAZ1" s="7" t="s">
        <v>7165</v>
      </c>
      <c r="JBA1" s="7" t="s">
        <v>7166</v>
      </c>
      <c r="JBB1" s="7" t="s">
        <v>7167</v>
      </c>
      <c r="JBC1" s="7" t="s">
        <v>7168</v>
      </c>
      <c r="JBD1" s="7" t="s">
        <v>7169</v>
      </c>
      <c r="JBE1" s="7" t="s">
        <v>7170</v>
      </c>
      <c r="JBF1" s="7" t="s">
        <v>7171</v>
      </c>
      <c r="JBG1" s="7" t="s">
        <v>7172</v>
      </c>
      <c r="JBH1" s="7" t="s">
        <v>7173</v>
      </c>
      <c r="JBI1" s="7" t="s">
        <v>7174</v>
      </c>
      <c r="JBJ1" s="7" t="s">
        <v>7175</v>
      </c>
      <c r="JBK1" s="7" t="s">
        <v>7176</v>
      </c>
      <c r="JBL1" s="7" t="s">
        <v>7177</v>
      </c>
      <c r="JBM1" s="7" t="s">
        <v>7178</v>
      </c>
      <c r="JBN1" s="7" t="s">
        <v>7179</v>
      </c>
      <c r="JBO1" s="7" t="s">
        <v>7180</v>
      </c>
      <c r="JBP1" s="7" t="s">
        <v>7181</v>
      </c>
      <c r="JBQ1" s="7" t="s">
        <v>7182</v>
      </c>
      <c r="JBR1" s="7" t="s">
        <v>7183</v>
      </c>
      <c r="JBS1" s="7" t="s">
        <v>7184</v>
      </c>
      <c r="JBT1" s="7" t="s">
        <v>7185</v>
      </c>
      <c r="JBU1" s="7" t="s">
        <v>7186</v>
      </c>
      <c r="JBV1" s="7" t="s">
        <v>7187</v>
      </c>
      <c r="JBW1" s="7" t="s">
        <v>7188</v>
      </c>
      <c r="JBX1" s="7" t="s">
        <v>7189</v>
      </c>
      <c r="JBY1" s="7" t="s">
        <v>7190</v>
      </c>
      <c r="JBZ1" s="7" t="s">
        <v>7191</v>
      </c>
      <c r="JCA1" s="7" t="s">
        <v>7192</v>
      </c>
      <c r="JCB1" s="7" t="s">
        <v>7193</v>
      </c>
      <c r="JCC1" s="7" t="s">
        <v>7194</v>
      </c>
      <c r="JCD1" s="7" t="s">
        <v>7195</v>
      </c>
      <c r="JCE1" s="7" t="s">
        <v>7196</v>
      </c>
      <c r="JCF1" s="7" t="s">
        <v>7197</v>
      </c>
      <c r="JCG1" s="7" t="s">
        <v>7198</v>
      </c>
      <c r="JCH1" s="7" t="s">
        <v>7199</v>
      </c>
      <c r="JCI1" s="7" t="s">
        <v>7200</v>
      </c>
      <c r="JCJ1" s="7" t="s">
        <v>7201</v>
      </c>
      <c r="JCK1" s="7" t="s">
        <v>7202</v>
      </c>
      <c r="JCL1" s="7" t="s">
        <v>7203</v>
      </c>
      <c r="JCM1" s="7" t="s">
        <v>7204</v>
      </c>
      <c r="JCN1" s="7" t="s">
        <v>7205</v>
      </c>
      <c r="JCO1" s="7" t="s">
        <v>7206</v>
      </c>
      <c r="JCP1" s="7" t="s">
        <v>7207</v>
      </c>
      <c r="JCQ1" s="7" t="s">
        <v>7208</v>
      </c>
      <c r="JCR1" s="7" t="s">
        <v>7209</v>
      </c>
      <c r="JCS1" s="7" t="s">
        <v>7210</v>
      </c>
      <c r="JCT1" s="7" t="s">
        <v>7211</v>
      </c>
      <c r="JCU1" s="7" t="s">
        <v>7212</v>
      </c>
      <c r="JCV1" s="7" t="s">
        <v>7213</v>
      </c>
      <c r="JCW1" s="7" t="s">
        <v>7214</v>
      </c>
      <c r="JCX1" s="7" t="s">
        <v>7215</v>
      </c>
      <c r="JCY1" s="7" t="s">
        <v>7216</v>
      </c>
      <c r="JCZ1" s="7" t="s">
        <v>7217</v>
      </c>
      <c r="JDA1" s="7" t="s">
        <v>7218</v>
      </c>
      <c r="JDB1" s="7" t="s">
        <v>7219</v>
      </c>
      <c r="JDC1" s="7" t="s">
        <v>7220</v>
      </c>
      <c r="JDD1" s="7" t="s">
        <v>7221</v>
      </c>
      <c r="JDE1" s="7" t="s">
        <v>7222</v>
      </c>
      <c r="JDF1" s="7" t="s">
        <v>7223</v>
      </c>
      <c r="JDG1" s="7" t="s">
        <v>7224</v>
      </c>
      <c r="JDH1" s="7" t="s">
        <v>7225</v>
      </c>
      <c r="JDI1" s="7" t="s">
        <v>7226</v>
      </c>
      <c r="JDJ1" s="7" t="s">
        <v>7227</v>
      </c>
      <c r="JDK1" s="7" t="s">
        <v>7228</v>
      </c>
      <c r="JDL1" s="7" t="s">
        <v>7229</v>
      </c>
      <c r="JDM1" s="7" t="s">
        <v>7230</v>
      </c>
      <c r="JDN1" s="7" t="s">
        <v>7231</v>
      </c>
      <c r="JDO1" s="7" t="s">
        <v>7232</v>
      </c>
      <c r="JDP1" s="7" t="s">
        <v>7233</v>
      </c>
      <c r="JDQ1" s="7" t="s">
        <v>7234</v>
      </c>
      <c r="JDR1" s="7" t="s">
        <v>7235</v>
      </c>
      <c r="JDS1" s="7" t="s">
        <v>7236</v>
      </c>
      <c r="JDT1" s="7" t="s">
        <v>7237</v>
      </c>
      <c r="JDU1" s="7" t="s">
        <v>7238</v>
      </c>
      <c r="JDV1" s="7" t="s">
        <v>7239</v>
      </c>
      <c r="JDW1" s="7" t="s">
        <v>7240</v>
      </c>
      <c r="JDX1" s="7" t="s">
        <v>7241</v>
      </c>
      <c r="JDY1" s="7" t="s">
        <v>7242</v>
      </c>
      <c r="JDZ1" s="7" t="s">
        <v>7243</v>
      </c>
      <c r="JEA1" s="7" t="s">
        <v>7244</v>
      </c>
      <c r="JEB1" s="7" t="s">
        <v>7245</v>
      </c>
      <c r="JEC1" s="7" t="s">
        <v>7246</v>
      </c>
      <c r="JED1" s="7" t="s">
        <v>7247</v>
      </c>
      <c r="JEE1" s="7" t="s">
        <v>7248</v>
      </c>
      <c r="JEF1" s="7" t="s">
        <v>7249</v>
      </c>
      <c r="JEG1" s="7" t="s">
        <v>7250</v>
      </c>
      <c r="JEH1" s="7" t="s">
        <v>7251</v>
      </c>
      <c r="JEI1" s="7" t="s">
        <v>7252</v>
      </c>
      <c r="JEJ1" s="7" t="s">
        <v>7253</v>
      </c>
      <c r="JEK1" s="7" t="s">
        <v>7254</v>
      </c>
      <c r="JEL1" s="7" t="s">
        <v>7255</v>
      </c>
      <c r="JEM1" s="7" t="s">
        <v>7256</v>
      </c>
      <c r="JEN1" s="7" t="s">
        <v>7257</v>
      </c>
      <c r="JEO1" s="7" t="s">
        <v>7258</v>
      </c>
      <c r="JEP1" s="7" t="s">
        <v>7259</v>
      </c>
      <c r="JEQ1" s="7" t="s">
        <v>7260</v>
      </c>
      <c r="JER1" s="7" t="s">
        <v>7261</v>
      </c>
      <c r="JES1" s="7" t="s">
        <v>7262</v>
      </c>
      <c r="JET1" s="7" t="s">
        <v>7263</v>
      </c>
      <c r="JEU1" s="7" t="s">
        <v>7264</v>
      </c>
      <c r="JEV1" s="7" t="s">
        <v>7265</v>
      </c>
      <c r="JEW1" s="7" t="s">
        <v>7266</v>
      </c>
      <c r="JEX1" s="7" t="s">
        <v>7267</v>
      </c>
      <c r="JEY1" s="7" t="s">
        <v>7268</v>
      </c>
      <c r="JEZ1" s="7" t="s">
        <v>7269</v>
      </c>
      <c r="JFA1" s="7" t="s">
        <v>7270</v>
      </c>
      <c r="JFB1" s="7" t="s">
        <v>7271</v>
      </c>
      <c r="JFC1" s="7" t="s">
        <v>7272</v>
      </c>
      <c r="JFD1" s="7" t="s">
        <v>7273</v>
      </c>
      <c r="JFE1" s="7" t="s">
        <v>7274</v>
      </c>
      <c r="JFF1" s="7" t="s">
        <v>7275</v>
      </c>
      <c r="JFG1" s="7" t="s">
        <v>7276</v>
      </c>
      <c r="JFH1" s="7" t="s">
        <v>7277</v>
      </c>
      <c r="JFI1" s="7" t="s">
        <v>7278</v>
      </c>
      <c r="JFJ1" s="7" t="s">
        <v>7279</v>
      </c>
      <c r="JFK1" s="7" t="s">
        <v>7280</v>
      </c>
      <c r="JFL1" s="7" t="s">
        <v>7281</v>
      </c>
      <c r="JFM1" s="7" t="s">
        <v>7282</v>
      </c>
      <c r="JFN1" s="7" t="s">
        <v>7283</v>
      </c>
      <c r="JFO1" s="7" t="s">
        <v>7284</v>
      </c>
      <c r="JFP1" s="7" t="s">
        <v>7285</v>
      </c>
      <c r="JFQ1" s="7" t="s">
        <v>7286</v>
      </c>
      <c r="JFR1" s="7" t="s">
        <v>7287</v>
      </c>
      <c r="JFS1" s="7" t="s">
        <v>7288</v>
      </c>
      <c r="JFT1" s="7" t="s">
        <v>7289</v>
      </c>
      <c r="JFU1" s="7" t="s">
        <v>7290</v>
      </c>
      <c r="JFV1" s="7" t="s">
        <v>7291</v>
      </c>
      <c r="JFW1" s="7" t="s">
        <v>7292</v>
      </c>
      <c r="JFX1" s="7" t="s">
        <v>7293</v>
      </c>
      <c r="JFY1" s="7" t="s">
        <v>7294</v>
      </c>
      <c r="JFZ1" s="7" t="s">
        <v>7295</v>
      </c>
      <c r="JGA1" s="7" t="s">
        <v>7296</v>
      </c>
      <c r="JGB1" s="7" t="s">
        <v>7297</v>
      </c>
      <c r="JGC1" s="7" t="s">
        <v>7298</v>
      </c>
      <c r="JGD1" s="7" t="s">
        <v>7299</v>
      </c>
      <c r="JGE1" s="7" t="s">
        <v>7300</v>
      </c>
      <c r="JGF1" s="7" t="s">
        <v>7301</v>
      </c>
      <c r="JGG1" s="7" t="s">
        <v>7302</v>
      </c>
      <c r="JGH1" s="7" t="s">
        <v>7303</v>
      </c>
      <c r="JGI1" s="7" t="s">
        <v>7304</v>
      </c>
      <c r="JGJ1" s="7" t="s">
        <v>7305</v>
      </c>
      <c r="JGK1" s="7" t="s">
        <v>7306</v>
      </c>
      <c r="JGL1" s="7" t="s">
        <v>7307</v>
      </c>
      <c r="JGM1" s="7" t="s">
        <v>7308</v>
      </c>
      <c r="JGN1" s="7" t="s">
        <v>7309</v>
      </c>
      <c r="JGO1" s="7" t="s">
        <v>7310</v>
      </c>
      <c r="JGP1" s="7" t="s">
        <v>7311</v>
      </c>
      <c r="JGQ1" s="7" t="s">
        <v>7312</v>
      </c>
      <c r="JGR1" s="7" t="s">
        <v>7313</v>
      </c>
      <c r="JGS1" s="7" t="s">
        <v>7314</v>
      </c>
      <c r="JGT1" s="7" t="s">
        <v>7315</v>
      </c>
      <c r="JGU1" s="7" t="s">
        <v>7316</v>
      </c>
      <c r="JGV1" s="7" t="s">
        <v>7317</v>
      </c>
      <c r="JGW1" s="7" t="s">
        <v>7318</v>
      </c>
      <c r="JGX1" s="7" t="s">
        <v>7319</v>
      </c>
      <c r="JGY1" s="7" t="s">
        <v>7320</v>
      </c>
      <c r="JGZ1" s="7" t="s">
        <v>7321</v>
      </c>
      <c r="JHA1" s="7" t="s">
        <v>7322</v>
      </c>
      <c r="JHB1" s="7" t="s">
        <v>7323</v>
      </c>
      <c r="JHC1" s="7" t="s">
        <v>7324</v>
      </c>
      <c r="JHD1" s="7" t="s">
        <v>7325</v>
      </c>
      <c r="JHE1" s="7" t="s">
        <v>7326</v>
      </c>
      <c r="JHF1" s="7" t="s">
        <v>7327</v>
      </c>
      <c r="JHG1" s="7" t="s">
        <v>7328</v>
      </c>
      <c r="JHH1" s="7" t="s">
        <v>7329</v>
      </c>
      <c r="JHI1" s="7" t="s">
        <v>7330</v>
      </c>
      <c r="JHJ1" s="7" t="s">
        <v>7331</v>
      </c>
      <c r="JHK1" s="7" t="s">
        <v>7332</v>
      </c>
      <c r="JHL1" s="7" t="s">
        <v>7333</v>
      </c>
      <c r="JHM1" s="7" t="s">
        <v>7334</v>
      </c>
      <c r="JHN1" s="7" t="s">
        <v>7335</v>
      </c>
      <c r="JHO1" s="7" t="s">
        <v>7336</v>
      </c>
      <c r="JHP1" s="7" t="s">
        <v>7337</v>
      </c>
      <c r="JHQ1" s="7" t="s">
        <v>7338</v>
      </c>
      <c r="JHR1" s="7" t="s">
        <v>7339</v>
      </c>
      <c r="JHS1" s="7" t="s">
        <v>7340</v>
      </c>
      <c r="JHT1" s="7" t="s">
        <v>7341</v>
      </c>
      <c r="JHU1" s="7" t="s">
        <v>7342</v>
      </c>
      <c r="JHV1" s="7" t="s">
        <v>7343</v>
      </c>
      <c r="JHW1" s="7" t="s">
        <v>7344</v>
      </c>
      <c r="JHX1" s="7" t="s">
        <v>7345</v>
      </c>
      <c r="JHY1" s="7" t="s">
        <v>7346</v>
      </c>
      <c r="JHZ1" s="7" t="s">
        <v>7347</v>
      </c>
      <c r="JIA1" s="7" t="s">
        <v>7348</v>
      </c>
      <c r="JIB1" s="7" t="s">
        <v>7349</v>
      </c>
      <c r="JIC1" s="7" t="s">
        <v>7350</v>
      </c>
      <c r="JID1" s="7" t="s">
        <v>7351</v>
      </c>
      <c r="JIE1" s="7" t="s">
        <v>7352</v>
      </c>
      <c r="JIF1" s="7" t="s">
        <v>7353</v>
      </c>
      <c r="JIG1" s="7" t="s">
        <v>7354</v>
      </c>
      <c r="JIH1" s="7" t="s">
        <v>7355</v>
      </c>
      <c r="JII1" s="7" t="s">
        <v>7356</v>
      </c>
      <c r="JIJ1" s="7" t="s">
        <v>7357</v>
      </c>
      <c r="JIK1" s="7" t="s">
        <v>7358</v>
      </c>
      <c r="JIL1" s="7" t="s">
        <v>7359</v>
      </c>
      <c r="JIM1" s="7" t="s">
        <v>7360</v>
      </c>
      <c r="JIN1" s="7" t="s">
        <v>7361</v>
      </c>
      <c r="JIO1" s="7" t="s">
        <v>7362</v>
      </c>
      <c r="JIP1" s="7" t="s">
        <v>7363</v>
      </c>
      <c r="JIQ1" s="7" t="s">
        <v>7364</v>
      </c>
      <c r="JIR1" s="7" t="s">
        <v>7365</v>
      </c>
      <c r="JIS1" s="7" t="s">
        <v>7366</v>
      </c>
      <c r="JIT1" s="7" t="s">
        <v>7367</v>
      </c>
      <c r="JIU1" s="7" t="s">
        <v>7368</v>
      </c>
      <c r="JIV1" s="7" t="s">
        <v>7369</v>
      </c>
      <c r="JIW1" s="7" t="s">
        <v>7370</v>
      </c>
      <c r="JIX1" s="7" t="s">
        <v>7371</v>
      </c>
      <c r="JIY1" s="7" t="s">
        <v>7372</v>
      </c>
      <c r="JIZ1" s="7" t="s">
        <v>7373</v>
      </c>
      <c r="JJA1" s="7" t="s">
        <v>7374</v>
      </c>
      <c r="JJB1" s="7" t="s">
        <v>7375</v>
      </c>
      <c r="JJC1" s="7" t="s">
        <v>7376</v>
      </c>
      <c r="JJD1" s="7" t="s">
        <v>7377</v>
      </c>
      <c r="JJE1" s="7" t="s">
        <v>7378</v>
      </c>
      <c r="JJF1" s="7" t="s">
        <v>7379</v>
      </c>
      <c r="JJG1" s="7" t="s">
        <v>7380</v>
      </c>
      <c r="JJH1" s="7" t="s">
        <v>7381</v>
      </c>
      <c r="JJI1" s="7" t="s">
        <v>7382</v>
      </c>
      <c r="JJJ1" s="7" t="s">
        <v>7383</v>
      </c>
      <c r="JJK1" s="7" t="s">
        <v>7384</v>
      </c>
      <c r="JJL1" s="7" t="s">
        <v>7385</v>
      </c>
      <c r="JJM1" s="7" t="s">
        <v>7386</v>
      </c>
      <c r="JJN1" s="7" t="s">
        <v>7387</v>
      </c>
      <c r="JJO1" s="7" t="s">
        <v>7388</v>
      </c>
      <c r="JJP1" s="7" t="s">
        <v>7389</v>
      </c>
      <c r="JJQ1" s="7" t="s">
        <v>7390</v>
      </c>
      <c r="JJR1" s="7" t="s">
        <v>7391</v>
      </c>
      <c r="JJS1" s="7" t="s">
        <v>7392</v>
      </c>
      <c r="JJT1" s="7" t="s">
        <v>7393</v>
      </c>
      <c r="JJU1" s="7" t="s">
        <v>7394</v>
      </c>
      <c r="JJV1" s="7" t="s">
        <v>7395</v>
      </c>
      <c r="JJW1" s="7" t="s">
        <v>7396</v>
      </c>
      <c r="JJX1" s="7" t="s">
        <v>7397</v>
      </c>
      <c r="JJY1" s="7" t="s">
        <v>7398</v>
      </c>
      <c r="JJZ1" s="7" t="s">
        <v>7399</v>
      </c>
      <c r="JKA1" s="7" t="s">
        <v>7400</v>
      </c>
      <c r="JKB1" s="7" t="s">
        <v>7401</v>
      </c>
      <c r="JKC1" s="7" t="s">
        <v>7402</v>
      </c>
      <c r="JKD1" s="7" t="s">
        <v>7403</v>
      </c>
      <c r="JKE1" s="7" t="s">
        <v>7404</v>
      </c>
      <c r="JKF1" s="7" t="s">
        <v>7405</v>
      </c>
      <c r="JKG1" s="7" t="s">
        <v>7406</v>
      </c>
      <c r="JKH1" s="7" t="s">
        <v>7407</v>
      </c>
      <c r="JKI1" s="7" t="s">
        <v>7408</v>
      </c>
      <c r="JKJ1" s="7" t="s">
        <v>7409</v>
      </c>
      <c r="JKK1" s="7" t="s">
        <v>7410</v>
      </c>
      <c r="JKL1" s="7" t="s">
        <v>7411</v>
      </c>
      <c r="JKM1" s="7" t="s">
        <v>7412</v>
      </c>
      <c r="JKN1" s="7" t="s">
        <v>7413</v>
      </c>
      <c r="JKO1" s="7" t="s">
        <v>7414</v>
      </c>
      <c r="JKP1" s="7" t="s">
        <v>7415</v>
      </c>
      <c r="JKQ1" s="7" t="s">
        <v>7416</v>
      </c>
      <c r="JKR1" s="7" t="s">
        <v>7417</v>
      </c>
      <c r="JKS1" s="7" t="s">
        <v>7418</v>
      </c>
      <c r="JKT1" s="7" t="s">
        <v>7419</v>
      </c>
      <c r="JKU1" s="7" t="s">
        <v>7420</v>
      </c>
      <c r="JKV1" s="7" t="s">
        <v>7421</v>
      </c>
      <c r="JKW1" s="7" t="s">
        <v>7422</v>
      </c>
      <c r="JKX1" s="7" t="s">
        <v>7423</v>
      </c>
      <c r="JKY1" s="7" t="s">
        <v>7424</v>
      </c>
      <c r="JKZ1" s="7" t="s">
        <v>7425</v>
      </c>
      <c r="JLA1" s="7" t="s">
        <v>7426</v>
      </c>
      <c r="JLB1" s="7" t="s">
        <v>7427</v>
      </c>
      <c r="JLC1" s="7" t="s">
        <v>7428</v>
      </c>
      <c r="JLD1" s="7" t="s">
        <v>7429</v>
      </c>
      <c r="JLE1" s="7" t="s">
        <v>7430</v>
      </c>
      <c r="JLF1" s="7" t="s">
        <v>7431</v>
      </c>
      <c r="JLG1" s="7" t="s">
        <v>7432</v>
      </c>
      <c r="JLH1" s="7" t="s">
        <v>7433</v>
      </c>
      <c r="JLI1" s="7" t="s">
        <v>7434</v>
      </c>
      <c r="JLJ1" s="7" t="s">
        <v>7435</v>
      </c>
      <c r="JLK1" s="7" t="s">
        <v>7436</v>
      </c>
      <c r="JLL1" s="7" t="s">
        <v>7437</v>
      </c>
      <c r="JLM1" s="7" t="s">
        <v>7438</v>
      </c>
      <c r="JLN1" s="7" t="s">
        <v>7439</v>
      </c>
      <c r="JLO1" s="7" t="s">
        <v>7440</v>
      </c>
      <c r="JLP1" s="7" t="s">
        <v>7441</v>
      </c>
      <c r="JLQ1" s="7" t="s">
        <v>7442</v>
      </c>
      <c r="JLR1" s="7" t="s">
        <v>7443</v>
      </c>
      <c r="JLS1" s="7" t="s">
        <v>7444</v>
      </c>
      <c r="JLT1" s="7" t="s">
        <v>7445</v>
      </c>
      <c r="JLU1" s="7" t="s">
        <v>7446</v>
      </c>
      <c r="JLV1" s="7" t="s">
        <v>7447</v>
      </c>
      <c r="JLW1" s="7" t="s">
        <v>7448</v>
      </c>
      <c r="JLX1" s="7" t="s">
        <v>7449</v>
      </c>
      <c r="JLY1" s="7" t="s">
        <v>7450</v>
      </c>
      <c r="JLZ1" s="7" t="s">
        <v>7451</v>
      </c>
      <c r="JMA1" s="7" t="s">
        <v>7452</v>
      </c>
      <c r="JMB1" s="7" t="s">
        <v>7453</v>
      </c>
      <c r="JMC1" s="7" t="s">
        <v>7454</v>
      </c>
      <c r="JMD1" s="7" t="s">
        <v>7455</v>
      </c>
      <c r="JME1" s="7" t="s">
        <v>7456</v>
      </c>
      <c r="JMF1" s="7" t="s">
        <v>7457</v>
      </c>
      <c r="JMG1" s="7" t="s">
        <v>7458</v>
      </c>
      <c r="JMH1" s="7" t="s">
        <v>7459</v>
      </c>
      <c r="JMI1" s="7" t="s">
        <v>7460</v>
      </c>
      <c r="JMJ1" s="7" t="s">
        <v>7461</v>
      </c>
      <c r="JMK1" s="7" t="s">
        <v>7462</v>
      </c>
      <c r="JML1" s="7" t="s">
        <v>7463</v>
      </c>
      <c r="JMM1" s="7" t="s">
        <v>7464</v>
      </c>
      <c r="JMN1" s="7" t="s">
        <v>7465</v>
      </c>
      <c r="JMO1" s="7" t="s">
        <v>7466</v>
      </c>
      <c r="JMP1" s="7" t="s">
        <v>7467</v>
      </c>
      <c r="JMQ1" s="7" t="s">
        <v>7468</v>
      </c>
      <c r="JMR1" s="7" t="s">
        <v>7469</v>
      </c>
      <c r="JMS1" s="7" t="s">
        <v>7470</v>
      </c>
      <c r="JMT1" s="7" t="s">
        <v>7471</v>
      </c>
      <c r="JMU1" s="7" t="s">
        <v>7472</v>
      </c>
      <c r="JMV1" s="7" t="s">
        <v>7473</v>
      </c>
      <c r="JMW1" s="7" t="s">
        <v>7474</v>
      </c>
      <c r="JMX1" s="7" t="s">
        <v>7475</v>
      </c>
      <c r="JMY1" s="7" t="s">
        <v>7476</v>
      </c>
      <c r="JMZ1" s="7" t="s">
        <v>7477</v>
      </c>
      <c r="JNA1" s="7" t="s">
        <v>7478</v>
      </c>
      <c r="JNB1" s="7" t="s">
        <v>7479</v>
      </c>
      <c r="JNC1" s="7" t="s">
        <v>7480</v>
      </c>
      <c r="JND1" s="7" t="s">
        <v>7481</v>
      </c>
      <c r="JNE1" s="7" t="s">
        <v>7482</v>
      </c>
      <c r="JNF1" s="7" t="s">
        <v>7483</v>
      </c>
      <c r="JNG1" s="7" t="s">
        <v>7484</v>
      </c>
      <c r="JNH1" s="7" t="s">
        <v>7485</v>
      </c>
      <c r="JNI1" s="7" t="s">
        <v>7486</v>
      </c>
      <c r="JNJ1" s="7" t="s">
        <v>7487</v>
      </c>
      <c r="JNK1" s="7" t="s">
        <v>7488</v>
      </c>
      <c r="JNL1" s="7" t="s">
        <v>7489</v>
      </c>
      <c r="JNM1" s="7" t="s">
        <v>7490</v>
      </c>
      <c r="JNN1" s="7" t="s">
        <v>7491</v>
      </c>
      <c r="JNO1" s="7" t="s">
        <v>7492</v>
      </c>
      <c r="JNP1" s="7" t="s">
        <v>7493</v>
      </c>
      <c r="JNQ1" s="7" t="s">
        <v>7494</v>
      </c>
      <c r="JNR1" s="7" t="s">
        <v>7495</v>
      </c>
      <c r="JNS1" s="7" t="s">
        <v>7496</v>
      </c>
      <c r="JNT1" s="7" t="s">
        <v>7497</v>
      </c>
      <c r="JNU1" s="7" t="s">
        <v>7498</v>
      </c>
      <c r="JNV1" s="7" t="s">
        <v>7499</v>
      </c>
      <c r="JNW1" s="7" t="s">
        <v>7500</v>
      </c>
      <c r="JNX1" s="7" t="s">
        <v>7501</v>
      </c>
      <c r="JNY1" s="7" t="s">
        <v>7502</v>
      </c>
      <c r="JNZ1" s="7" t="s">
        <v>7503</v>
      </c>
      <c r="JOA1" s="7" t="s">
        <v>7504</v>
      </c>
      <c r="JOB1" s="7" t="s">
        <v>7505</v>
      </c>
      <c r="JOC1" s="7" t="s">
        <v>7506</v>
      </c>
      <c r="JOD1" s="7" t="s">
        <v>7507</v>
      </c>
      <c r="JOE1" s="7" t="s">
        <v>7508</v>
      </c>
      <c r="JOF1" s="7" t="s">
        <v>7509</v>
      </c>
      <c r="JOG1" s="7" t="s">
        <v>7510</v>
      </c>
      <c r="JOH1" s="7" t="s">
        <v>7511</v>
      </c>
      <c r="JOI1" s="7" t="s">
        <v>7512</v>
      </c>
      <c r="JOJ1" s="7" t="s">
        <v>7513</v>
      </c>
      <c r="JOK1" s="7" t="s">
        <v>7514</v>
      </c>
      <c r="JOL1" s="7" t="s">
        <v>7515</v>
      </c>
      <c r="JOM1" s="7" t="s">
        <v>7516</v>
      </c>
      <c r="JON1" s="7" t="s">
        <v>7517</v>
      </c>
      <c r="JOO1" s="7" t="s">
        <v>7518</v>
      </c>
      <c r="JOP1" s="7" t="s">
        <v>7519</v>
      </c>
      <c r="JOQ1" s="7" t="s">
        <v>7520</v>
      </c>
      <c r="JOR1" s="7" t="s">
        <v>7521</v>
      </c>
      <c r="JOS1" s="7" t="s">
        <v>7522</v>
      </c>
      <c r="JOT1" s="7" t="s">
        <v>7523</v>
      </c>
      <c r="JOU1" s="7" t="s">
        <v>7524</v>
      </c>
      <c r="JOV1" s="7" t="s">
        <v>7525</v>
      </c>
      <c r="JOW1" s="7" t="s">
        <v>7526</v>
      </c>
      <c r="JOX1" s="7" t="s">
        <v>7527</v>
      </c>
      <c r="JOY1" s="7" t="s">
        <v>7528</v>
      </c>
      <c r="JOZ1" s="7" t="s">
        <v>7529</v>
      </c>
      <c r="JPA1" s="7" t="s">
        <v>7530</v>
      </c>
      <c r="JPB1" s="7" t="s">
        <v>7531</v>
      </c>
      <c r="JPC1" s="7" t="s">
        <v>7532</v>
      </c>
      <c r="JPD1" s="7" t="s">
        <v>7533</v>
      </c>
      <c r="JPE1" s="7" t="s">
        <v>7534</v>
      </c>
      <c r="JPF1" s="7" t="s">
        <v>7535</v>
      </c>
      <c r="JPG1" s="7" t="s">
        <v>7536</v>
      </c>
      <c r="JPH1" s="7" t="s">
        <v>7537</v>
      </c>
      <c r="JPI1" s="7" t="s">
        <v>7538</v>
      </c>
      <c r="JPJ1" s="7" t="s">
        <v>7539</v>
      </c>
      <c r="JPK1" s="7" t="s">
        <v>7540</v>
      </c>
      <c r="JPL1" s="7" t="s">
        <v>7541</v>
      </c>
      <c r="JPM1" s="7" t="s">
        <v>7542</v>
      </c>
      <c r="JPN1" s="7" t="s">
        <v>7543</v>
      </c>
      <c r="JPO1" s="7" t="s">
        <v>7544</v>
      </c>
      <c r="JPP1" s="7" t="s">
        <v>7545</v>
      </c>
      <c r="JPQ1" s="7" t="s">
        <v>7546</v>
      </c>
      <c r="JPR1" s="7" t="s">
        <v>7547</v>
      </c>
      <c r="JPS1" s="7" t="s">
        <v>7548</v>
      </c>
      <c r="JPT1" s="7" t="s">
        <v>7549</v>
      </c>
      <c r="JPU1" s="7" t="s">
        <v>7550</v>
      </c>
      <c r="JPV1" s="7" t="s">
        <v>7551</v>
      </c>
      <c r="JPW1" s="7" t="s">
        <v>7552</v>
      </c>
      <c r="JPX1" s="7" t="s">
        <v>7553</v>
      </c>
      <c r="JPY1" s="7" t="s">
        <v>7554</v>
      </c>
      <c r="JPZ1" s="7" t="s">
        <v>7555</v>
      </c>
      <c r="JQA1" s="7" t="s">
        <v>7556</v>
      </c>
      <c r="JQB1" s="7" t="s">
        <v>7557</v>
      </c>
      <c r="JQC1" s="7" t="s">
        <v>7558</v>
      </c>
      <c r="JQD1" s="7" t="s">
        <v>7559</v>
      </c>
      <c r="JQE1" s="7" t="s">
        <v>7560</v>
      </c>
      <c r="JQF1" s="7" t="s">
        <v>7561</v>
      </c>
      <c r="JQG1" s="7" t="s">
        <v>7562</v>
      </c>
      <c r="JQH1" s="7" t="s">
        <v>7563</v>
      </c>
      <c r="JQI1" s="7" t="s">
        <v>7564</v>
      </c>
      <c r="JQJ1" s="7" t="s">
        <v>7565</v>
      </c>
      <c r="JQK1" s="7" t="s">
        <v>7566</v>
      </c>
      <c r="JQL1" s="7" t="s">
        <v>7567</v>
      </c>
      <c r="JQM1" s="7" t="s">
        <v>7568</v>
      </c>
      <c r="JQN1" s="7" t="s">
        <v>7569</v>
      </c>
      <c r="JQO1" s="7" t="s">
        <v>7570</v>
      </c>
      <c r="JQP1" s="7" t="s">
        <v>7571</v>
      </c>
      <c r="JQQ1" s="7" t="s">
        <v>7572</v>
      </c>
      <c r="JQR1" s="7" t="s">
        <v>7573</v>
      </c>
      <c r="JQS1" s="7" t="s">
        <v>7574</v>
      </c>
      <c r="JQT1" s="7" t="s">
        <v>7575</v>
      </c>
      <c r="JQU1" s="7" t="s">
        <v>7576</v>
      </c>
      <c r="JQV1" s="7" t="s">
        <v>7577</v>
      </c>
      <c r="JQW1" s="7" t="s">
        <v>7578</v>
      </c>
      <c r="JQX1" s="7" t="s">
        <v>7579</v>
      </c>
      <c r="JQY1" s="7" t="s">
        <v>7580</v>
      </c>
      <c r="JQZ1" s="7" t="s">
        <v>7581</v>
      </c>
      <c r="JRA1" s="7" t="s">
        <v>7582</v>
      </c>
      <c r="JRB1" s="7" t="s">
        <v>7583</v>
      </c>
      <c r="JRC1" s="7" t="s">
        <v>7584</v>
      </c>
      <c r="JRD1" s="7" t="s">
        <v>7585</v>
      </c>
      <c r="JRE1" s="7" t="s">
        <v>7586</v>
      </c>
      <c r="JRF1" s="7" t="s">
        <v>7587</v>
      </c>
      <c r="JRG1" s="7" t="s">
        <v>7588</v>
      </c>
      <c r="JRH1" s="7" t="s">
        <v>7589</v>
      </c>
      <c r="JRI1" s="7" t="s">
        <v>7590</v>
      </c>
      <c r="JRJ1" s="7" t="s">
        <v>7591</v>
      </c>
      <c r="JRK1" s="7" t="s">
        <v>7592</v>
      </c>
      <c r="JRL1" s="7" t="s">
        <v>7593</v>
      </c>
      <c r="JRM1" s="7" t="s">
        <v>7594</v>
      </c>
      <c r="JRN1" s="7" t="s">
        <v>7595</v>
      </c>
      <c r="JRO1" s="7" t="s">
        <v>7596</v>
      </c>
      <c r="JRP1" s="7" t="s">
        <v>7597</v>
      </c>
      <c r="JRQ1" s="7" t="s">
        <v>7598</v>
      </c>
      <c r="JRR1" s="7" t="s">
        <v>7599</v>
      </c>
      <c r="JRS1" s="7" t="s">
        <v>7600</v>
      </c>
      <c r="JRT1" s="7" t="s">
        <v>7601</v>
      </c>
      <c r="JRU1" s="7" t="s">
        <v>7602</v>
      </c>
      <c r="JRV1" s="7" t="s">
        <v>7603</v>
      </c>
      <c r="JRW1" s="7" t="s">
        <v>7604</v>
      </c>
      <c r="JRX1" s="7" t="s">
        <v>7605</v>
      </c>
      <c r="JRY1" s="7" t="s">
        <v>7606</v>
      </c>
      <c r="JRZ1" s="7" t="s">
        <v>7607</v>
      </c>
      <c r="JSA1" s="7" t="s">
        <v>7608</v>
      </c>
      <c r="JSB1" s="7" t="s">
        <v>7609</v>
      </c>
      <c r="JSC1" s="7" t="s">
        <v>7610</v>
      </c>
      <c r="JSD1" s="7" t="s">
        <v>7611</v>
      </c>
      <c r="JSE1" s="7" t="s">
        <v>7612</v>
      </c>
      <c r="JSF1" s="7" t="s">
        <v>7613</v>
      </c>
      <c r="JSG1" s="7" t="s">
        <v>7614</v>
      </c>
      <c r="JSH1" s="7" t="s">
        <v>7615</v>
      </c>
      <c r="JSI1" s="7" t="s">
        <v>7616</v>
      </c>
      <c r="JSJ1" s="7" t="s">
        <v>7617</v>
      </c>
      <c r="JSK1" s="7" t="s">
        <v>7618</v>
      </c>
      <c r="JSL1" s="7" t="s">
        <v>7619</v>
      </c>
      <c r="JSM1" s="7" t="s">
        <v>7620</v>
      </c>
      <c r="JSN1" s="7" t="s">
        <v>7621</v>
      </c>
      <c r="JSO1" s="7" t="s">
        <v>7622</v>
      </c>
      <c r="JSP1" s="7" t="s">
        <v>7623</v>
      </c>
      <c r="JSQ1" s="7" t="s">
        <v>7624</v>
      </c>
      <c r="JSR1" s="7" t="s">
        <v>7625</v>
      </c>
      <c r="JSS1" s="7" t="s">
        <v>7626</v>
      </c>
      <c r="JST1" s="7" t="s">
        <v>7627</v>
      </c>
      <c r="JSU1" s="7" t="s">
        <v>7628</v>
      </c>
      <c r="JSV1" s="7" t="s">
        <v>7629</v>
      </c>
      <c r="JSW1" s="7" t="s">
        <v>7630</v>
      </c>
      <c r="JSX1" s="7" t="s">
        <v>7631</v>
      </c>
      <c r="JSY1" s="7" t="s">
        <v>7632</v>
      </c>
      <c r="JSZ1" s="7" t="s">
        <v>7633</v>
      </c>
      <c r="JTA1" s="7" t="s">
        <v>7634</v>
      </c>
      <c r="JTB1" s="7" t="s">
        <v>7635</v>
      </c>
      <c r="JTC1" s="7" t="s">
        <v>7636</v>
      </c>
      <c r="JTD1" s="7" t="s">
        <v>7637</v>
      </c>
      <c r="JTE1" s="7" t="s">
        <v>7638</v>
      </c>
      <c r="JTF1" s="7" t="s">
        <v>7639</v>
      </c>
      <c r="JTG1" s="7" t="s">
        <v>7640</v>
      </c>
      <c r="JTH1" s="7" t="s">
        <v>7641</v>
      </c>
      <c r="JTI1" s="7" t="s">
        <v>7642</v>
      </c>
      <c r="JTJ1" s="7" t="s">
        <v>7643</v>
      </c>
      <c r="JTK1" s="7" t="s">
        <v>7644</v>
      </c>
      <c r="JTL1" s="7" t="s">
        <v>7645</v>
      </c>
      <c r="JTM1" s="7" t="s">
        <v>7646</v>
      </c>
      <c r="JTN1" s="7" t="s">
        <v>7647</v>
      </c>
      <c r="JTO1" s="7" t="s">
        <v>7648</v>
      </c>
      <c r="JTP1" s="7" t="s">
        <v>7649</v>
      </c>
      <c r="JTQ1" s="7" t="s">
        <v>7650</v>
      </c>
      <c r="JTR1" s="7" t="s">
        <v>7651</v>
      </c>
      <c r="JTS1" s="7" t="s">
        <v>7652</v>
      </c>
      <c r="JTT1" s="7" t="s">
        <v>7653</v>
      </c>
      <c r="JTU1" s="7" t="s">
        <v>7654</v>
      </c>
      <c r="JTV1" s="7" t="s">
        <v>7655</v>
      </c>
      <c r="JTW1" s="7" t="s">
        <v>7656</v>
      </c>
      <c r="JTX1" s="7" t="s">
        <v>7657</v>
      </c>
      <c r="JTY1" s="7" t="s">
        <v>7658</v>
      </c>
      <c r="JTZ1" s="7" t="s">
        <v>7659</v>
      </c>
      <c r="JUA1" s="7" t="s">
        <v>7660</v>
      </c>
      <c r="JUB1" s="7" t="s">
        <v>7661</v>
      </c>
      <c r="JUC1" s="7" t="s">
        <v>7662</v>
      </c>
      <c r="JUD1" s="7" t="s">
        <v>7663</v>
      </c>
      <c r="JUE1" s="7" t="s">
        <v>7664</v>
      </c>
      <c r="JUF1" s="7" t="s">
        <v>7665</v>
      </c>
      <c r="JUG1" s="7" t="s">
        <v>7666</v>
      </c>
      <c r="JUH1" s="7" t="s">
        <v>7667</v>
      </c>
      <c r="JUI1" s="7" t="s">
        <v>7668</v>
      </c>
      <c r="JUJ1" s="7" t="s">
        <v>7669</v>
      </c>
      <c r="JUK1" s="7" t="s">
        <v>7670</v>
      </c>
      <c r="JUL1" s="7" t="s">
        <v>7671</v>
      </c>
      <c r="JUM1" s="7" t="s">
        <v>7672</v>
      </c>
      <c r="JUN1" s="7" t="s">
        <v>7673</v>
      </c>
      <c r="JUO1" s="7" t="s">
        <v>7674</v>
      </c>
      <c r="JUP1" s="7" t="s">
        <v>7675</v>
      </c>
      <c r="JUQ1" s="7" t="s">
        <v>7676</v>
      </c>
      <c r="JUR1" s="7" t="s">
        <v>7677</v>
      </c>
      <c r="JUS1" s="7" t="s">
        <v>7678</v>
      </c>
      <c r="JUT1" s="7" t="s">
        <v>7679</v>
      </c>
      <c r="JUU1" s="7" t="s">
        <v>7680</v>
      </c>
      <c r="JUV1" s="7" t="s">
        <v>7681</v>
      </c>
      <c r="JUW1" s="7" t="s">
        <v>7682</v>
      </c>
      <c r="JUX1" s="7" t="s">
        <v>7683</v>
      </c>
      <c r="JUY1" s="7" t="s">
        <v>7684</v>
      </c>
      <c r="JUZ1" s="7" t="s">
        <v>7685</v>
      </c>
      <c r="JVA1" s="7" t="s">
        <v>7686</v>
      </c>
      <c r="JVB1" s="7" t="s">
        <v>7687</v>
      </c>
      <c r="JVC1" s="7" t="s">
        <v>7688</v>
      </c>
      <c r="JVD1" s="7" t="s">
        <v>7689</v>
      </c>
      <c r="JVE1" s="7" t="s">
        <v>7690</v>
      </c>
      <c r="JVF1" s="7" t="s">
        <v>7691</v>
      </c>
      <c r="JVG1" s="7" t="s">
        <v>7692</v>
      </c>
      <c r="JVH1" s="7" t="s">
        <v>7693</v>
      </c>
      <c r="JVI1" s="7" t="s">
        <v>7694</v>
      </c>
      <c r="JVJ1" s="7" t="s">
        <v>7695</v>
      </c>
      <c r="JVK1" s="7" t="s">
        <v>7696</v>
      </c>
      <c r="JVL1" s="7" t="s">
        <v>7697</v>
      </c>
      <c r="JVM1" s="7" t="s">
        <v>7698</v>
      </c>
      <c r="JVN1" s="7" t="s">
        <v>7699</v>
      </c>
      <c r="JVO1" s="7" t="s">
        <v>7700</v>
      </c>
      <c r="JVP1" s="7" t="s">
        <v>7701</v>
      </c>
      <c r="JVQ1" s="7" t="s">
        <v>7702</v>
      </c>
      <c r="JVR1" s="7" t="s">
        <v>7703</v>
      </c>
      <c r="JVS1" s="7" t="s">
        <v>7704</v>
      </c>
      <c r="JVT1" s="7" t="s">
        <v>7705</v>
      </c>
      <c r="JVU1" s="7" t="s">
        <v>7706</v>
      </c>
      <c r="JVV1" s="7" t="s">
        <v>7707</v>
      </c>
      <c r="JVW1" s="7" t="s">
        <v>7708</v>
      </c>
      <c r="JVX1" s="7" t="s">
        <v>7709</v>
      </c>
      <c r="JVY1" s="7" t="s">
        <v>7710</v>
      </c>
      <c r="JVZ1" s="7" t="s">
        <v>7711</v>
      </c>
      <c r="JWA1" s="7" t="s">
        <v>7712</v>
      </c>
      <c r="JWB1" s="7" t="s">
        <v>7713</v>
      </c>
      <c r="JWC1" s="7" t="s">
        <v>7714</v>
      </c>
      <c r="JWD1" s="7" t="s">
        <v>7715</v>
      </c>
      <c r="JWE1" s="7" t="s">
        <v>7716</v>
      </c>
      <c r="JWF1" s="7" t="s">
        <v>7717</v>
      </c>
      <c r="JWG1" s="7" t="s">
        <v>7718</v>
      </c>
      <c r="JWH1" s="7" t="s">
        <v>7719</v>
      </c>
      <c r="JWI1" s="7" t="s">
        <v>7720</v>
      </c>
      <c r="JWJ1" s="7" t="s">
        <v>7721</v>
      </c>
      <c r="JWK1" s="7" t="s">
        <v>7722</v>
      </c>
      <c r="JWL1" s="7" t="s">
        <v>7723</v>
      </c>
      <c r="JWM1" s="7" t="s">
        <v>7724</v>
      </c>
      <c r="JWN1" s="7" t="s">
        <v>7725</v>
      </c>
      <c r="JWO1" s="7" t="s">
        <v>7726</v>
      </c>
      <c r="JWP1" s="7" t="s">
        <v>7727</v>
      </c>
      <c r="JWQ1" s="7" t="s">
        <v>7728</v>
      </c>
      <c r="JWR1" s="7" t="s">
        <v>7729</v>
      </c>
      <c r="JWS1" s="7" t="s">
        <v>7730</v>
      </c>
      <c r="JWT1" s="7" t="s">
        <v>7731</v>
      </c>
      <c r="JWU1" s="7" t="s">
        <v>7732</v>
      </c>
      <c r="JWV1" s="7" t="s">
        <v>7733</v>
      </c>
      <c r="JWW1" s="7" t="s">
        <v>7734</v>
      </c>
      <c r="JWX1" s="7" t="s">
        <v>7735</v>
      </c>
      <c r="JWY1" s="7" t="s">
        <v>7736</v>
      </c>
      <c r="JWZ1" s="7" t="s">
        <v>7737</v>
      </c>
      <c r="JXA1" s="7" t="s">
        <v>7738</v>
      </c>
      <c r="JXB1" s="7" t="s">
        <v>7739</v>
      </c>
      <c r="JXC1" s="7" t="s">
        <v>7740</v>
      </c>
      <c r="JXD1" s="7" t="s">
        <v>7741</v>
      </c>
      <c r="JXE1" s="7" t="s">
        <v>7742</v>
      </c>
      <c r="JXF1" s="7" t="s">
        <v>7743</v>
      </c>
      <c r="JXG1" s="7" t="s">
        <v>7744</v>
      </c>
      <c r="JXH1" s="7" t="s">
        <v>7745</v>
      </c>
      <c r="JXI1" s="7" t="s">
        <v>7746</v>
      </c>
      <c r="JXJ1" s="7" t="s">
        <v>7747</v>
      </c>
      <c r="JXK1" s="7" t="s">
        <v>7748</v>
      </c>
      <c r="JXL1" s="7" t="s">
        <v>7749</v>
      </c>
      <c r="JXM1" s="7" t="s">
        <v>7750</v>
      </c>
      <c r="JXN1" s="7" t="s">
        <v>7751</v>
      </c>
      <c r="JXO1" s="7" t="s">
        <v>7752</v>
      </c>
      <c r="JXP1" s="7" t="s">
        <v>7753</v>
      </c>
      <c r="JXQ1" s="7" t="s">
        <v>7754</v>
      </c>
      <c r="JXR1" s="7" t="s">
        <v>7755</v>
      </c>
      <c r="JXS1" s="7" t="s">
        <v>7756</v>
      </c>
      <c r="JXT1" s="7" t="s">
        <v>7757</v>
      </c>
      <c r="JXU1" s="7" t="s">
        <v>7758</v>
      </c>
      <c r="JXV1" s="7" t="s">
        <v>7759</v>
      </c>
      <c r="JXW1" s="7" t="s">
        <v>7760</v>
      </c>
      <c r="JXX1" s="7" t="s">
        <v>7761</v>
      </c>
      <c r="JXY1" s="7" t="s">
        <v>7762</v>
      </c>
      <c r="JXZ1" s="7" t="s">
        <v>7763</v>
      </c>
      <c r="JYA1" s="7" t="s">
        <v>7764</v>
      </c>
      <c r="JYB1" s="7" t="s">
        <v>7765</v>
      </c>
      <c r="JYC1" s="7" t="s">
        <v>7766</v>
      </c>
      <c r="JYD1" s="7" t="s">
        <v>7767</v>
      </c>
      <c r="JYE1" s="7" t="s">
        <v>7768</v>
      </c>
      <c r="JYF1" s="7" t="s">
        <v>7769</v>
      </c>
      <c r="JYG1" s="7" t="s">
        <v>7770</v>
      </c>
      <c r="JYH1" s="7" t="s">
        <v>7771</v>
      </c>
      <c r="JYI1" s="7" t="s">
        <v>7772</v>
      </c>
      <c r="JYJ1" s="7" t="s">
        <v>7773</v>
      </c>
      <c r="JYK1" s="7" t="s">
        <v>7774</v>
      </c>
      <c r="JYL1" s="7" t="s">
        <v>7775</v>
      </c>
      <c r="JYM1" s="7" t="s">
        <v>7776</v>
      </c>
      <c r="JYN1" s="7" t="s">
        <v>7777</v>
      </c>
      <c r="JYO1" s="7" t="s">
        <v>7778</v>
      </c>
      <c r="JYP1" s="7" t="s">
        <v>7779</v>
      </c>
      <c r="JYQ1" s="7" t="s">
        <v>7780</v>
      </c>
      <c r="JYR1" s="7" t="s">
        <v>7781</v>
      </c>
      <c r="JYS1" s="7" t="s">
        <v>7782</v>
      </c>
      <c r="JYT1" s="7" t="s">
        <v>7783</v>
      </c>
      <c r="JYU1" s="7" t="s">
        <v>7784</v>
      </c>
      <c r="JYV1" s="7" t="s">
        <v>7785</v>
      </c>
      <c r="JYW1" s="7" t="s">
        <v>7786</v>
      </c>
      <c r="JYX1" s="7" t="s">
        <v>7787</v>
      </c>
      <c r="JYY1" s="7" t="s">
        <v>7788</v>
      </c>
      <c r="JYZ1" s="7" t="s">
        <v>7789</v>
      </c>
      <c r="JZA1" s="7" t="s">
        <v>7790</v>
      </c>
      <c r="JZB1" s="7" t="s">
        <v>7791</v>
      </c>
      <c r="JZC1" s="7" t="s">
        <v>7792</v>
      </c>
      <c r="JZD1" s="7" t="s">
        <v>7793</v>
      </c>
      <c r="JZE1" s="7" t="s">
        <v>7794</v>
      </c>
      <c r="JZF1" s="7" t="s">
        <v>7795</v>
      </c>
      <c r="JZG1" s="7" t="s">
        <v>7796</v>
      </c>
      <c r="JZH1" s="7" t="s">
        <v>7797</v>
      </c>
      <c r="JZI1" s="7" t="s">
        <v>7798</v>
      </c>
      <c r="JZJ1" s="7" t="s">
        <v>7799</v>
      </c>
      <c r="JZK1" s="7" t="s">
        <v>7800</v>
      </c>
      <c r="JZL1" s="7" t="s">
        <v>7801</v>
      </c>
      <c r="JZM1" s="7" t="s">
        <v>7802</v>
      </c>
      <c r="JZN1" s="7" t="s">
        <v>7803</v>
      </c>
      <c r="JZO1" s="7" t="s">
        <v>7804</v>
      </c>
      <c r="JZP1" s="7" t="s">
        <v>7805</v>
      </c>
      <c r="JZQ1" s="7" t="s">
        <v>7806</v>
      </c>
      <c r="JZR1" s="7" t="s">
        <v>7807</v>
      </c>
      <c r="JZS1" s="7" t="s">
        <v>7808</v>
      </c>
      <c r="JZT1" s="7" t="s">
        <v>7809</v>
      </c>
      <c r="JZU1" s="7" t="s">
        <v>7810</v>
      </c>
      <c r="JZV1" s="7" t="s">
        <v>7811</v>
      </c>
      <c r="JZW1" s="7" t="s">
        <v>7812</v>
      </c>
      <c r="JZX1" s="7" t="s">
        <v>7813</v>
      </c>
      <c r="JZY1" s="7" t="s">
        <v>7814</v>
      </c>
      <c r="JZZ1" s="7" t="s">
        <v>7815</v>
      </c>
      <c r="KAA1" s="7" t="s">
        <v>7816</v>
      </c>
      <c r="KAB1" s="7" t="s">
        <v>7817</v>
      </c>
      <c r="KAC1" s="7" t="s">
        <v>7818</v>
      </c>
      <c r="KAD1" s="7" t="s">
        <v>7819</v>
      </c>
      <c r="KAE1" s="7" t="s">
        <v>7820</v>
      </c>
      <c r="KAF1" s="7" t="s">
        <v>7821</v>
      </c>
      <c r="KAG1" s="7" t="s">
        <v>7822</v>
      </c>
      <c r="KAH1" s="7" t="s">
        <v>7823</v>
      </c>
      <c r="KAI1" s="7" t="s">
        <v>7824</v>
      </c>
      <c r="KAJ1" s="7" t="s">
        <v>7825</v>
      </c>
      <c r="KAK1" s="7" t="s">
        <v>7826</v>
      </c>
      <c r="KAL1" s="7" t="s">
        <v>7827</v>
      </c>
      <c r="KAM1" s="7" t="s">
        <v>7828</v>
      </c>
      <c r="KAN1" s="7" t="s">
        <v>7829</v>
      </c>
      <c r="KAO1" s="7" t="s">
        <v>7830</v>
      </c>
      <c r="KAP1" s="7" t="s">
        <v>7831</v>
      </c>
      <c r="KAQ1" s="7" t="s">
        <v>7832</v>
      </c>
      <c r="KAR1" s="7" t="s">
        <v>7833</v>
      </c>
      <c r="KAS1" s="7" t="s">
        <v>7834</v>
      </c>
      <c r="KAT1" s="7" t="s">
        <v>7835</v>
      </c>
      <c r="KAU1" s="7" t="s">
        <v>7836</v>
      </c>
      <c r="KAV1" s="7" t="s">
        <v>7837</v>
      </c>
      <c r="KAW1" s="7" t="s">
        <v>7838</v>
      </c>
      <c r="KAX1" s="7" t="s">
        <v>7839</v>
      </c>
      <c r="KAY1" s="7" t="s">
        <v>7840</v>
      </c>
      <c r="KAZ1" s="7" t="s">
        <v>7841</v>
      </c>
      <c r="KBA1" s="7" t="s">
        <v>7842</v>
      </c>
      <c r="KBB1" s="7" t="s">
        <v>7843</v>
      </c>
      <c r="KBC1" s="7" t="s">
        <v>7844</v>
      </c>
      <c r="KBD1" s="7" t="s">
        <v>7845</v>
      </c>
      <c r="KBE1" s="7" t="s">
        <v>7846</v>
      </c>
      <c r="KBF1" s="7" t="s">
        <v>7847</v>
      </c>
      <c r="KBG1" s="7" t="s">
        <v>7848</v>
      </c>
      <c r="KBH1" s="7" t="s">
        <v>7849</v>
      </c>
      <c r="KBI1" s="7" t="s">
        <v>7850</v>
      </c>
      <c r="KBJ1" s="7" t="s">
        <v>7851</v>
      </c>
      <c r="KBK1" s="7" t="s">
        <v>7852</v>
      </c>
      <c r="KBL1" s="7" t="s">
        <v>7853</v>
      </c>
      <c r="KBM1" s="7" t="s">
        <v>7854</v>
      </c>
      <c r="KBN1" s="7" t="s">
        <v>7855</v>
      </c>
      <c r="KBO1" s="7" t="s">
        <v>7856</v>
      </c>
      <c r="KBP1" s="7" t="s">
        <v>7857</v>
      </c>
      <c r="KBQ1" s="7" t="s">
        <v>7858</v>
      </c>
      <c r="KBR1" s="7" t="s">
        <v>7859</v>
      </c>
      <c r="KBS1" s="7" t="s">
        <v>7860</v>
      </c>
      <c r="KBT1" s="7" t="s">
        <v>7861</v>
      </c>
      <c r="KBU1" s="7" t="s">
        <v>7862</v>
      </c>
      <c r="KBV1" s="7" t="s">
        <v>7863</v>
      </c>
      <c r="KBW1" s="7" t="s">
        <v>7864</v>
      </c>
      <c r="KBX1" s="7" t="s">
        <v>7865</v>
      </c>
      <c r="KBY1" s="7" t="s">
        <v>7866</v>
      </c>
      <c r="KBZ1" s="7" t="s">
        <v>7867</v>
      </c>
      <c r="KCA1" s="7" t="s">
        <v>7868</v>
      </c>
      <c r="KCB1" s="7" t="s">
        <v>7869</v>
      </c>
      <c r="KCC1" s="7" t="s">
        <v>7870</v>
      </c>
      <c r="KCD1" s="7" t="s">
        <v>7871</v>
      </c>
      <c r="KCE1" s="7" t="s">
        <v>7872</v>
      </c>
      <c r="KCF1" s="7" t="s">
        <v>7873</v>
      </c>
      <c r="KCG1" s="7" t="s">
        <v>7874</v>
      </c>
      <c r="KCH1" s="7" t="s">
        <v>7875</v>
      </c>
      <c r="KCI1" s="7" t="s">
        <v>7876</v>
      </c>
      <c r="KCJ1" s="7" t="s">
        <v>7877</v>
      </c>
      <c r="KCK1" s="7" t="s">
        <v>7878</v>
      </c>
      <c r="KCL1" s="7" t="s">
        <v>7879</v>
      </c>
      <c r="KCM1" s="7" t="s">
        <v>7880</v>
      </c>
      <c r="KCN1" s="7" t="s">
        <v>7881</v>
      </c>
      <c r="KCO1" s="7" t="s">
        <v>7882</v>
      </c>
      <c r="KCP1" s="7" t="s">
        <v>7883</v>
      </c>
      <c r="KCQ1" s="7" t="s">
        <v>7884</v>
      </c>
      <c r="KCR1" s="7" t="s">
        <v>7885</v>
      </c>
      <c r="KCS1" s="7" t="s">
        <v>7886</v>
      </c>
      <c r="KCT1" s="7" t="s">
        <v>7887</v>
      </c>
      <c r="KCU1" s="7" t="s">
        <v>7888</v>
      </c>
      <c r="KCV1" s="7" t="s">
        <v>7889</v>
      </c>
      <c r="KCW1" s="7" t="s">
        <v>7890</v>
      </c>
      <c r="KCX1" s="7" t="s">
        <v>7891</v>
      </c>
      <c r="KCY1" s="7" t="s">
        <v>7892</v>
      </c>
      <c r="KCZ1" s="7" t="s">
        <v>7893</v>
      </c>
      <c r="KDA1" s="7" t="s">
        <v>7894</v>
      </c>
      <c r="KDB1" s="7" t="s">
        <v>7895</v>
      </c>
      <c r="KDC1" s="7" t="s">
        <v>7896</v>
      </c>
      <c r="KDD1" s="7" t="s">
        <v>7897</v>
      </c>
      <c r="KDE1" s="7" t="s">
        <v>7898</v>
      </c>
      <c r="KDF1" s="7" t="s">
        <v>7899</v>
      </c>
      <c r="KDG1" s="7" t="s">
        <v>7900</v>
      </c>
      <c r="KDH1" s="7" t="s">
        <v>7901</v>
      </c>
      <c r="KDI1" s="7" t="s">
        <v>7902</v>
      </c>
      <c r="KDJ1" s="7" t="s">
        <v>7903</v>
      </c>
      <c r="KDK1" s="7" t="s">
        <v>7904</v>
      </c>
      <c r="KDL1" s="7" t="s">
        <v>7905</v>
      </c>
      <c r="KDM1" s="7" t="s">
        <v>7906</v>
      </c>
      <c r="KDN1" s="7" t="s">
        <v>7907</v>
      </c>
      <c r="KDO1" s="7" t="s">
        <v>7908</v>
      </c>
      <c r="KDP1" s="7" t="s">
        <v>7909</v>
      </c>
      <c r="KDQ1" s="7" t="s">
        <v>7910</v>
      </c>
      <c r="KDR1" s="7" t="s">
        <v>7911</v>
      </c>
      <c r="KDS1" s="7" t="s">
        <v>7912</v>
      </c>
      <c r="KDT1" s="7" t="s">
        <v>7913</v>
      </c>
      <c r="KDU1" s="7" t="s">
        <v>7914</v>
      </c>
      <c r="KDV1" s="7" t="s">
        <v>7915</v>
      </c>
      <c r="KDW1" s="7" t="s">
        <v>7916</v>
      </c>
      <c r="KDX1" s="7" t="s">
        <v>7917</v>
      </c>
      <c r="KDY1" s="7" t="s">
        <v>7918</v>
      </c>
      <c r="KDZ1" s="7" t="s">
        <v>7919</v>
      </c>
      <c r="KEA1" s="7" t="s">
        <v>7920</v>
      </c>
      <c r="KEB1" s="7" t="s">
        <v>7921</v>
      </c>
      <c r="KEC1" s="7" t="s">
        <v>7922</v>
      </c>
      <c r="KED1" s="7" t="s">
        <v>7923</v>
      </c>
      <c r="KEE1" s="7" t="s">
        <v>7924</v>
      </c>
      <c r="KEF1" s="7" t="s">
        <v>7925</v>
      </c>
      <c r="KEG1" s="7" t="s">
        <v>7926</v>
      </c>
      <c r="KEH1" s="7" t="s">
        <v>7927</v>
      </c>
      <c r="KEI1" s="7" t="s">
        <v>7928</v>
      </c>
      <c r="KEJ1" s="7" t="s">
        <v>7929</v>
      </c>
      <c r="KEK1" s="7" t="s">
        <v>7930</v>
      </c>
      <c r="KEL1" s="7" t="s">
        <v>7931</v>
      </c>
      <c r="KEM1" s="7" t="s">
        <v>7932</v>
      </c>
      <c r="KEN1" s="7" t="s">
        <v>7933</v>
      </c>
      <c r="KEO1" s="7" t="s">
        <v>7934</v>
      </c>
      <c r="KEP1" s="7" t="s">
        <v>7935</v>
      </c>
      <c r="KEQ1" s="7" t="s">
        <v>7936</v>
      </c>
      <c r="KER1" s="7" t="s">
        <v>7937</v>
      </c>
      <c r="KES1" s="7" t="s">
        <v>7938</v>
      </c>
      <c r="KET1" s="7" t="s">
        <v>7939</v>
      </c>
      <c r="KEU1" s="7" t="s">
        <v>7940</v>
      </c>
      <c r="KEV1" s="7" t="s">
        <v>7941</v>
      </c>
      <c r="KEW1" s="7" t="s">
        <v>7942</v>
      </c>
      <c r="KEX1" s="7" t="s">
        <v>7943</v>
      </c>
      <c r="KEY1" s="7" t="s">
        <v>7944</v>
      </c>
      <c r="KEZ1" s="7" t="s">
        <v>7945</v>
      </c>
      <c r="KFA1" s="7" t="s">
        <v>7946</v>
      </c>
      <c r="KFB1" s="7" t="s">
        <v>7947</v>
      </c>
      <c r="KFC1" s="7" t="s">
        <v>7948</v>
      </c>
      <c r="KFD1" s="7" t="s">
        <v>7949</v>
      </c>
      <c r="KFE1" s="7" t="s">
        <v>7950</v>
      </c>
      <c r="KFF1" s="7" t="s">
        <v>7951</v>
      </c>
      <c r="KFG1" s="7" t="s">
        <v>7952</v>
      </c>
      <c r="KFH1" s="7" t="s">
        <v>7953</v>
      </c>
      <c r="KFI1" s="7" t="s">
        <v>7954</v>
      </c>
      <c r="KFJ1" s="7" t="s">
        <v>7955</v>
      </c>
      <c r="KFK1" s="7" t="s">
        <v>7956</v>
      </c>
      <c r="KFL1" s="7" t="s">
        <v>7957</v>
      </c>
      <c r="KFM1" s="7" t="s">
        <v>7958</v>
      </c>
      <c r="KFN1" s="7" t="s">
        <v>7959</v>
      </c>
      <c r="KFO1" s="7" t="s">
        <v>7960</v>
      </c>
      <c r="KFP1" s="7" t="s">
        <v>7961</v>
      </c>
      <c r="KFQ1" s="7" t="s">
        <v>7962</v>
      </c>
      <c r="KFR1" s="7" t="s">
        <v>7963</v>
      </c>
      <c r="KFS1" s="7" t="s">
        <v>7964</v>
      </c>
      <c r="KFT1" s="7" t="s">
        <v>7965</v>
      </c>
      <c r="KFU1" s="7" t="s">
        <v>7966</v>
      </c>
      <c r="KFV1" s="7" t="s">
        <v>7967</v>
      </c>
      <c r="KFW1" s="7" t="s">
        <v>7968</v>
      </c>
      <c r="KFX1" s="7" t="s">
        <v>7969</v>
      </c>
      <c r="KFY1" s="7" t="s">
        <v>7970</v>
      </c>
      <c r="KFZ1" s="7" t="s">
        <v>7971</v>
      </c>
      <c r="KGA1" s="7" t="s">
        <v>7972</v>
      </c>
      <c r="KGB1" s="7" t="s">
        <v>7973</v>
      </c>
      <c r="KGC1" s="7" t="s">
        <v>7974</v>
      </c>
      <c r="KGD1" s="7" t="s">
        <v>7975</v>
      </c>
      <c r="KGE1" s="7" t="s">
        <v>7976</v>
      </c>
      <c r="KGF1" s="7" t="s">
        <v>7977</v>
      </c>
      <c r="KGG1" s="7" t="s">
        <v>7978</v>
      </c>
      <c r="KGH1" s="7" t="s">
        <v>7979</v>
      </c>
      <c r="KGI1" s="7" t="s">
        <v>7980</v>
      </c>
      <c r="KGJ1" s="7" t="s">
        <v>7981</v>
      </c>
      <c r="KGK1" s="7" t="s">
        <v>7982</v>
      </c>
      <c r="KGL1" s="7" t="s">
        <v>7983</v>
      </c>
      <c r="KGM1" s="7" t="s">
        <v>7984</v>
      </c>
      <c r="KGN1" s="7" t="s">
        <v>7985</v>
      </c>
      <c r="KGO1" s="7" t="s">
        <v>7986</v>
      </c>
      <c r="KGP1" s="7" t="s">
        <v>7987</v>
      </c>
      <c r="KGQ1" s="7" t="s">
        <v>7988</v>
      </c>
      <c r="KGR1" s="7" t="s">
        <v>7989</v>
      </c>
      <c r="KGS1" s="7" t="s">
        <v>7990</v>
      </c>
      <c r="KGT1" s="7" t="s">
        <v>7991</v>
      </c>
      <c r="KGU1" s="7" t="s">
        <v>7992</v>
      </c>
      <c r="KGV1" s="7" t="s">
        <v>7993</v>
      </c>
      <c r="KGW1" s="7" t="s">
        <v>7994</v>
      </c>
      <c r="KGX1" s="7" t="s">
        <v>7995</v>
      </c>
      <c r="KGY1" s="7" t="s">
        <v>7996</v>
      </c>
      <c r="KGZ1" s="7" t="s">
        <v>7997</v>
      </c>
      <c r="KHA1" s="7" t="s">
        <v>7998</v>
      </c>
      <c r="KHB1" s="7" t="s">
        <v>7999</v>
      </c>
      <c r="KHC1" s="7" t="s">
        <v>8000</v>
      </c>
      <c r="KHD1" s="7" t="s">
        <v>8001</v>
      </c>
      <c r="KHE1" s="7" t="s">
        <v>8002</v>
      </c>
      <c r="KHF1" s="7" t="s">
        <v>8003</v>
      </c>
      <c r="KHG1" s="7" t="s">
        <v>8004</v>
      </c>
      <c r="KHH1" s="7" t="s">
        <v>8005</v>
      </c>
      <c r="KHI1" s="7" t="s">
        <v>8006</v>
      </c>
      <c r="KHJ1" s="7" t="s">
        <v>8007</v>
      </c>
      <c r="KHK1" s="7" t="s">
        <v>8008</v>
      </c>
      <c r="KHL1" s="7" t="s">
        <v>8009</v>
      </c>
      <c r="KHM1" s="7" t="s">
        <v>8010</v>
      </c>
      <c r="KHN1" s="7" t="s">
        <v>8011</v>
      </c>
      <c r="KHO1" s="7" t="s">
        <v>8012</v>
      </c>
      <c r="KHP1" s="7" t="s">
        <v>8013</v>
      </c>
      <c r="KHQ1" s="7" t="s">
        <v>8014</v>
      </c>
      <c r="KHR1" s="7" t="s">
        <v>8015</v>
      </c>
      <c r="KHS1" s="7" t="s">
        <v>8016</v>
      </c>
      <c r="KHT1" s="7" t="s">
        <v>8017</v>
      </c>
      <c r="KHU1" s="7" t="s">
        <v>8018</v>
      </c>
      <c r="KHV1" s="7" t="s">
        <v>8019</v>
      </c>
      <c r="KHW1" s="7" t="s">
        <v>8020</v>
      </c>
      <c r="KHX1" s="7" t="s">
        <v>8021</v>
      </c>
      <c r="KHY1" s="7" t="s">
        <v>8022</v>
      </c>
      <c r="KHZ1" s="7" t="s">
        <v>8023</v>
      </c>
      <c r="KIA1" s="7" t="s">
        <v>8024</v>
      </c>
      <c r="KIB1" s="7" t="s">
        <v>8025</v>
      </c>
      <c r="KIC1" s="7" t="s">
        <v>8026</v>
      </c>
      <c r="KID1" s="7" t="s">
        <v>8027</v>
      </c>
      <c r="KIE1" s="7" t="s">
        <v>8028</v>
      </c>
      <c r="KIF1" s="7" t="s">
        <v>8029</v>
      </c>
      <c r="KIG1" s="7" t="s">
        <v>8030</v>
      </c>
      <c r="KIH1" s="7" t="s">
        <v>8031</v>
      </c>
      <c r="KII1" s="7" t="s">
        <v>8032</v>
      </c>
      <c r="KIJ1" s="7" t="s">
        <v>8033</v>
      </c>
      <c r="KIK1" s="7" t="s">
        <v>8034</v>
      </c>
      <c r="KIL1" s="7" t="s">
        <v>8035</v>
      </c>
      <c r="KIM1" s="7" t="s">
        <v>8036</v>
      </c>
      <c r="KIN1" s="7" t="s">
        <v>8037</v>
      </c>
      <c r="KIO1" s="7" t="s">
        <v>8038</v>
      </c>
      <c r="KIP1" s="7" t="s">
        <v>8039</v>
      </c>
      <c r="KIQ1" s="7" t="s">
        <v>8040</v>
      </c>
      <c r="KIR1" s="7" t="s">
        <v>8041</v>
      </c>
      <c r="KIS1" s="7" t="s">
        <v>8042</v>
      </c>
      <c r="KIT1" s="7" t="s">
        <v>8043</v>
      </c>
      <c r="KIU1" s="7" t="s">
        <v>8044</v>
      </c>
      <c r="KIV1" s="7" t="s">
        <v>8045</v>
      </c>
      <c r="KIW1" s="7" t="s">
        <v>8046</v>
      </c>
      <c r="KIX1" s="7" t="s">
        <v>8047</v>
      </c>
      <c r="KIY1" s="7" t="s">
        <v>8048</v>
      </c>
      <c r="KIZ1" s="7" t="s">
        <v>8049</v>
      </c>
      <c r="KJA1" s="7" t="s">
        <v>8050</v>
      </c>
      <c r="KJB1" s="7" t="s">
        <v>8051</v>
      </c>
      <c r="KJC1" s="7" t="s">
        <v>8052</v>
      </c>
      <c r="KJD1" s="7" t="s">
        <v>8053</v>
      </c>
      <c r="KJE1" s="7" t="s">
        <v>8054</v>
      </c>
      <c r="KJF1" s="7" t="s">
        <v>8055</v>
      </c>
      <c r="KJG1" s="7" t="s">
        <v>8056</v>
      </c>
      <c r="KJH1" s="7" t="s">
        <v>8057</v>
      </c>
      <c r="KJI1" s="7" t="s">
        <v>8058</v>
      </c>
      <c r="KJJ1" s="7" t="s">
        <v>8059</v>
      </c>
      <c r="KJK1" s="7" t="s">
        <v>8060</v>
      </c>
      <c r="KJL1" s="7" t="s">
        <v>8061</v>
      </c>
      <c r="KJM1" s="7" t="s">
        <v>8062</v>
      </c>
      <c r="KJN1" s="7" t="s">
        <v>8063</v>
      </c>
      <c r="KJO1" s="7" t="s">
        <v>8064</v>
      </c>
      <c r="KJP1" s="7" t="s">
        <v>8065</v>
      </c>
      <c r="KJQ1" s="7" t="s">
        <v>8066</v>
      </c>
      <c r="KJR1" s="7" t="s">
        <v>8067</v>
      </c>
      <c r="KJS1" s="7" t="s">
        <v>8068</v>
      </c>
      <c r="KJT1" s="7" t="s">
        <v>8069</v>
      </c>
      <c r="KJU1" s="7" t="s">
        <v>8070</v>
      </c>
      <c r="KJV1" s="7" t="s">
        <v>8071</v>
      </c>
      <c r="KJW1" s="7" t="s">
        <v>8072</v>
      </c>
      <c r="KJX1" s="7" t="s">
        <v>8073</v>
      </c>
      <c r="KJY1" s="7" t="s">
        <v>8074</v>
      </c>
      <c r="KJZ1" s="7" t="s">
        <v>8075</v>
      </c>
      <c r="KKA1" s="7" t="s">
        <v>8076</v>
      </c>
      <c r="KKB1" s="7" t="s">
        <v>8077</v>
      </c>
      <c r="KKC1" s="7" t="s">
        <v>8078</v>
      </c>
      <c r="KKD1" s="7" t="s">
        <v>8079</v>
      </c>
      <c r="KKE1" s="7" t="s">
        <v>8080</v>
      </c>
      <c r="KKF1" s="7" t="s">
        <v>8081</v>
      </c>
      <c r="KKG1" s="7" t="s">
        <v>8082</v>
      </c>
      <c r="KKH1" s="7" t="s">
        <v>8083</v>
      </c>
      <c r="KKI1" s="7" t="s">
        <v>8084</v>
      </c>
      <c r="KKJ1" s="7" t="s">
        <v>8085</v>
      </c>
      <c r="KKK1" s="7" t="s">
        <v>8086</v>
      </c>
      <c r="KKL1" s="7" t="s">
        <v>8087</v>
      </c>
      <c r="KKM1" s="7" t="s">
        <v>8088</v>
      </c>
      <c r="KKN1" s="7" t="s">
        <v>8089</v>
      </c>
      <c r="KKO1" s="7" t="s">
        <v>8090</v>
      </c>
      <c r="KKP1" s="7" t="s">
        <v>8091</v>
      </c>
      <c r="KKQ1" s="7" t="s">
        <v>8092</v>
      </c>
      <c r="KKR1" s="7" t="s">
        <v>8093</v>
      </c>
      <c r="KKS1" s="7" t="s">
        <v>8094</v>
      </c>
      <c r="KKT1" s="7" t="s">
        <v>8095</v>
      </c>
      <c r="KKU1" s="7" t="s">
        <v>8096</v>
      </c>
      <c r="KKV1" s="7" t="s">
        <v>8097</v>
      </c>
      <c r="KKW1" s="7" t="s">
        <v>8098</v>
      </c>
      <c r="KKX1" s="7" t="s">
        <v>8099</v>
      </c>
      <c r="KKY1" s="7" t="s">
        <v>8100</v>
      </c>
      <c r="KKZ1" s="7" t="s">
        <v>8101</v>
      </c>
      <c r="KLA1" s="7" t="s">
        <v>8102</v>
      </c>
      <c r="KLB1" s="7" t="s">
        <v>8103</v>
      </c>
      <c r="KLC1" s="7" t="s">
        <v>8104</v>
      </c>
      <c r="KLD1" s="7" t="s">
        <v>8105</v>
      </c>
      <c r="KLE1" s="7" t="s">
        <v>8106</v>
      </c>
      <c r="KLF1" s="7" t="s">
        <v>8107</v>
      </c>
      <c r="KLG1" s="7" t="s">
        <v>8108</v>
      </c>
      <c r="KLH1" s="7" t="s">
        <v>8109</v>
      </c>
      <c r="KLI1" s="7" t="s">
        <v>8110</v>
      </c>
      <c r="KLJ1" s="7" t="s">
        <v>8111</v>
      </c>
      <c r="KLK1" s="7" t="s">
        <v>8112</v>
      </c>
      <c r="KLL1" s="7" t="s">
        <v>8113</v>
      </c>
      <c r="KLM1" s="7" t="s">
        <v>8114</v>
      </c>
      <c r="KLN1" s="7" t="s">
        <v>8115</v>
      </c>
      <c r="KLO1" s="7" t="s">
        <v>8116</v>
      </c>
      <c r="KLP1" s="7" t="s">
        <v>8117</v>
      </c>
      <c r="KLQ1" s="7" t="s">
        <v>8118</v>
      </c>
      <c r="KLR1" s="7" t="s">
        <v>8119</v>
      </c>
      <c r="KLS1" s="7" t="s">
        <v>8120</v>
      </c>
      <c r="KLT1" s="7" t="s">
        <v>8121</v>
      </c>
      <c r="KLU1" s="7" t="s">
        <v>8122</v>
      </c>
      <c r="KLV1" s="7" t="s">
        <v>8123</v>
      </c>
      <c r="KLW1" s="7" t="s">
        <v>8124</v>
      </c>
      <c r="KLX1" s="7" t="s">
        <v>8125</v>
      </c>
      <c r="KLY1" s="7" t="s">
        <v>8126</v>
      </c>
      <c r="KLZ1" s="7" t="s">
        <v>8127</v>
      </c>
      <c r="KMA1" s="7" t="s">
        <v>8128</v>
      </c>
      <c r="KMB1" s="7" t="s">
        <v>8129</v>
      </c>
      <c r="KMC1" s="7" t="s">
        <v>8130</v>
      </c>
      <c r="KMD1" s="7" t="s">
        <v>8131</v>
      </c>
      <c r="KME1" s="7" t="s">
        <v>8132</v>
      </c>
      <c r="KMF1" s="7" t="s">
        <v>8133</v>
      </c>
      <c r="KMG1" s="7" t="s">
        <v>8134</v>
      </c>
      <c r="KMH1" s="7" t="s">
        <v>8135</v>
      </c>
      <c r="KMI1" s="7" t="s">
        <v>8136</v>
      </c>
      <c r="KMJ1" s="7" t="s">
        <v>8137</v>
      </c>
      <c r="KMK1" s="7" t="s">
        <v>8138</v>
      </c>
      <c r="KML1" s="7" t="s">
        <v>8139</v>
      </c>
      <c r="KMM1" s="7" t="s">
        <v>8140</v>
      </c>
      <c r="KMN1" s="7" t="s">
        <v>8141</v>
      </c>
      <c r="KMO1" s="7" t="s">
        <v>8142</v>
      </c>
      <c r="KMP1" s="7" t="s">
        <v>8143</v>
      </c>
      <c r="KMQ1" s="7" t="s">
        <v>8144</v>
      </c>
      <c r="KMR1" s="7" t="s">
        <v>8145</v>
      </c>
      <c r="KMS1" s="7" t="s">
        <v>8146</v>
      </c>
      <c r="KMT1" s="7" t="s">
        <v>8147</v>
      </c>
      <c r="KMU1" s="7" t="s">
        <v>8148</v>
      </c>
      <c r="KMV1" s="7" t="s">
        <v>8149</v>
      </c>
      <c r="KMW1" s="7" t="s">
        <v>8150</v>
      </c>
      <c r="KMX1" s="7" t="s">
        <v>8151</v>
      </c>
      <c r="KMY1" s="7" t="s">
        <v>8152</v>
      </c>
      <c r="KMZ1" s="7" t="s">
        <v>8153</v>
      </c>
      <c r="KNA1" s="7" t="s">
        <v>8154</v>
      </c>
      <c r="KNB1" s="7" t="s">
        <v>8155</v>
      </c>
      <c r="KNC1" s="7" t="s">
        <v>8156</v>
      </c>
      <c r="KND1" s="7" t="s">
        <v>8157</v>
      </c>
      <c r="KNE1" s="7" t="s">
        <v>8158</v>
      </c>
      <c r="KNF1" s="7" t="s">
        <v>8159</v>
      </c>
      <c r="KNG1" s="7" t="s">
        <v>8160</v>
      </c>
      <c r="KNH1" s="7" t="s">
        <v>8161</v>
      </c>
      <c r="KNI1" s="7" t="s">
        <v>8162</v>
      </c>
      <c r="KNJ1" s="7" t="s">
        <v>8163</v>
      </c>
      <c r="KNK1" s="7" t="s">
        <v>8164</v>
      </c>
      <c r="KNL1" s="7" t="s">
        <v>8165</v>
      </c>
      <c r="KNM1" s="7" t="s">
        <v>8166</v>
      </c>
      <c r="KNN1" s="7" t="s">
        <v>8167</v>
      </c>
      <c r="KNO1" s="7" t="s">
        <v>8168</v>
      </c>
      <c r="KNP1" s="7" t="s">
        <v>8169</v>
      </c>
      <c r="KNQ1" s="7" t="s">
        <v>8170</v>
      </c>
      <c r="KNR1" s="7" t="s">
        <v>8171</v>
      </c>
      <c r="KNS1" s="7" t="s">
        <v>8172</v>
      </c>
      <c r="KNT1" s="7" t="s">
        <v>8173</v>
      </c>
      <c r="KNU1" s="7" t="s">
        <v>8174</v>
      </c>
      <c r="KNV1" s="7" t="s">
        <v>8175</v>
      </c>
      <c r="KNW1" s="7" t="s">
        <v>8176</v>
      </c>
      <c r="KNX1" s="7" t="s">
        <v>8177</v>
      </c>
      <c r="KNY1" s="7" t="s">
        <v>8178</v>
      </c>
      <c r="KNZ1" s="7" t="s">
        <v>8179</v>
      </c>
      <c r="KOA1" s="7" t="s">
        <v>8180</v>
      </c>
      <c r="KOB1" s="7" t="s">
        <v>8181</v>
      </c>
      <c r="KOC1" s="7" t="s">
        <v>8182</v>
      </c>
      <c r="KOD1" s="7" t="s">
        <v>8183</v>
      </c>
      <c r="KOE1" s="7" t="s">
        <v>8184</v>
      </c>
      <c r="KOF1" s="7" t="s">
        <v>8185</v>
      </c>
      <c r="KOG1" s="7" t="s">
        <v>8186</v>
      </c>
      <c r="KOH1" s="7" t="s">
        <v>8187</v>
      </c>
      <c r="KOI1" s="7" t="s">
        <v>8188</v>
      </c>
      <c r="KOJ1" s="7" t="s">
        <v>8189</v>
      </c>
      <c r="KOK1" s="7" t="s">
        <v>8190</v>
      </c>
      <c r="KOL1" s="7" t="s">
        <v>8191</v>
      </c>
      <c r="KOM1" s="7" t="s">
        <v>8192</v>
      </c>
      <c r="KON1" s="7" t="s">
        <v>8193</v>
      </c>
      <c r="KOO1" s="7" t="s">
        <v>8194</v>
      </c>
      <c r="KOP1" s="7" t="s">
        <v>8195</v>
      </c>
      <c r="KOQ1" s="7" t="s">
        <v>8196</v>
      </c>
      <c r="KOR1" s="7" t="s">
        <v>8197</v>
      </c>
      <c r="KOS1" s="7" t="s">
        <v>8198</v>
      </c>
      <c r="KOT1" s="7" t="s">
        <v>8199</v>
      </c>
      <c r="KOU1" s="7" t="s">
        <v>8200</v>
      </c>
      <c r="KOV1" s="7" t="s">
        <v>8201</v>
      </c>
      <c r="KOW1" s="7" t="s">
        <v>8202</v>
      </c>
      <c r="KOX1" s="7" t="s">
        <v>8203</v>
      </c>
      <c r="KOY1" s="7" t="s">
        <v>8204</v>
      </c>
      <c r="KOZ1" s="7" t="s">
        <v>8205</v>
      </c>
      <c r="KPA1" s="7" t="s">
        <v>8206</v>
      </c>
      <c r="KPB1" s="7" t="s">
        <v>8207</v>
      </c>
      <c r="KPC1" s="7" t="s">
        <v>8208</v>
      </c>
      <c r="KPD1" s="7" t="s">
        <v>8209</v>
      </c>
      <c r="KPE1" s="7" t="s">
        <v>8210</v>
      </c>
      <c r="KPF1" s="7" t="s">
        <v>8211</v>
      </c>
      <c r="KPG1" s="7" t="s">
        <v>8212</v>
      </c>
      <c r="KPH1" s="7" t="s">
        <v>8213</v>
      </c>
      <c r="KPI1" s="7" t="s">
        <v>8214</v>
      </c>
      <c r="KPJ1" s="7" t="s">
        <v>8215</v>
      </c>
      <c r="KPK1" s="7" t="s">
        <v>8216</v>
      </c>
      <c r="KPL1" s="7" t="s">
        <v>8217</v>
      </c>
      <c r="KPM1" s="7" t="s">
        <v>8218</v>
      </c>
      <c r="KPN1" s="7" t="s">
        <v>8219</v>
      </c>
      <c r="KPO1" s="7" t="s">
        <v>8220</v>
      </c>
      <c r="KPP1" s="7" t="s">
        <v>8221</v>
      </c>
      <c r="KPQ1" s="7" t="s">
        <v>8222</v>
      </c>
      <c r="KPR1" s="7" t="s">
        <v>8223</v>
      </c>
      <c r="KPS1" s="7" t="s">
        <v>8224</v>
      </c>
      <c r="KPT1" s="7" t="s">
        <v>8225</v>
      </c>
      <c r="KPU1" s="7" t="s">
        <v>8226</v>
      </c>
      <c r="KPV1" s="7" t="s">
        <v>8227</v>
      </c>
      <c r="KPW1" s="7" t="s">
        <v>8228</v>
      </c>
      <c r="KPX1" s="7" t="s">
        <v>8229</v>
      </c>
      <c r="KPY1" s="7" t="s">
        <v>8230</v>
      </c>
      <c r="KPZ1" s="7" t="s">
        <v>8231</v>
      </c>
      <c r="KQA1" s="7" t="s">
        <v>8232</v>
      </c>
      <c r="KQB1" s="7" t="s">
        <v>8233</v>
      </c>
      <c r="KQC1" s="7" t="s">
        <v>8234</v>
      </c>
      <c r="KQD1" s="7" t="s">
        <v>8235</v>
      </c>
      <c r="KQE1" s="7" t="s">
        <v>8236</v>
      </c>
      <c r="KQF1" s="7" t="s">
        <v>8237</v>
      </c>
      <c r="KQG1" s="7" t="s">
        <v>8238</v>
      </c>
      <c r="KQH1" s="7" t="s">
        <v>8239</v>
      </c>
      <c r="KQI1" s="7" t="s">
        <v>8240</v>
      </c>
      <c r="KQJ1" s="7" t="s">
        <v>8241</v>
      </c>
      <c r="KQK1" s="7" t="s">
        <v>8242</v>
      </c>
      <c r="KQL1" s="7" t="s">
        <v>8243</v>
      </c>
      <c r="KQM1" s="7" t="s">
        <v>8244</v>
      </c>
      <c r="KQN1" s="7" t="s">
        <v>8245</v>
      </c>
      <c r="KQO1" s="7" t="s">
        <v>8246</v>
      </c>
      <c r="KQP1" s="7" t="s">
        <v>8247</v>
      </c>
      <c r="KQQ1" s="7" t="s">
        <v>8248</v>
      </c>
      <c r="KQR1" s="7" t="s">
        <v>8249</v>
      </c>
      <c r="KQS1" s="7" t="s">
        <v>8250</v>
      </c>
      <c r="KQT1" s="7" t="s">
        <v>8251</v>
      </c>
      <c r="KQU1" s="7" t="s">
        <v>8252</v>
      </c>
      <c r="KQV1" s="7" t="s">
        <v>8253</v>
      </c>
      <c r="KQW1" s="7" t="s">
        <v>8254</v>
      </c>
      <c r="KQX1" s="7" t="s">
        <v>8255</v>
      </c>
      <c r="KQY1" s="7" t="s">
        <v>8256</v>
      </c>
      <c r="KQZ1" s="7" t="s">
        <v>8257</v>
      </c>
      <c r="KRA1" s="7" t="s">
        <v>8258</v>
      </c>
      <c r="KRB1" s="7" t="s">
        <v>8259</v>
      </c>
      <c r="KRC1" s="7" t="s">
        <v>8260</v>
      </c>
      <c r="KRD1" s="7" t="s">
        <v>8261</v>
      </c>
      <c r="KRE1" s="7" t="s">
        <v>8262</v>
      </c>
      <c r="KRF1" s="7" t="s">
        <v>8263</v>
      </c>
      <c r="KRG1" s="7" t="s">
        <v>8264</v>
      </c>
      <c r="KRH1" s="7" t="s">
        <v>8265</v>
      </c>
      <c r="KRI1" s="7" t="s">
        <v>8266</v>
      </c>
      <c r="KRJ1" s="7" t="s">
        <v>8267</v>
      </c>
      <c r="KRK1" s="7" t="s">
        <v>8268</v>
      </c>
      <c r="KRL1" s="7" t="s">
        <v>8269</v>
      </c>
      <c r="KRM1" s="7" t="s">
        <v>8270</v>
      </c>
      <c r="KRN1" s="7" t="s">
        <v>8271</v>
      </c>
      <c r="KRO1" s="7" t="s">
        <v>8272</v>
      </c>
      <c r="KRP1" s="7" t="s">
        <v>8273</v>
      </c>
      <c r="KRQ1" s="7" t="s">
        <v>8274</v>
      </c>
      <c r="KRR1" s="7" t="s">
        <v>8275</v>
      </c>
      <c r="KRS1" s="7" t="s">
        <v>8276</v>
      </c>
      <c r="KRT1" s="7" t="s">
        <v>8277</v>
      </c>
      <c r="KRU1" s="7" t="s">
        <v>8278</v>
      </c>
      <c r="KRV1" s="7" t="s">
        <v>8279</v>
      </c>
      <c r="KRW1" s="7" t="s">
        <v>8280</v>
      </c>
      <c r="KRX1" s="7" t="s">
        <v>8281</v>
      </c>
      <c r="KRY1" s="7" t="s">
        <v>8282</v>
      </c>
      <c r="KRZ1" s="7" t="s">
        <v>8283</v>
      </c>
      <c r="KSA1" s="7" t="s">
        <v>8284</v>
      </c>
      <c r="KSB1" s="7" t="s">
        <v>8285</v>
      </c>
      <c r="KSC1" s="7" t="s">
        <v>8286</v>
      </c>
      <c r="KSD1" s="7" t="s">
        <v>8287</v>
      </c>
      <c r="KSE1" s="7" t="s">
        <v>8288</v>
      </c>
      <c r="KSF1" s="7" t="s">
        <v>8289</v>
      </c>
      <c r="KSG1" s="7" t="s">
        <v>8290</v>
      </c>
      <c r="KSH1" s="7" t="s">
        <v>8291</v>
      </c>
      <c r="KSI1" s="7" t="s">
        <v>8292</v>
      </c>
      <c r="KSJ1" s="7" t="s">
        <v>8293</v>
      </c>
      <c r="KSK1" s="7" t="s">
        <v>8294</v>
      </c>
      <c r="KSL1" s="7" t="s">
        <v>8295</v>
      </c>
      <c r="KSM1" s="7" t="s">
        <v>8296</v>
      </c>
      <c r="KSN1" s="7" t="s">
        <v>8297</v>
      </c>
      <c r="KSO1" s="7" t="s">
        <v>8298</v>
      </c>
      <c r="KSP1" s="7" t="s">
        <v>8299</v>
      </c>
      <c r="KSQ1" s="7" t="s">
        <v>8300</v>
      </c>
      <c r="KSR1" s="7" t="s">
        <v>8301</v>
      </c>
      <c r="KSS1" s="7" t="s">
        <v>8302</v>
      </c>
      <c r="KST1" s="7" t="s">
        <v>8303</v>
      </c>
      <c r="KSU1" s="7" t="s">
        <v>8304</v>
      </c>
      <c r="KSV1" s="7" t="s">
        <v>8305</v>
      </c>
      <c r="KSW1" s="7" t="s">
        <v>8306</v>
      </c>
      <c r="KSX1" s="7" t="s">
        <v>8307</v>
      </c>
      <c r="KSY1" s="7" t="s">
        <v>8308</v>
      </c>
      <c r="KSZ1" s="7" t="s">
        <v>8309</v>
      </c>
      <c r="KTA1" s="7" t="s">
        <v>8310</v>
      </c>
      <c r="KTB1" s="7" t="s">
        <v>8311</v>
      </c>
      <c r="KTC1" s="7" t="s">
        <v>8312</v>
      </c>
      <c r="KTD1" s="7" t="s">
        <v>8313</v>
      </c>
      <c r="KTE1" s="7" t="s">
        <v>8314</v>
      </c>
      <c r="KTF1" s="7" t="s">
        <v>8315</v>
      </c>
      <c r="KTG1" s="7" t="s">
        <v>8316</v>
      </c>
      <c r="KTH1" s="7" t="s">
        <v>8317</v>
      </c>
      <c r="KTI1" s="7" t="s">
        <v>8318</v>
      </c>
      <c r="KTJ1" s="7" t="s">
        <v>8319</v>
      </c>
      <c r="KTK1" s="7" t="s">
        <v>8320</v>
      </c>
      <c r="KTL1" s="7" t="s">
        <v>8321</v>
      </c>
      <c r="KTM1" s="7" t="s">
        <v>8322</v>
      </c>
      <c r="KTN1" s="7" t="s">
        <v>8323</v>
      </c>
      <c r="KTO1" s="7" t="s">
        <v>8324</v>
      </c>
      <c r="KTP1" s="7" t="s">
        <v>8325</v>
      </c>
      <c r="KTQ1" s="7" t="s">
        <v>8326</v>
      </c>
      <c r="KTR1" s="7" t="s">
        <v>8327</v>
      </c>
      <c r="KTS1" s="7" t="s">
        <v>8328</v>
      </c>
      <c r="KTT1" s="7" t="s">
        <v>8329</v>
      </c>
      <c r="KTU1" s="7" t="s">
        <v>8330</v>
      </c>
      <c r="KTV1" s="7" t="s">
        <v>8331</v>
      </c>
      <c r="KTW1" s="7" t="s">
        <v>8332</v>
      </c>
      <c r="KTX1" s="7" t="s">
        <v>8333</v>
      </c>
      <c r="KTY1" s="7" t="s">
        <v>8334</v>
      </c>
      <c r="KTZ1" s="7" t="s">
        <v>8335</v>
      </c>
      <c r="KUA1" s="7" t="s">
        <v>8336</v>
      </c>
      <c r="KUB1" s="7" t="s">
        <v>8337</v>
      </c>
      <c r="KUC1" s="7" t="s">
        <v>8338</v>
      </c>
      <c r="KUD1" s="7" t="s">
        <v>8339</v>
      </c>
      <c r="KUE1" s="7" t="s">
        <v>8340</v>
      </c>
      <c r="KUF1" s="7" t="s">
        <v>8341</v>
      </c>
      <c r="KUG1" s="7" t="s">
        <v>8342</v>
      </c>
      <c r="KUH1" s="7" t="s">
        <v>8343</v>
      </c>
      <c r="KUI1" s="7" t="s">
        <v>8344</v>
      </c>
      <c r="KUJ1" s="7" t="s">
        <v>8345</v>
      </c>
      <c r="KUK1" s="7" t="s">
        <v>8346</v>
      </c>
      <c r="KUL1" s="7" t="s">
        <v>8347</v>
      </c>
      <c r="KUM1" s="7" t="s">
        <v>8348</v>
      </c>
      <c r="KUN1" s="7" t="s">
        <v>8349</v>
      </c>
      <c r="KUO1" s="7" t="s">
        <v>8350</v>
      </c>
      <c r="KUP1" s="7" t="s">
        <v>8351</v>
      </c>
      <c r="KUQ1" s="7" t="s">
        <v>8352</v>
      </c>
      <c r="KUR1" s="7" t="s">
        <v>8353</v>
      </c>
      <c r="KUS1" s="7" t="s">
        <v>8354</v>
      </c>
      <c r="KUT1" s="7" t="s">
        <v>8355</v>
      </c>
      <c r="KUU1" s="7" t="s">
        <v>8356</v>
      </c>
      <c r="KUV1" s="7" t="s">
        <v>8357</v>
      </c>
      <c r="KUW1" s="7" t="s">
        <v>8358</v>
      </c>
      <c r="KUX1" s="7" t="s">
        <v>8359</v>
      </c>
      <c r="KUY1" s="7" t="s">
        <v>8360</v>
      </c>
      <c r="KUZ1" s="7" t="s">
        <v>8361</v>
      </c>
      <c r="KVA1" s="7" t="s">
        <v>8362</v>
      </c>
      <c r="KVB1" s="7" t="s">
        <v>8363</v>
      </c>
      <c r="KVC1" s="7" t="s">
        <v>8364</v>
      </c>
      <c r="KVD1" s="7" t="s">
        <v>8365</v>
      </c>
      <c r="KVE1" s="7" t="s">
        <v>8366</v>
      </c>
      <c r="KVF1" s="7" t="s">
        <v>8367</v>
      </c>
      <c r="KVG1" s="7" t="s">
        <v>8368</v>
      </c>
      <c r="KVH1" s="7" t="s">
        <v>8369</v>
      </c>
      <c r="KVI1" s="7" t="s">
        <v>8370</v>
      </c>
      <c r="KVJ1" s="7" t="s">
        <v>8371</v>
      </c>
      <c r="KVK1" s="7" t="s">
        <v>8372</v>
      </c>
      <c r="KVL1" s="7" t="s">
        <v>8373</v>
      </c>
      <c r="KVM1" s="7" t="s">
        <v>8374</v>
      </c>
      <c r="KVN1" s="7" t="s">
        <v>8375</v>
      </c>
      <c r="KVO1" s="7" t="s">
        <v>8376</v>
      </c>
      <c r="KVP1" s="7" t="s">
        <v>8377</v>
      </c>
      <c r="KVQ1" s="7" t="s">
        <v>8378</v>
      </c>
      <c r="KVR1" s="7" t="s">
        <v>8379</v>
      </c>
      <c r="KVS1" s="7" t="s">
        <v>8380</v>
      </c>
      <c r="KVT1" s="7" t="s">
        <v>8381</v>
      </c>
      <c r="KVU1" s="7" t="s">
        <v>8382</v>
      </c>
      <c r="KVV1" s="7" t="s">
        <v>8383</v>
      </c>
      <c r="KVW1" s="7" t="s">
        <v>8384</v>
      </c>
      <c r="KVX1" s="7" t="s">
        <v>8385</v>
      </c>
      <c r="KVY1" s="7" t="s">
        <v>8386</v>
      </c>
      <c r="KVZ1" s="7" t="s">
        <v>8387</v>
      </c>
      <c r="KWA1" s="7" t="s">
        <v>8388</v>
      </c>
      <c r="KWB1" s="7" t="s">
        <v>8389</v>
      </c>
      <c r="KWC1" s="7" t="s">
        <v>8390</v>
      </c>
      <c r="KWD1" s="7" t="s">
        <v>8391</v>
      </c>
      <c r="KWE1" s="7" t="s">
        <v>8392</v>
      </c>
      <c r="KWF1" s="7" t="s">
        <v>8393</v>
      </c>
      <c r="KWG1" s="7" t="s">
        <v>8394</v>
      </c>
      <c r="KWH1" s="7" t="s">
        <v>8395</v>
      </c>
      <c r="KWI1" s="7" t="s">
        <v>8396</v>
      </c>
      <c r="KWJ1" s="7" t="s">
        <v>8397</v>
      </c>
      <c r="KWK1" s="7" t="s">
        <v>8398</v>
      </c>
      <c r="KWL1" s="7" t="s">
        <v>8399</v>
      </c>
      <c r="KWM1" s="7" t="s">
        <v>8400</v>
      </c>
      <c r="KWN1" s="7" t="s">
        <v>8401</v>
      </c>
      <c r="KWO1" s="7" t="s">
        <v>8402</v>
      </c>
      <c r="KWP1" s="7" t="s">
        <v>8403</v>
      </c>
      <c r="KWQ1" s="7" t="s">
        <v>8404</v>
      </c>
      <c r="KWR1" s="7" t="s">
        <v>8405</v>
      </c>
      <c r="KWS1" s="7" t="s">
        <v>8406</v>
      </c>
      <c r="KWT1" s="7" t="s">
        <v>8407</v>
      </c>
      <c r="KWU1" s="7" t="s">
        <v>8408</v>
      </c>
      <c r="KWV1" s="7" t="s">
        <v>8409</v>
      </c>
      <c r="KWW1" s="7" t="s">
        <v>8410</v>
      </c>
      <c r="KWX1" s="7" t="s">
        <v>8411</v>
      </c>
      <c r="KWY1" s="7" t="s">
        <v>8412</v>
      </c>
      <c r="KWZ1" s="7" t="s">
        <v>8413</v>
      </c>
      <c r="KXA1" s="7" t="s">
        <v>8414</v>
      </c>
      <c r="KXB1" s="7" t="s">
        <v>8415</v>
      </c>
      <c r="KXC1" s="7" t="s">
        <v>8416</v>
      </c>
      <c r="KXD1" s="7" t="s">
        <v>8417</v>
      </c>
      <c r="KXE1" s="7" t="s">
        <v>8418</v>
      </c>
      <c r="KXF1" s="7" t="s">
        <v>8419</v>
      </c>
      <c r="KXG1" s="7" t="s">
        <v>8420</v>
      </c>
      <c r="KXH1" s="7" t="s">
        <v>8421</v>
      </c>
      <c r="KXI1" s="7" t="s">
        <v>8422</v>
      </c>
      <c r="KXJ1" s="7" t="s">
        <v>8423</v>
      </c>
      <c r="KXK1" s="7" t="s">
        <v>8424</v>
      </c>
      <c r="KXL1" s="7" t="s">
        <v>8425</v>
      </c>
      <c r="KXM1" s="7" t="s">
        <v>8426</v>
      </c>
      <c r="KXN1" s="7" t="s">
        <v>8427</v>
      </c>
      <c r="KXO1" s="7" t="s">
        <v>8428</v>
      </c>
      <c r="KXP1" s="7" t="s">
        <v>8429</v>
      </c>
      <c r="KXQ1" s="7" t="s">
        <v>8430</v>
      </c>
      <c r="KXR1" s="7" t="s">
        <v>8431</v>
      </c>
      <c r="KXS1" s="7" t="s">
        <v>8432</v>
      </c>
      <c r="KXT1" s="7" t="s">
        <v>8433</v>
      </c>
      <c r="KXU1" s="7" t="s">
        <v>8434</v>
      </c>
      <c r="KXV1" s="7" t="s">
        <v>8435</v>
      </c>
      <c r="KXW1" s="7" t="s">
        <v>8436</v>
      </c>
      <c r="KXX1" s="7" t="s">
        <v>8437</v>
      </c>
      <c r="KXY1" s="7" t="s">
        <v>8438</v>
      </c>
      <c r="KXZ1" s="7" t="s">
        <v>8439</v>
      </c>
      <c r="KYA1" s="7" t="s">
        <v>8440</v>
      </c>
      <c r="KYB1" s="7" t="s">
        <v>8441</v>
      </c>
      <c r="KYC1" s="7" t="s">
        <v>8442</v>
      </c>
      <c r="KYD1" s="7" t="s">
        <v>8443</v>
      </c>
      <c r="KYE1" s="7" t="s">
        <v>8444</v>
      </c>
      <c r="KYF1" s="7" t="s">
        <v>8445</v>
      </c>
      <c r="KYG1" s="7" t="s">
        <v>8446</v>
      </c>
      <c r="KYH1" s="7" t="s">
        <v>8447</v>
      </c>
      <c r="KYI1" s="7" t="s">
        <v>8448</v>
      </c>
      <c r="KYJ1" s="7" t="s">
        <v>8449</v>
      </c>
      <c r="KYK1" s="7" t="s">
        <v>8450</v>
      </c>
      <c r="KYL1" s="7" t="s">
        <v>8451</v>
      </c>
      <c r="KYM1" s="7" t="s">
        <v>8452</v>
      </c>
      <c r="KYN1" s="7" t="s">
        <v>8453</v>
      </c>
      <c r="KYO1" s="7" t="s">
        <v>8454</v>
      </c>
      <c r="KYP1" s="7" t="s">
        <v>8455</v>
      </c>
      <c r="KYQ1" s="7" t="s">
        <v>8456</v>
      </c>
      <c r="KYR1" s="7" t="s">
        <v>8457</v>
      </c>
      <c r="KYS1" s="7" t="s">
        <v>8458</v>
      </c>
      <c r="KYT1" s="7" t="s">
        <v>8459</v>
      </c>
      <c r="KYU1" s="7" t="s">
        <v>8460</v>
      </c>
      <c r="KYV1" s="7" t="s">
        <v>8461</v>
      </c>
      <c r="KYW1" s="7" t="s">
        <v>8462</v>
      </c>
      <c r="KYX1" s="7" t="s">
        <v>8463</v>
      </c>
      <c r="KYY1" s="7" t="s">
        <v>8464</v>
      </c>
      <c r="KYZ1" s="7" t="s">
        <v>8465</v>
      </c>
      <c r="KZA1" s="7" t="s">
        <v>8466</v>
      </c>
      <c r="KZB1" s="7" t="s">
        <v>8467</v>
      </c>
      <c r="KZC1" s="7" t="s">
        <v>8468</v>
      </c>
      <c r="KZD1" s="7" t="s">
        <v>8469</v>
      </c>
      <c r="KZE1" s="7" t="s">
        <v>8470</v>
      </c>
      <c r="KZF1" s="7" t="s">
        <v>8471</v>
      </c>
      <c r="KZG1" s="7" t="s">
        <v>8472</v>
      </c>
      <c r="KZH1" s="7" t="s">
        <v>8473</v>
      </c>
      <c r="KZI1" s="7" t="s">
        <v>8474</v>
      </c>
      <c r="KZJ1" s="7" t="s">
        <v>8475</v>
      </c>
      <c r="KZK1" s="7" t="s">
        <v>8476</v>
      </c>
      <c r="KZL1" s="7" t="s">
        <v>8477</v>
      </c>
      <c r="KZM1" s="7" t="s">
        <v>8478</v>
      </c>
      <c r="KZN1" s="7" t="s">
        <v>8479</v>
      </c>
      <c r="KZO1" s="7" t="s">
        <v>8480</v>
      </c>
      <c r="KZP1" s="7" t="s">
        <v>8481</v>
      </c>
      <c r="KZQ1" s="7" t="s">
        <v>8482</v>
      </c>
      <c r="KZR1" s="7" t="s">
        <v>8483</v>
      </c>
      <c r="KZS1" s="7" t="s">
        <v>8484</v>
      </c>
      <c r="KZT1" s="7" t="s">
        <v>8485</v>
      </c>
      <c r="KZU1" s="7" t="s">
        <v>8486</v>
      </c>
      <c r="KZV1" s="7" t="s">
        <v>8487</v>
      </c>
      <c r="KZW1" s="7" t="s">
        <v>8488</v>
      </c>
      <c r="KZX1" s="7" t="s">
        <v>8489</v>
      </c>
      <c r="KZY1" s="7" t="s">
        <v>8490</v>
      </c>
      <c r="KZZ1" s="7" t="s">
        <v>8491</v>
      </c>
      <c r="LAA1" s="7" t="s">
        <v>8492</v>
      </c>
      <c r="LAB1" s="7" t="s">
        <v>8493</v>
      </c>
      <c r="LAC1" s="7" t="s">
        <v>8494</v>
      </c>
      <c r="LAD1" s="7" t="s">
        <v>8495</v>
      </c>
      <c r="LAE1" s="7" t="s">
        <v>8496</v>
      </c>
      <c r="LAF1" s="7" t="s">
        <v>8497</v>
      </c>
      <c r="LAG1" s="7" t="s">
        <v>8498</v>
      </c>
      <c r="LAH1" s="7" t="s">
        <v>8499</v>
      </c>
      <c r="LAI1" s="7" t="s">
        <v>8500</v>
      </c>
      <c r="LAJ1" s="7" t="s">
        <v>8501</v>
      </c>
      <c r="LAK1" s="7" t="s">
        <v>8502</v>
      </c>
      <c r="LAL1" s="7" t="s">
        <v>8503</v>
      </c>
      <c r="LAM1" s="7" t="s">
        <v>8504</v>
      </c>
      <c r="LAN1" s="7" t="s">
        <v>8505</v>
      </c>
      <c r="LAO1" s="7" t="s">
        <v>8506</v>
      </c>
      <c r="LAP1" s="7" t="s">
        <v>8507</v>
      </c>
      <c r="LAQ1" s="7" t="s">
        <v>8508</v>
      </c>
      <c r="LAR1" s="7" t="s">
        <v>8509</v>
      </c>
      <c r="LAS1" s="7" t="s">
        <v>8510</v>
      </c>
      <c r="LAT1" s="7" t="s">
        <v>8511</v>
      </c>
      <c r="LAU1" s="7" t="s">
        <v>8512</v>
      </c>
      <c r="LAV1" s="7" t="s">
        <v>8513</v>
      </c>
      <c r="LAW1" s="7" t="s">
        <v>8514</v>
      </c>
      <c r="LAX1" s="7" t="s">
        <v>8515</v>
      </c>
      <c r="LAY1" s="7" t="s">
        <v>8516</v>
      </c>
      <c r="LAZ1" s="7" t="s">
        <v>8517</v>
      </c>
      <c r="LBA1" s="7" t="s">
        <v>8518</v>
      </c>
      <c r="LBB1" s="7" t="s">
        <v>8519</v>
      </c>
      <c r="LBC1" s="7" t="s">
        <v>8520</v>
      </c>
      <c r="LBD1" s="7" t="s">
        <v>8521</v>
      </c>
      <c r="LBE1" s="7" t="s">
        <v>8522</v>
      </c>
      <c r="LBF1" s="7" t="s">
        <v>8523</v>
      </c>
      <c r="LBG1" s="7" t="s">
        <v>8524</v>
      </c>
      <c r="LBH1" s="7" t="s">
        <v>8525</v>
      </c>
      <c r="LBI1" s="7" t="s">
        <v>8526</v>
      </c>
      <c r="LBJ1" s="7" t="s">
        <v>8527</v>
      </c>
      <c r="LBK1" s="7" t="s">
        <v>8528</v>
      </c>
      <c r="LBL1" s="7" t="s">
        <v>8529</v>
      </c>
      <c r="LBM1" s="7" t="s">
        <v>8530</v>
      </c>
      <c r="LBN1" s="7" t="s">
        <v>8531</v>
      </c>
      <c r="LBO1" s="7" t="s">
        <v>8532</v>
      </c>
      <c r="LBP1" s="7" t="s">
        <v>8533</v>
      </c>
      <c r="LBQ1" s="7" t="s">
        <v>8534</v>
      </c>
      <c r="LBR1" s="7" t="s">
        <v>8535</v>
      </c>
      <c r="LBS1" s="7" t="s">
        <v>8536</v>
      </c>
      <c r="LBT1" s="7" t="s">
        <v>8537</v>
      </c>
      <c r="LBU1" s="7" t="s">
        <v>8538</v>
      </c>
      <c r="LBV1" s="7" t="s">
        <v>8539</v>
      </c>
      <c r="LBW1" s="7" t="s">
        <v>8540</v>
      </c>
      <c r="LBX1" s="7" t="s">
        <v>8541</v>
      </c>
      <c r="LBY1" s="7" t="s">
        <v>8542</v>
      </c>
      <c r="LBZ1" s="7" t="s">
        <v>8543</v>
      </c>
      <c r="LCA1" s="7" t="s">
        <v>8544</v>
      </c>
      <c r="LCB1" s="7" t="s">
        <v>8545</v>
      </c>
      <c r="LCC1" s="7" t="s">
        <v>8546</v>
      </c>
      <c r="LCD1" s="7" t="s">
        <v>8547</v>
      </c>
      <c r="LCE1" s="7" t="s">
        <v>8548</v>
      </c>
      <c r="LCF1" s="7" t="s">
        <v>8549</v>
      </c>
      <c r="LCG1" s="7" t="s">
        <v>8550</v>
      </c>
      <c r="LCH1" s="7" t="s">
        <v>8551</v>
      </c>
      <c r="LCI1" s="7" t="s">
        <v>8552</v>
      </c>
      <c r="LCJ1" s="7" t="s">
        <v>8553</v>
      </c>
      <c r="LCK1" s="7" t="s">
        <v>8554</v>
      </c>
      <c r="LCL1" s="7" t="s">
        <v>8555</v>
      </c>
      <c r="LCM1" s="7" t="s">
        <v>8556</v>
      </c>
      <c r="LCN1" s="7" t="s">
        <v>8557</v>
      </c>
      <c r="LCO1" s="7" t="s">
        <v>8558</v>
      </c>
      <c r="LCP1" s="7" t="s">
        <v>8559</v>
      </c>
      <c r="LCQ1" s="7" t="s">
        <v>8560</v>
      </c>
      <c r="LCR1" s="7" t="s">
        <v>8561</v>
      </c>
      <c r="LCS1" s="7" t="s">
        <v>8562</v>
      </c>
      <c r="LCT1" s="7" t="s">
        <v>8563</v>
      </c>
      <c r="LCU1" s="7" t="s">
        <v>8564</v>
      </c>
      <c r="LCV1" s="7" t="s">
        <v>8565</v>
      </c>
      <c r="LCW1" s="7" t="s">
        <v>8566</v>
      </c>
      <c r="LCX1" s="7" t="s">
        <v>8567</v>
      </c>
      <c r="LCY1" s="7" t="s">
        <v>8568</v>
      </c>
      <c r="LCZ1" s="7" t="s">
        <v>8569</v>
      </c>
      <c r="LDA1" s="7" t="s">
        <v>8570</v>
      </c>
      <c r="LDB1" s="7" t="s">
        <v>8571</v>
      </c>
      <c r="LDC1" s="7" t="s">
        <v>8572</v>
      </c>
      <c r="LDD1" s="7" t="s">
        <v>8573</v>
      </c>
      <c r="LDE1" s="7" t="s">
        <v>8574</v>
      </c>
      <c r="LDF1" s="7" t="s">
        <v>8575</v>
      </c>
      <c r="LDG1" s="7" t="s">
        <v>8576</v>
      </c>
      <c r="LDH1" s="7" t="s">
        <v>8577</v>
      </c>
      <c r="LDI1" s="7" t="s">
        <v>8578</v>
      </c>
      <c r="LDJ1" s="7" t="s">
        <v>8579</v>
      </c>
      <c r="LDK1" s="7" t="s">
        <v>8580</v>
      </c>
      <c r="LDL1" s="7" t="s">
        <v>8581</v>
      </c>
      <c r="LDM1" s="7" t="s">
        <v>8582</v>
      </c>
      <c r="LDN1" s="7" t="s">
        <v>8583</v>
      </c>
      <c r="LDO1" s="7" t="s">
        <v>8584</v>
      </c>
      <c r="LDP1" s="7" t="s">
        <v>8585</v>
      </c>
      <c r="LDQ1" s="7" t="s">
        <v>8586</v>
      </c>
      <c r="LDR1" s="7" t="s">
        <v>8587</v>
      </c>
      <c r="LDS1" s="7" t="s">
        <v>8588</v>
      </c>
      <c r="LDT1" s="7" t="s">
        <v>8589</v>
      </c>
      <c r="LDU1" s="7" t="s">
        <v>8590</v>
      </c>
      <c r="LDV1" s="7" t="s">
        <v>8591</v>
      </c>
      <c r="LDW1" s="7" t="s">
        <v>8592</v>
      </c>
      <c r="LDX1" s="7" t="s">
        <v>8593</v>
      </c>
      <c r="LDY1" s="7" t="s">
        <v>8594</v>
      </c>
      <c r="LDZ1" s="7" t="s">
        <v>8595</v>
      </c>
      <c r="LEA1" s="7" t="s">
        <v>8596</v>
      </c>
      <c r="LEB1" s="7" t="s">
        <v>8597</v>
      </c>
      <c r="LEC1" s="7" t="s">
        <v>8598</v>
      </c>
      <c r="LED1" s="7" t="s">
        <v>8599</v>
      </c>
      <c r="LEE1" s="7" t="s">
        <v>8600</v>
      </c>
      <c r="LEF1" s="7" t="s">
        <v>8601</v>
      </c>
      <c r="LEG1" s="7" t="s">
        <v>8602</v>
      </c>
      <c r="LEH1" s="7" t="s">
        <v>8603</v>
      </c>
      <c r="LEI1" s="7" t="s">
        <v>8604</v>
      </c>
      <c r="LEJ1" s="7" t="s">
        <v>8605</v>
      </c>
      <c r="LEK1" s="7" t="s">
        <v>8606</v>
      </c>
      <c r="LEL1" s="7" t="s">
        <v>8607</v>
      </c>
      <c r="LEM1" s="7" t="s">
        <v>8608</v>
      </c>
      <c r="LEN1" s="7" t="s">
        <v>8609</v>
      </c>
      <c r="LEO1" s="7" t="s">
        <v>8610</v>
      </c>
      <c r="LEP1" s="7" t="s">
        <v>8611</v>
      </c>
      <c r="LEQ1" s="7" t="s">
        <v>8612</v>
      </c>
      <c r="LER1" s="7" t="s">
        <v>8613</v>
      </c>
      <c r="LES1" s="7" t="s">
        <v>8614</v>
      </c>
      <c r="LET1" s="7" t="s">
        <v>8615</v>
      </c>
      <c r="LEU1" s="7" t="s">
        <v>8616</v>
      </c>
      <c r="LEV1" s="7" t="s">
        <v>8617</v>
      </c>
      <c r="LEW1" s="7" t="s">
        <v>8618</v>
      </c>
      <c r="LEX1" s="7" t="s">
        <v>8619</v>
      </c>
      <c r="LEY1" s="7" t="s">
        <v>8620</v>
      </c>
      <c r="LEZ1" s="7" t="s">
        <v>8621</v>
      </c>
      <c r="LFA1" s="7" t="s">
        <v>8622</v>
      </c>
      <c r="LFB1" s="7" t="s">
        <v>8623</v>
      </c>
      <c r="LFC1" s="7" t="s">
        <v>8624</v>
      </c>
      <c r="LFD1" s="7" t="s">
        <v>8625</v>
      </c>
      <c r="LFE1" s="7" t="s">
        <v>8626</v>
      </c>
      <c r="LFF1" s="7" t="s">
        <v>8627</v>
      </c>
      <c r="LFG1" s="7" t="s">
        <v>8628</v>
      </c>
      <c r="LFH1" s="7" t="s">
        <v>8629</v>
      </c>
      <c r="LFI1" s="7" t="s">
        <v>8630</v>
      </c>
      <c r="LFJ1" s="7" t="s">
        <v>8631</v>
      </c>
      <c r="LFK1" s="7" t="s">
        <v>8632</v>
      </c>
      <c r="LFL1" s="7" t="s">
        <v>8633</v>
      </c>
      <c r="LFM1" s="7" t="s">
        <v>8634</v>
      </c>
      <c r="LFN1" s="7" t="s">
        <v>8635</v>
      </c>
      <c r="LFO1" s="7" t="s">
        <v>8636</v>
      </c>
      <c r="LFP1" s="7" t="s">
        <v>8637</v>
      </c>
      <c r="LFQ1" s="7" t="s">
        <v>8638</v>
      </c>
      <c r="LFR1" s="7" t="s">
        <v>8639</v>
      </c>
      <c r="LFS1" s="7" t="s">
        <v>8640</v>
      </c>
      <c r="LFT1" s="7" t="s">
        <v>8641</v>
      </c>
      <c r="LFU1" s="7" t="s">
        <v>8642</v>
      </c>
      <c r="LFV1" s="7" t="s">
        <v>8643</v>
      </c>
      <c r="LFW1" s="7" t="s">
        <v>8644</v>
      </c>
      <c r="LFX1" s="7" t="s">
        <v>8645</v>
      </c>
      <c r="LFY1" s="7" t="s">
        <v>8646</v>
      </c>
      <c r="LFZ1" s="7" t="s">
        <v>8647</v>
      </c>
      <c r="LGA1" s="7" t="s">
        <v>8648</v>
      </c>
      <c r="LGB1" s="7" t="s">
        <v>8649</v>
      </c>
      <c r="LGC1" s="7" t="s">
        <v>8650</v>
      </c>
      <c r="LGD1" s="7" t="s">
        <v>8651</v>
      </c>
      <c r="LGE1" s="7" t="s">
        <v>8652</v>
      </c>
      <c r="LGF1" s="7" t="s">
        <v>8653</v>
      </c>
      <c r="LGG1" s="7" t="s">
        <v>8654</v>
      </c>
      <c r="LGH1" s="7" t="s">
        <v>8655</v>
      </c>
      <c r="LGI1" s="7" t="s">
        <v>8656</v>
      </c>
      <c r="LGJ1" s="7" t="s">
        <v>8657</v>
      </c>
      <c r="LGK1" s="7" t="s">
        <v>8658</v>
      </c>
      <c r="LGL1" s="7" t="s">
        <v>8659</v>
      </c>
      <c r="LGM1" s="7" t="s">
        <v>8660</v>
      </c>
      <c r="LGN1" s="7" t="s">
        <v>8661</v>
      </c>
      <c r="LGO1" s="7" t="s">
        <v>8662</v>
      </c>
      <c r="LGP1" s="7" t="s">
        <v>8663</v>
      </c>
      <c r="LGQ1" s="7" t="s">
        <v>8664</v>
      </c>
      <c r="LGR1" s="7" t="s">
        <v>8665</v>
      </c>
      <c r="LGS1" s="7" t="s">
        <v>8666</v>
      </c>
      <c r="LGT1" s="7" t="s">
        <v>8667</v>
      </c>
      <c r="LGU1" s="7" t="s">
        <v>8668</v>
      </c>
      <c r="LGV1" s="7" t="s">
        <v>8669</v>
      </c>
      <c r="LGW1" s="7" t="s">
        <v>8670</v>
      </c>
      <c r="LGX1" s="7" t="s">
        <v>8671</v>
      </c>
      <c r="LGY1" s="7" t="s">
        <v>8672</v>
      </c>
      <c r="LGZ1" s="7" t="s">
        <v>8673</v>
      </c>
      <c r="LHA1" s="7" t="s">
        <v>8674</v>
      </c>
      <c r="LHB1" s="7" t="s">
        <v>8675</v>
      </c>
      <c r="LHC1" s="7" t="s">
        <v>8676</v>
      </c>
      <c r="LHD1" s="7" t="s">
        <v>8677</v>
      </c>
      <c r="LHE1" s="7" t="s">
        <v>8678</v>
      </c>
      <c r="LHF1" s="7" t="s">
        <v>8679</v>
      </c>
      <c r="LHG1" s="7" t="s">
        <v>8680</v>
      </c>
      <c r="LHH1" s="7" t="s">
        <v>8681</v>
      </c>
      <c r="LHI1" s="7" t="s">
        <v>8682</v>
      </c>
      <c r="LHJ1" s="7" t="s">
        <v>8683</v>
      </c>
      <c r="LHK1" s="7" t="s">
        <v>8684</v>
      </c>
      <c r="LHL1" s="7" t="s">
        <v>8685</v>
      </c>
      <c r="LHM1" s="7" t="s">
        <v>8686</v>
      </c>
      <c r="LHN1" s="7" t="s">
        <v>8687</v>
      </c>
      <c r="LHO1" s="7" t="s">
        <v>8688</v>
      </c>
      <c r="LHP1" s="7" t="s">
        <v>8689</v>
      </c>
      <c r="LHQ1" s="7" t="s">
        <v>8690</v>
      </c>
      <c r="LHR1" s="7" t="s">
        <v>8691</v>
      </c>
      <c r="LHS1" s="7" t="s">
        <v>8692</v>
      </c>
      <c r="LHT1" s="7" t="s">
        <v>8693</v>
      </c>
      <c r="LHU1" s="7" t="s">
        <v>8694</v>
      </c>
      <c r="LHV1" s="7" t="s">
        <v>8695</v>
      </c>
      <c r="LHW1" s="7" t="s">
        <v>8696</v>
      </c>
      <c r="LHX1" s="7" t="s">
        <v>8697</v>
      </c>
      <c r="LHY1" s="7" t="s">
        <v>8698</v>
      </c>
      <c r="LHZ1" s="7" t="s">
        <v>8699</v>
      </c>
      <c r="LIA1" s="7" t="s">
        <v>8700</v>
      </c>
      <c r="LIB1" s="7" t="s">
        <v>8701</v>
      </c>
      <c r="LIC1" s="7" t="s">
        <v>8702</v>
      </c>
      <c r="LID1" s="7" t="s">
        <v>8703</v>
      </c>
      <c r="LIE1" s="7" t="s">
        <v>8704</v>
      </c>
      <c r="LIF1" s="7" t="s">
        <v>8705</v>
      </c>
      <c r="LIG1" s="7" t="s">
        <v>8706</v>
      </c>
      <c r="LIH1" s="7" t="s">
        <v>8707</v>
      </c>
      <c r="LII1" s="7" t="s">
        <v>8708</v>
      </c>
      <c r="LIJ1" s="7" t="s">
        <v>8709</v>
      </c>
      <c r="LIK1" s="7" t="s">
        <v>8710</v>
      </c>
      <c r="LIL1" s="7" t="s">
        <v>8711</v>
      </c>
      <c r="LIM1" s="7" t="s">
        <v>8712</v>
      </c>
      <c r="LIN1" s="7" t="s">
        <v>8713</v>
      </c>
      <c r="LIO1" s="7" t="s">
        <v>8714</v>
      </c>
      <c r="LIP1" s="7" t="s">
        <v>8715</v>
      </c>
      <c r="LIQ1" s="7" t="s">
        <v>8716</v>
      </c>
      <c r="LIR1" s="7" t="s">
        <v>8717</v>
      </c>
      <c r="LIS1" s="7" t="s">
        <v>8718</v>
      </c>
      <c r="LIT1" s="7" t="s">
        <v>8719</v>
      </c>
      <c r="LIU1" s="7" t="s">
        <v>8720</v>
      </c>
      <c r="LIV1" s="7" t="s">
        <v>8721</v>
      </c>
      <c r="LIW1" s="7" t="s">
        <v>8722</v>
      </c>
      <c r="LIX1" s="7" t="s">
        <v>8723</v>
      </c>
      <c r="LIY1" s="7" t="s">
        <v>8724</v>
      </c>
      <c r="LIZ1" s="7" t="s">
        <v>8725</v>
      </c>
      <c r="LJA1" s="7" t="s">
        <v>8726</v>
      </c>
      <c r="LJB1" s="7" t="s">
        <v>8727</v>
      </c>
      <c r="LJC1" s="7" t="s">
        <v>8728</v>
      </c>
      <c r="LJD1" s="7" t="s">
        <v>8729</v>
      </c>
      <c r="LJE1" s="7" t="s">
        <v>8730</v>
      </c>
      <c r="LJF1" s="7" t="s">
        <v>8731</v>
      </c>
      <c r="LJG1" s="7" t="s">
        <v>8732</v>
      </c>
      <c r="LJH1" s="7" t="s">
        <v>8733</v>
      </c>
      <c r="LJI1" s="7" t="s">
        <v>8734</v>
      </c>
      <c r="LJJ1" s="7" t="s">
        <v>8735</v>
      </c>
      <c r="LJK1" s="7" t="s">
        <v>8736</v>
      </c>
      <c r="LJL1" s="7" t="s">
        <v>8737</v>
      </c>
      <c r="LJM1" s="7" t="s">
        <v>8738</v>
      </c>
      <c r="LJN1" s="7" t="s">
        <v>8739</v>
      </c>
      <c r="LJO1" s="7" t="s">
        <v>8740</v>
      </c>
      <c r="LJP1" s="7" t="s">
        <v>8741</v>
      </c>
      <c r="LJQ1" s="7" t="s">
        <v>8742</v>
      </c>
      <c r="LJR1" s="7" t="s">
        <v>8743</v>
      </c>
      <c r="LJS1" s="7" t="s">
        <v>8744</v>
      </c>
      <c r="LJT1" s="7" t="s">
        <v>8745</v>
      </c>
      <c r="LJU1" s="7" t="s">
        <v>8746</v>
      </c>
      <c r="LJV1" s="7" t="s">
        <v>8747</v>
      </c>
      <c r="LJW1" s="7" t="s">
        <v>8748</v>
      </c>
      <c r="LJX1" s="7" t="s">
        <v>8749</v>
      </c>
      <c r="LJY1" s="7" t="s">
        <v>8750</v>
      </c>
      <c r="LJZ1" s="7" t="s">
        <v>8751</v>
      </c>
      <c r="LKA1" s="7" t="s">
        <v>8752</v>
      </c>
      <c r="LKB1" s="7" t="s">
        <v>8753</v>
      </c>
      <c r="LKC1" s="7" t="s">
        <v>8754</v>
      </c>
      <c r="LKD1" s="7" t="s">
        <v>8755</v>
      </c>
      <c r="LKE1" s="7" t="s">
        <v>8756</v>
      </c>
      <c r="LKF1" s="7" t="s">
        <v>8757</v>
      </c>
      <c r="LKG1" s="7" t="s">
        <v>8758</v>
      </c>
      <c r="LKH1" s="7" t="s">
        <v>8759</v>
      </c>
      <c r="LKI1" s="7" t="s">
        <v>8760</v>
      </c>
      <c r="LKJ1" s="7" t="s">
        <v>8761</v>
      </c>
      <c r="LKK1" s="7" t="s">
        <v>8762</v>
      </c>
      <c r="LKL1" s="7" t="s">
        <v>8763</v>
      </c>
      <c r="LKM1" s="7" t="s">
        <v>8764</v>
      </c>
      <c r="LKN1" s="7" t="s">
        <v>8765</v>
      </c>
      <c r="LKO1" s="7" t="s">
        <v>8766</v>
      </c>
      <c r="LKP1" s="7" t="s">
        <v>8767</v>
      </c>
      <c r="LKQ1" s="7" t="s">
        <v>8768</v>
      </c>
      <c r="LKR1" s="7" t="s">
        <v>8769</v>
      </c>
      <c r="LKS1" s="7" t="s">
        <v>8770</v>
      </c>
      <c r="LKT1" s="7" t="s">
        <v>8771</v>
      </c>
      <c r="LKU1" s="7" t="s">
        <v>8772</v>
      </c>
      <c r="LKV1" s="7" t="s">
        <v>8773</v>
      </c>
      <c r="LKW1" s="7" t="s">
        <v>8774</v>
      </c>
      <c r="LKX1" s="7" t="s">
        <v>8775</v>
      </c>
      <c r="LKY1" s="7" t="s">
        <v>8776</v>
      </c>
      <c r="LKZ1" s="7" t="s">
        <v>8777</v>
      </c>
      <c r="LLA1" s="7" t="s">
        <v>8778</v>
      </c>
      <c r="LLB1" s="7" t="s">
        <v>8779</v>
      </c>
      <c r="LLC1" s="7" t="s">
        <v>8780</v>
      </c>
      <c r="LLD1" s="7" t="s">
        <v>8781</v>
      </c>
      <c r="LLE1" s="7" t="s">
        <v>8782</v>
      </c>
      <c r="LLF1" s="7" t="s">
        <v>8783</v>
      </c>
      <c r="LLG1" s="7" t="s">
        <v>8784</v>
      </c>
      <c r="LLH1" s="7" t="s">
        <v>8785</v>
      </c>
      <c r="LLI1" s="7" t="s">
        <v>8786</v>
      </c>
      <c r="LLJ1" s="7" t="s">
        <v>8787</v>
      </c>
      <c r="LLK1" s="7" t="s">
        <v>8788</v>
      </c>
      <c r="LLL1" s="7" t="s">
        <v>8789</v>
      </c>
      <c r="LLM1" s="7" t="s">
        <v>8790</v>
      </c>
      <c r="LLN1" s="7" t="s">
        <v>8791</v>
      </c>
      <c r="LLO1" s="7" t="s">
        <v>8792</v>
      </c>
      <c r="LLP1" s="7" t="s">
        <v>8793</v>
      </c>
      <c r="LLQ1" s="7" t="s">
        <v>8794</v>
      </c>
      <c r="LLR1" s="7" t="s">
        <v>8795</v>
      </c>
      <c r="LLS1" s="7" t="s">
        <v>8796</v>
      </c>
      <c r="LLT1" s="7" t="s">
        <v>8797</v>
      </c>
      <c r="LLU1" s="7" t="s">
        <v>8798</v>
      </c>
      <c r="LLV1" s="7" t="s">
        <v>8799</v>
      </c>
      <c r="LLW1" s="7" t="s">
        <v>8800</v>
      </c>
      <c r="LLX1" s="7" t="s">
        <v>8801</v>
      </c>
      <c r="LLY1" s="7" t="s">
        <v>8802</v>
      </c>
      <c r="LLZ1" s="7" t="s">
        <v>8803</v>
      </c>
      <c r="LMA1" s="7" t="s">
        <v>8804</v>
      </c>
      <c r="LMB1" s="7" t="s">
        <v>8805</v>
      </c>
      <c r="LMC1" s="7" t="s">
        <v>8806</v>
      </c>
      <c r="LMD1" s="7" t="s">
        <v>8807</v>
      </c>
      <c r="LME1" s="7" t="s">
        <v>8808</v>
      </c>
      <c r="LMF1" s="7" t="s">
        <v>8809</v>
      </c>
      <c r="LMG1" s="7" t="s">
        <v>8810</v>
      </c>
      <c r="LMH1" s="7" t="s">
        <v>8811</v>
      </c>
      <c r="LMI1" s="7" t="s">
        <v>8812</v>
      </c>
      <c r="LMJ1" s="7" t="s">
        <v>8813</v>
      </c>
      <c r="LMK1" s="7" t="s">
        <v>8814</v>
      </c>
      <c r="LML1" s="7" t="s">
        <v>8815</v>
      </c>
      <c r="LMM1" s="7" t="s">
        <v>8816</v>
      </c>
      <c r="LMN1" s="7" t="s">
        <v>8817</v>
      </c>
      <c r="LMO1" s="7" t="s">
        <v>8818</v>
      </c>
      <c r="LMP1" s="7" t="s">
        <v>8819</v>
      </c>
      <c r="LMQ1" s="7" t="s">
        <v>8820</v>
      </c>
      <c r="LMR1" s="7" t="s">
        <v>8821</v>
      </c>
      <c r="LMS1" s="7" t="s">
        <v>8822</v>
      </c>
      <c r="LMT1" s="7" t="s">
        <v>8823</v>
      </c>
      <c r="LMU1" s="7" t="s">
        <v>8824</v>
      </c>
      <c r="LMV1" s="7" t="s">
        <v>8825</v>
      </c>
      <c r="LMW1" s="7" t="s">
        <v>8826</v>
      </c>
      <c r="LMX1" s="7" t="s">
        <v>8827</v>
      </c>
      <c r="LMY1" s="7" t="s">
        <v>8828</v>
      </c>
      <c r="LMZ1" s="7" t="s">
        <v>8829</v>
      </c>
      <c r="LNA1" s="7" t="s">
        <v>8830</v>
      </c>
      <c r="LNB1" s="7" t="s">
        <v>8831</v>
      </c>
      <c r="LNC1" s="7" t="s">
        <v>8832</v>
      </c>
      <c r="LND1" s="7" t="s">
        <v>8833</v>
      </c>
      <c r="LNE1" s="7" t="s">
        <v>8834</v>
      </c>
      <c r="LNF1" s="7" t="s">
        <v>8835</v>
      </c>
      <c r="LNG1" s="7" t="s">
        <v>8836</v>
      </c>
      <c r="LNH1" s="7" t="s">
        <v>8837</v>
      </c>
      <c r="LNI1" s="7" t="s">
        <v>8838</v>
      </c>
      <c r="LNJ1" s="7" t="s">
        <v>8839</v>
      </c>
      <c r="LNK1" s="7" t="s">
        <v>8840</v>
      </c>
      <c r="LNL1" s="7" t="s">
        <v>8841</v>
      </c>
      <c r="LNM1" s="7" t="s">
        <v>8842</v>
      </c>
      <c r="LNN1" s="7" t="s">
        <v>8843</v>
      </c>
      <c r="LNO1" s="7" t="s">
        <v>8844</v>
      </c>
      <c r="LNP1" s="7" t="s">
        <v>8845</v>
      </c>
      <c r="LNQ1" s="7" t="s">
        <v>8846</v>
      </c>
      <c r="LNR1" s="7" t="s">
        <v>8847</v>
      </c>
      <c r="LNS1" s="7" t="s">
        <v>8848</v>
      </c>
      <c r="LNT1" s="7" t="s">
        <v>8849</v>
      </c>
      <c r="LNU1" s="7" t="s">
        <v>8850</v>
      </c>
      <c r="LNV1" s="7" t="s">
        <v>8851</v>
      </c>
      <c r="LNW1" s="7" t="s">
        <v>8852</v>
      </c>
      <c r="LNX1" s="7" t="s">
        <v>8853</v>
      </c>
      <c r="LNY1" s="7" t="s">
        <v>8854</v>
      </c>
      <c r="LNZ1" s="7" t="s">
        <v>8855</v>
      </c>
      <c r="LOA1" s="7" t="s">
        <v>8856</v>
      </c>
      <c r="LOB1" s="7" t="s">
        <v>8857</v>
      </c>
      <c r="LOC1" s="7" t="s">
        <v>8858</v>
      </c>
      <c r="LOD1" s="7" t="s">
        <v>8859</v>
      </c>
      <c r="LOE1" s="7" t="s">
        <v>8860</v>
      </c>
      <c r="LOF1" s="7" t="s">
        <v>8861</v>
      </c>
      <c r="LOG1" s="7" t="s">
        <v>8862</v>
      </c>
      <c r="LOH1" s="7" t="s">
        <v>8863</v>
      </c>
      <c r="LOI1" s="7" t="s">
        <v>8864</v>
      </c>
      <c r="LOJ1" s="7" t="s">
        <v>8865</v>
      </c>
      <c r="LOK1" s="7" t="s">
        <v>8866</v>
      </c>
      <c r="LOL1" s="7" t="s">
        <v>8867</v>
      </c>
      <c r="LOM1" s="7" t="s">
        <v>8868</v>
      </c>
      <c r="LON1" s="7" t="s">
        <v>8869</v>
      </c>
      <c r="LOO1" s="7" t="s">
        <v>8870</v>
      </c>
      <c r="LOP1" s="7" t="s">
        <v>8871</v>
      </c>
      <c r="LOQ1" s="7" t="s">
        <v>8872</v>
      </c>
      <c r="LOR1" s="7" t="s">
        <v>8873</v>
      </c>
      <c r="LOS1" s="7" t="s">
        <v>8874</v>
      </c>
      <c r="LOT1" s="7" t="s">
        <v>8875</v>
      </c>
      <c r="LOU1" s="7" t="s">
        <v>8876</v>
      </c>
      <c r="LOV1" s="7" t="s">
        <v>8877</v>
      </c>
      <c r="LOW1" s="7" t="s">
        <v>8878</v>
      </c>
      <c r="LOX1" s="7" t="s">
        <v>8879</v>
      </c>
      <c r="LOY1" s="7" t="s">
        <v>8880</v>
      </c>
      <c r="LOZ1" s="7" t="s">
        <v>8881</v>
      </c>
      <c r="LPA1" s="7" t="s">
        <v>8882</v>
      </c>
      <c r="LPB1" s="7" t="s">
        <v>8883</v>
      </c>
      <c r="LPC1" s="7" t="s">
        <v>8884</v>
      </c>
      <c r="LPD1" s="7" t="s">
        <v>8885</v>
      </c>
      <c r="LPE1" s="7" t="s">
        <v>8886</v>
      </c>
      <c r="LPF1" s="7" t="s">
        <v>8887</v>
      </c>
      <c r="LPG1" s="7" t="s">
        <v>8888</v>
      </c>
      <c r="LPH1" s="7" t="s">
        <v>8889</v>
      </c>
      <c r="LPI1" s="7" t="s">
        <v>8890</v>
      </c>
      <c r="LPJ1" s="7" t="s">
        <v>8891</v>
      </c>
      <c r="LPK1" s="7" t="s">
        <v>8892</v>
      </c>
      <c r="LPL1" s="7" t="s">
        <v>8893</v>
      </c>
      <c r="LPM1" s="7" t="s">
        <v>8894</v>
      </c>
      <c r="LPN1" s="7" t="s">
        <v>8895</v>
      </c>
      <c r="LPO1" s="7" t="s">
        <v>8896</v>
      </c>
      <c r="LPP1" s="7" t="s">
        <v>8897</v>
      </c>
      <c r="LPQ1" s="7" t="s">
        <v>8898</v>
      </c>
      <c r="LPR1" s="7" t="s">
        <v>8899</v>
      </c>
      <c r="LPS1" s="7" t="s">
        <v>8900</v>
      </c>
      <c r="LPT1" s="7" t="s">
        <v>8901</v>
      </c>
      <c r="LPU1" s="7" t="s">
        <v>8902</v>
      </c>
      <c r="LPV1" s="7" t="s">
        <v>8903</v>
      </c>
      <c r="LPW1" s="7" t="s">
        <v>8904</v>
      </c>
      <c r="LPX1" s="7" t="s">
        <v>8905</v>
      </c>
      <c r="LPY1" s="7" t="s">
        <v>8906</v>
      </c>
      <c r="LPZ1" s="7" t="s">
        <v>8907</v>
      </c>
      <c r="LQA1" s="7" t="s">
        <v>8908</v>
      </c>
      <c r="LQB1" s="7" t="s">
        <v>8909</v>
      </c>
      <c r="LQC1" s="7" t="s">
        <v>8910</v>
      </c>
      <c r="LQD1" s="7" t="s">
        <v>8911</v>
      </c>
      <c r="LQE1" s="7" t="s">
        <v>8912</v>
      </c>
      <c r="LQF1" s="7" t="s">
        <v>8913</v>
      </c>
      <c r="LQG1" s="7" t="s">
        <v>8914</v>
      </c>
      <c r="LQH1" s="7" t="s">
        <v>8915</v>
      </c>
      <c r="LQI1" s="7" t="s">
        <v>8916</v>
      </c>
      <c r="LQJ1" s="7" t="s">
        <v>8917</v>
      </c>
      <c r="LQK1" s="7" t="s">
        <v>8918</v>
      </c>
      <c r="LQL1" s="7" t="s">
        <v>8919</v>
      </c>
      <c r="LQM1" s="7" t="s">
        <v>8920</v>
      </c>
      <c r="LQN1" s="7" t="s">
        <v>8921</v>
      </c>
      <c r="LQO1" s="7" t="s">
        <v>8922</v>
      </c>
      <c r="LQP1" s="7" t="s">
        <v>8923</v>
      </c>
      <c r="LQQ1" s="7" t="s">
        <v>8924</v>
      </c>
      <c r="LQR1" s="7" t="s">
        <v>8925</v>
      </c>
      <c r="LQS1" s="7" t="s">
        <v>8926</v>
      </c>
      <c r="LQT1" s="7" t="s">
        <v>8927</v>
      </c>
      <c r="LQU1" s="7" t="s">
        <v>8928</v>
      </c>
      <c r="LQV1" s="7" t="s">
        <v>8929</v>
      </c>
      <c r="LQW1" s="7" t="s">
        <v>8930</v>
      </c>
      <c r="LQX1" s="7" t="s">
        <v>8931</v>
      </c>
      <c r="LQY1" s="7" t="s">
        <v>8932</v>
      </c>
      <c r="LQZ1" s="7" t="s">
        <v>8933</v>
      </c>
      <c r="LRA1" s="7" t="s">
        <v>8934</v>
      </c>
      <c r="LRB1" s="7" t="s">
        <v>8935</v>
      </c>
      <c r="LRC1" s="7" t="s">
        <v>8936</v>
      </c>
      <c r="LRD1" s="7" t="s">
        <v>8937</v>
      </c>
      <c r="LRE1" s="7" t="s">
        <v>8938</v>
      </c>
      <c r="LRF1" s="7" t="s">
        <v>8939</v>
      </c>
      <c r="LRG1" s="7" t="s">
        <v>8940</v>
      </c>
      <c r="LRH1" s="7" t="s">
        <v>8941</v>
      </c>
      <c r="LRI1" s="7" t="s">
        <v>8942</v>
      </c>
      <c r="LRJ1" s="7" t="s">
        <v>8943</v>
      </c>
      <c r="LRK1" s="7" t="s">
        <v>8944</v>
      </c>
      <c r="LRL1" s="7" t="s">
        <v>8945</v>
      </c>
      <c r="LRM1" s="7" t="s">
        <v>8946</v>
      </c>
      <c r="LRN1" s="7" t="s">
        <v>8947</v>
      </c>
      <c r="LRO1" s="7" t="s">
        <v>8948</v>
      </c>
      <c r="LRP1" s="7" t="s">
        <v>8949</v>
      </c>
      <c r="LRQ1" s="7" t="s">
        <v>8950</v>
      </c>
      <c r="LRR1" s="7" t="s">
        <v>8951</v>
      </c>
      <c r="LRS1" s="7" t="s">
        <v>8952</v>
      </c>
      <c r="LRT1" s="7" t="s">
        <v>8953</v>
      </c>
      <c r="LRU1" s="7" t="s">
        <v>8954</v>
      </c>
      <c r="LRV1" s="7" t="s">
        <v>8955</v>
      </c>
      <c r="LRW1" s="7" t="s">
        <v>8956</v>
      </c>
      <c r="LRX1" s="7" t="s">
        <v>8957</v>
      </c>
      <c r="LRY1" s="7" t="s">
        <v>8958</v>
      </c>
      <c r="LRZ1" s="7" t="s">
        <v>8959</v>
      </c>
      <c r="LSA1" s="7" t="s">
        <v>8960</v>
      </c>
      <c r="LSB1" s="7" t="s">
        <v>8961</v>
      </c>
      <c r="LSC1" s="7" t="s">
        <v>8962</v>
      </c>
      <c r="LSD1" s="7" t="s">
        <v>8963</v>
      </c>
      <c r="LSE1" s="7" t="s">
        <v>8964</v>
      </c>
      <c r="LSF1" s="7" t="s">
        <v>8965</v>
      </c>
      <c r="LSG1" s="7" t="s">
        <v>8966</v>
      </c>
      <c r="LSH1" s="7" t="s">
        <v>8967</v>
      </c>
      <c r="LSI1" s="7" t="s">
        <v>8968</v>
      </c>
      <c r="LSJ1" s="7" t="s">
        <v>8969</v>
      </c>
      <c r="LSK1" s="7" t="s">
        <v>8970</v>
      </c>
      <c r="LSL1" s="7" t="s">
        <v>8971</v>
      </c>
      <c r="LSM1" s="7" t="s">
        <v>8972</v>
      </c>
      <c r="LSN1" s="7" t="s">
        <v>8973</v>
      </c>
      <c r="LSO1" s="7" t="s">
        <v>8974</v>
      </c>
      <c r="LSP1" s="7" t="s">
        <v>8975</v>
      </c>
      <c r="LSQ1" s="7" t="s">
        <v>8976</v>
      </c>
      <c r="LSR1" s="7" t="s">
        <v>8977</v>
      </c>
      <c r="LSS1" s="7" t="s">
        <v>8978</v>
      </c>
      <c r="LST1" s="7" t="s">
        <v>8979</v>
      </c>
      <c r="LSU1" s="7" t="s">
        <v>8980</v>
      </c>
      <c r="LSV1" s="7" t="s">
        <v>8981</v>
      </c>
      <c r="LSW1" s="7" t="s">
        <v>8982</v>
      </c>
      <c r="LSX1" s="7" t="s">
        <v>8983</v>
      </c>
      <c r="LSY1" s="7" t="s">
        <v>8984</v>
      </c>
      <c r="LSZ1" s="7" t="s">
        <v>8985</v>
      </c>
      <c r="LTA1" s="7" t="s">
        <v>8986</v>
      </c>
      <c r="LTB1" s="7" t="s">
        <v>8987</v>
      </c>
      <c r="LTC1" s="7" t="s">
        <v>8988</v>
      </c>
      <c r="LTD1" s="7" t="s">
        <v>8989</v>
      </c>
      <c r="LTE1" s="7" t="s">
        <v>8990</v>
      </c>
      <c r="LTF1" s="7" t="s">
        <v>8991</v>
      </c>
      <c r="LTG1" s="7" t="s">
        <v>8992</v>
      </c>
      <c r="LTH1" s="7" t="s">
        <v>8993</v>
      </c>
      <c r="LTI1" s="7" t="s">
        <v>8994</v>
      </c>
      <c r="LTJ1" s="7" t="s">
        <v>8995</v>
      </c>
      <c r="LTK1" s="7" t="s">
        <v>8996</v>
      </c>
      <c r="LTL1" s="7" t="s">
        <v>8997</v>
      </c>
      <c r="LTM1" s="7" t="s">
        <v>8998</v>
      </c>
      <c r="LTN1" s="7" t="s">
        <v>8999</v>
      </c>
      <c r="LTO1" s="7" t="s">
        <v>9000</v>
      </c>
      <c r="LTP1" s="7" t="s">
        <v>9001</v>
      </c>
      <c r="LTQ1" s="7" t="s">
        <v>9002</v>
      </c>
      <c r="LTR1" s="7" t="s">
        <v>9003</v>
      </c>
      <c r="LTS1" s="7" t="s">
        <v>9004</v>
      </c>
      <c r="LTT1" s="7" t="s">
        <v>9005</v>
      </c>
      <c r="LTU1" s="7" t="s">
        <v>9006</v>
      </c>
      <c r="LTV1" s="7" t="s">
        <v>9007</v>
      </c>
      <c r="LTW1" s="7" t="s">
        <v>9008</v>
      </c>
      <c r="LTX1" s="7" t="s">
        <v>9009</v>
      </c>
      <c r="LTY1" s="7" t="s">
        <v>9010</v>
      </c>
      <c r="LTZ1" s="7" t="s">
        <v>9011</v>
      </c>
      <c r="LUA1" s="7" t="s">
        <v>9012</v>
      </c>
      <c r="LUB1" s="7" t="s">
        <v>9013</v>
      </c>
      <c r="LUC1" s="7" t="s">
        <v>9014</v>
      </c>
      <c r="LUD1" s="7" t="s">
        <v>9015</v>
      </c>
      <c r="LUE1" s="7" t="s">
        <v>9016</v>
      </c>
      <c r="LUF1" s="7" t="s">
        <v>9017</v>
      </c>
      <c r="LUG1" s="7" t="s">
        <v>9018</v>
      </c>
      <c r="LUH1" s="7" t="s">
        <v>9019</v>
      </c>
      <c r="LUI1" s="7" t="s">
        <v>9020</v>
      </c>
      <c r="LUJ1" s="7" t="s">
        <v>9021</v>
      </c>
      <c r="LUK1" s="7" t="s">
        <v>9022</v>
      </c>
      <c r="LUL1" s="7" t="s">
        <v>9023</v>
      </c>
      <c r="LUM1" s="7" t="s">
        <v>9024</v>
      </c>
      <c r="LUN1" s="7" t="s">
        <v>9025</v>
      </c>
      <c r="LUO1" s="7" t="s">
        <v>9026</v>
      </c>
      <c r="LUP1" s="7" t="s">
        <v>9027</v>
      </c>
      <c r="LUQ1" s="7" t="s">
        <v>9028</v>
      </c>
      <c r="LUR1" s="7" t="s">
        <v>9029</v>
      </c>
      <c r="LUS1" s="7" t="s">
        <v>9030</v>
      </c>
      <c r="LUT1" s="7" t="s">
        <v>9031</v>
      </c>
      <c r="LUU1" s="7" t="s">
        <v>9032</v>
      </c>
      <c r="LUV1" s="7" t="s">
        <v>9033</v>
      </c>
      <c r="LUW1" s="7" t="s">
        <v>9034</v>
      </c>
      <c r="LUX1" s="7" t="s">
        <v>9035</v>
      </c>
      <c r="LUY1" s="7" t="s">
        <v>9036</v>
      </c>
      <c r="LUZ1" s="7" t="s">
        <v>9037</v>
      </c>
      <c r="LVA1" s="7" t="s">
        <v>9038</v>
      </c>
      <c r="LVB1" s="7" t="s">
        <v>9039</v>
      </c>
      <c r="LVC1" s="7" t="s">
        <v>9040</v>
      </c>
      <c r="LVD1" s="7" t="s">
        <v>9041</v>
      </c>
      <c r="LVE1" s="7" t="s">
        <v>9042</v>
      </c>
      <c r="LVF1" s="7" t="s">
        <v>9043</v>
      </c>
      <c r="LVG1" s="7" t="s">
        <v>9044</v>
      </c>
      <c r="LVH1" s="7" t="s">
        <v>9045</v>
      </c>
      <c r="LVI1" s="7" t="s">
        <v>9046</v>
      </c>
      <c r="LVJ1" s="7" t="s">
        <v>9047</v>
      </c>
      <c r="LVK1" s="7" t="s">
        <v>9048</v>
      </c>
      <c r="LVL1" s="7" t="s">
        <v>9049</v>
      </c>
      <c r="LVM1" s="7" t="s">
        <v>9050</v>
      </c>
      <c r="LVN1" s="7" t="s">
        <v>9051</v>
      </c>
      <c r="LVO1" s="7" t="s">
        <v>9052</v>
      </c>
      <c r="LVP1" s="7" t="s">
        <v>9053</v>
      </c>
      <c r="LVQ1" s="7" t="s">
        <v>9054</v>
      </c>
      <c r="LVR1" s="7" t="s">
        <v>9055</v>
      </c>
      <c r="LVS1" s="7" t="s">
        <v>9056</v>
      </c>
      <c r="LVT1" s="7" t="s">
        <v>9057</v>
      </c>
      <c r="LVU1" s="7" t="s">
        <v>9058</v>
      </c>
      <c r="LVV1" s="7" t="s">
        <v>9059</v>
      </c>
      <c r="LVW1" s="7" t="s">
        <v>9060</v>
      </c>
      <c r="LVX1" s="7" t="s">
        <v>9061</v>
      </c>
      <c r="LVY1" s="7" t="s">
        <v>9062</v>
      </c>
      <c r="LVZ1" s="7" t="s">
        <v>9063</v>
      </c>
      <c r="LWA1" s="7" t="s">
        <v>9064</v>
      </c>
      <c r="LWB1" s="7" t="s">
        <v>9065</v>
      </c>
      <c r="LWC1" s="7" t="s">
        <v>9066</v>
      </c>
      <c r="LWD1" s="7" t="s">
        <v>9067</v>
      </c>
      <c r="LWE1" s="7" t="s">
        <v>9068</v>
      </c>
      <c r="LWF1" s="7" t="s">
        <v>9069</v>
      </c>
      <c r="LWG1" s="7" t="s">
        <v>9070</v>
      </c>
      <c r="LWH1" s="7" t="s">
        <v>9071</v>
      </c>
      <c r="LWI1" s="7" t="s">
        <v>9072</v>
      </c>
      <c r="LWJ1" s="7" t="s">
        <v>9073</v>
      </c>
      <c r="LWK1" s="7" t="s">
        <v>9074</v>
      </c>
      <c r="LWL1" s="7" t="s">
        <v>9075</v>
      </c>
      <c r="LWM1" s="7" t="s">
        <v>9076</v>
      </c>
      <c r="LWN1" s="7" t="s">
        <v>9077</v>
      </c>
      <c r="LWO1" s="7" t="s">
        <v>9078</v>
      </c>
      <c r="LWP1" s="7" t="s">
        <v>9079</v>
      </c>
      <c r="LWQ1" s="7" t="s">
        <v>9080</v>
      </c>
      <c r="LWR1" s="7" t="s">
        <v>9081</v>
      </c>
      <c r="LWS1" s="7" t="s">
        <v>9082</v>
      </c>
      <c r="LWT1" s="7" t="s">
        <v>9083</v>
      </c>
      <c r="LWU1" s="7" t="s">
        <v>9084</v>
      </c>
      <c r="LWV1" s="7" t="s">
        <v>9085</v>
      </c>
      <c r="LWW1" s="7" t="s">
        <v>9086</v>
      </c>
      <c r="LWX1" s="7" t="s">
        <v>9087</v>
      </c>
      <c r="LWY1" s="7" t="s">
        <v>9088</v>
      </c>
      <c r="LWZ1" s="7" t="s">
        <v>9089</v>
      </c>
      <c r="LXA1" s="7" t="s">
        <v>9090</v>
      </c>
      <c r="LXB1" s="7" t="s">
        <v>9091</v>
      </c>
      <c r="LXC1" s="7" t="s">
        <v>9092</v>
      </c>
      <c r="LXD1" s="7" t="s">
        <v>9093</v>
      </c>
      <c r="LXE1" s="7" t="s">
        <v>9094</v>
      </c>
      <c r="LXF1" s="7" t="s">
        <v>9095</v>
      </c>
      <c r="LXG1" s="7" t="s">
        <v>9096</v>
      </c>
      <c r="LXH1" s="7" t="s">
        <v>9097</v>
      </c>
      <c r="LXI1" s="7" t="s">
        <v>9098</v>
      </c>
      <c r="LXJ1" s="7" t="s">
        <v>9099</v>
      </c>
      <c r="LXK1" s="7" t="s">
        <v>9100</v>
      </c>
      <c r="LXL1" s="7" t="s">
        <v>9101</v>
      </c>
      <c r="LXM1" s="7" t="s">
        <v>9102</v>
      </c>
      <c r="LXN1" s="7" t="s">
        <v>9103</v>
      </c>
      <c r="LXO1" s="7" t="s">
        <v>9104</v>
      </c>
      <c r="LXP1" s="7" t="s">
        <v>9105</v>
      </c>
      <c r="LXQ1" s="7" t="s">
        <v>9106</v>
      </c>
      <c r="LXR1" s="7" t="s">
        <v>9107</v>
      </c>
      <c r="LXS1" s="7" t="s">
        <v>9108</v>
      </c>
      <c r="LXT1" s="7" t="s">
        <v>9109</v>
      </c>
      <c r="LXU1" s="7" t="s">
        <v>9110</v>
      </c>
      <c r="LXV1" s="7" t="s">
        <v>9111</v>
      </c>
      <c r="LXW1" s="7" t="s">
        <v>9112</v>
      </c>
      <c r="LXX1" s="7" t="s">
        <v>9113</v>
      </c>
      <c r="LXY1" s="7" t="s">
        <v>9114</v>
      </c>
      <c r="LXZ1" s="7" t="s">
        <v>9115</v>
      </c>
      <c r="LYA1" s="7" t="s">
        <v>9116</v>
      </c>
      <c r="LYB1" s="7" t="s">
        <v>9117</v>
      </c>
      <c r="LYC1" s="7" t="s">
        <v>9118</v>
      </c>
      <c r="LYD1" s="7" t="s">
        <v>9119</v>
      </c>
      <c r="LYE1" s="7" t="s">
        <v>9120</v>
      </c>
      <c r="LYF1" s="7" t="s">
        <v>9121</v>
      </c>
      <c r="LYG1" s="7" t="s">
        <v>9122</v>
      </c>
      <c r="LYH1" s="7" t="s">
        <v>9123</v>
      </c>
      <c r="LYI1" s="7" t="s">
        <v>9124</v>
      </c>
      <c r="LYJ1" s="7" t="s">
        <v>9125</v>
      </c>
      <c r="LYK1" s="7" t="s">
        <v>9126</v>
      </c>
      <c r="LYL1" s="7" t="s">
        <v>9127</v>
      </c>
      <c r="LYM1" s="7" t="s">
        <v>9128</v>
      </c>
      <c r="LYN1" s="7" t="s">
        <v>9129</v>
      </c>
      <c r="LYO1" s="7" t="s">
        <v>9130</v>
      </c>
      <c r="LYP1" s="7" t="s">
        <v>9131</v>
      </c>
      <c r="LYQ1" s="7" t="s">
        <v>9132</v>
      </c>
      <c r="LYR1" s="7" t="s">
        <v>9133</v>
      </c>
      <c r="LYS1" s="7" t="s">
        <v>9134</v>
      </c>
      <c r="LYT1" s="7" t="s">
        <v>9135</v>
      </c>
      <c r="LYU1" s="7" t="s">
        <v>9136</v>
      </c>
      <c r="LYV1" s="7" t="s">
        <v>9137</v>
      </c>
      <c r="LYW1" s="7" t="s">
        <v>9138</v>
      </c>
      <c r="LYX1" s="7" t="s">
        <v>9139</v>
      </c>
      <c r="LYY1" s="7" t="s">
        <v>9140</v>
      </c>
      <c r="LYZ1" s="7" t="s">
        <v>9141</v>
      </c>
      <c r="LZA1" s="7" t="s">
        <v>9142</v>
      </c>
      <c r="LZB1" s="7" t="s">
        <v>9143</v>
      </c>
      <c r="LZC1" s="7" t="s">
        <v>9144</v>
      </c>
      <c r="LZD1" s="7" t="s">
        <v>9145</v>
      </c>
      <c r="LZE1" s="7" t="s">
        <v>9146</v>
      </c>
      <c r="LZF1" s="7" t="s">
        <v>9147</v>
      </c>
      <c r="LZG1" s="7" t="s">
        <v>9148</v>
      </c>
      <c r="LZH1" s="7" t="s">
        <v>9149</v>
      </c>
      <c r="LZI1" s="7" t="s">
        <v>9150</v>
      </c>
      <c r="LZJ1" s="7" t="s">
        <v>9151</v>
      </c>
      <c r="LZK1" s="7" t="s">
        <v>9152</v>
      </c>
      <c r="LZL1" s="7" t="s">
        <v>9153</v>
      </c>
      <c r="LZM1" s="7" t="s">
        <v>9154</v>
      </c>
      <c r="LZN1" s="7" t="s">
        <v>9155</v>
      </c>
      <c r="LZO1" s="7" t="s">
        <v>9156</v>
      </c>
      <c r="LZP1" s="7" t="s">
        <v>9157</v>
      </c>
      <c r="LZQ1" s="7" t="s">
        <v>9158</v>
      </c>
      <c r="LZR1" s="7" t="s">
        <v>9159</v>
      </c>
      <c r="LZS1" s="7" t="s">
        <v>9160</v>
      </c>
      <c r="LZT1" s="7" t="s">
        <v>9161</v>
      </c>
      <c r="LZU1" s="7" t="s">
        <v>9162</v>
      </c>
      <c r="LZV1" s="7" t="s">
        <v>9163</v>
      </c>
      <c r="LZW1" s="7" t="s">
        <v>9164</v>
      </c>
      <c r="LZX1" s="7" t="s">
        <v>9165</v>
      </c>
      <c r="LZY1" s="7" t="s">
        <v>9166</v>
      </c>
      <c r="LZZ1" s="7" t="s">
        <v>9167</v>
      </c>
      <c r="MAA1" s="7" t="s">
        <v>9168</v>
      </c>
      <c r="MAB1" s="7" t="s">
        <v>9169</v>
      </c>
      <c r="MAC1" s="7" t="s">
        <v>9170</v>
      </c>
      <c r="MAD1" s="7" t="s">
        <v>9171</v>
      </c>
      <c r="MAE1" s="7" t="s">
        <v>9172</v>
      </c>
      <c r="MAF1" s="7" t="s">
        <v>9173</v>
      </c>
      <c r="MAG1" s="7" t="s">
        <v>9174</v>
      </c>
      <c r="MAH1" s="7" t="s">
        <v>9175</v>
      </c>
      <c r="MAI1" s="7" t="s">
        <v>9176</v>
      </c>
      <c r="MAJ1" s="7" t="s">
        <v>9177</v>
      </c>
      <c r="MAK1" s="7" t="s">
        <v>9178</v>
      </c>
      <c r="MAL1" s="7" t="s">
        <v>9179</v>
      </c>
      <c r="MAM1" s="7" t="s">
        <v>9180</v>
      </c>
      <c r="MAN1" s="7" t="s">
        <v>9181</v>
      </c>
      <c r="MAO1" s="7" t="s">
        <v>9182</v>
      </c>
      <c r="MAP1" s="7" t="s">
        <v>9183</v>
      </c>
      <c r="MAQ1" s="7" t="s">
        <v>9184</v>
      </c>
      <c r="MAR1" s="7" t="s">
        <v>9185</v>
      </c>
      <c r="MAS1" s="7" t="s">
        <v>9186</v>
      </c>
      <c r="MAT1" s="7" t="s">
        <v>9187</v>
      </c>
      <c r="MAU1" s="7" t="s">
        <v>9188</v>
      </c>
      <c r="MAV1" s="7" t="s">
        <v>9189</v>
      </c>
      <c r="MAW1" s="7" t="s">
        <v>9190</v>
      </c>
      <c r="MAX1" s="7" t="s">
        <v>9191</v>
      </c>
      <c r="MAY1" s="7" t="s">
        <v>9192</v>
      </c>
      <c r="MAZ1" s="7" t="s">
        <v>9193</v>
      </c>
      <c r="MBA1" s="7" t="s">
        <v>9194</v>
      </c>
      <c r="MBB1" s="7" t="s">
        <v>9195</v>
      </c>
      <c r="MBC1" s="7" t="s">
        <v>9196</v>
      </c>
      <c r="MBD1" s="7" t="s">
        <v>9197</v>
      </c>
      <c r="MBE1" s="7" t="s">
        <v>9198</v>
      </c>
      <c r="MBF1" s="7" t="s">
        <v>9199</v>
      </c>
      <c r="MBG1" s="7" t="s">
        <v>9200</v>
      </c>
      <c r="MBH1" s="7" t="s">
        <v>9201</v>
      </c>
      <c r="MBI1" s="7" t="s">
        <v>9202</v>
      </c>
      <c r="MBJ1" s="7" t="s">
        <v>9203</v>
      </c>
      <c r="MBK1" s="7" t="s">
        <v>9204</v>
      </c>
      <c r="MBL1" s="7" t="s">
        <v>9205</v>
      </c>
      <c r="MBM1" s="7" t="s">
        <v>9206</v>
      </c>
      <c r="MBN1" s="7" t="s">
        <v>9207</v>
      </c>
      <c r="MBO1" s="7" t="s">
        <v>9208</v>
      </c>
      <c r="MBP1" s="7" t="s">
        <v>9209</v>
      </c>
      <c r="MBQ1" s="7" t="s">
        <v>9210</v>
      </c>
      <c r="MBR1" s="7" t="s">
        <v>9211</v>
      </c>
      <c r="MBS1" s="7" t="s">
        <v>9212</v>
      </c>
      <c r="MBT1" s="7" t="s">
        <v>9213</v>
      </c>
      <c r="MBU1" s="7" t="s">
        <v>9214</v>
      </c>
      <c r="MBV1" s="7" t="s">
        <v>9215</v>
      </c>
      <c r="MBW1" s="7" t="s">
        <v>9216</v>
      </c>
      <c r="MBX1" s="7" t="s">
        <v>9217</v>
      </c>
      <c r="MBY1" s="7" t="s">
        <v>9218</v>
      </c>
      <c r="MBZ1" s="7" t="s">
        <v>9219</v>
      </c>
      <c r="MCA1" s="7" t="s">
        <v>9220</v>
      </c>
      <c r="MCB1" s="7" t="s">
        <v>9221</v>
      </c>
      <c r="MCC1" s="7" t="s">
        <v>9222</v>
      </c>
      <c r="MCD1" s="7" t="s">
        <v>9223</v>
      </c>
      <c r="MCE1" s="7" t="s">
        <v>9224</v>
      </c>
      <c r="MCF1" s="7" t="s">
        <v>9225</v>
      </c>
      <c r="MCG1" s="7" t="s">
        <v>9226</v>
      </c>
      <c r="MCH1" s="7" t="s">
        <v>9227</v>
      </c>
      <c r="MCI1" s="7" t="s">
        <v>9228</v>
      </c>
      <c r="MCJ1" s="7" t="s">
        <v>9229</v>
      </c>
      <c r="MCK1" s="7" t="s">
        <v>9230</v>
      </c>
      <c r="MCL1" s="7" t="s">
        <v>9231</v>
      </c>
      <c r="MCM1" s="7" t="s">
        <v>9232</v>
      </c>
      <c r="MCN1" s="7" t="s">
        <v>9233</v>
      </c>
      <c r="MCO1" s="7" t="s">
        <v>9234</v>
      </c>
      <c r="MCP1" s="7" t="s">
        <v>9235</v>
      </c>
      <c r="MCQ1" s="7" t="s">
        <v>9236</v>
      </c>
      <c r="MCR1" s="7" t="s">
        <v>9237</v>
      </c>
      <c r="MCS1" s="7" t="s">
        <v>9238</v>
      </c>
      <c r="MCT1" s="7" t="s">
        <v>9239</v>
      </c>
      <c r="MCU1" s="7" t="s">
        <v>9240</v>
      </c>
      <c r="MCV1" s="7" t="s">
        <v>9241</v>
      </c>
      <c r="MCW1" s="7" t="s">
        <v>9242</v>
      </c>
      <c r="MCX1" s="7" t="s">
        <v>9243</v>
      </c>
      <c r="MCY1" s="7" t="s">
        <v>9244</v>
      </c>
      <c r="MCZ1" s="7" t="s">
        <v>9245</v>
      </c>
      <c r="MDA1" s="7" t="s">
        <v>9246</v>
      </c>
      <c r="MDB1" s="7" t="s">
        <v>9247</v>
      </c>
      <c r="MDC1" s="7" t="s">
        <v>9248</v>
      </c>
      <c r="MDD1" s="7" t="s">
        <v>9249</v>
      </c>
      <c r="MDE1" s="7" t="s">
        <v>9250</v>
      </c>
      <c r="MDF1" s="7" t="s">
        <v>9251</v>
      </c>
      <c r="MDG1" s="7" t="s">
        <v>9252</v>
      </c>
      <c r="MDH1" s="7" t="s">
        <v>9253</v>
      </c>
      <c r="MDI1" s="7" t="s">
        <v>9254</v>
      </c>
      <c r="MDJ1" s="7" t="s">
        <v>9255</v>
      </c>
      <c r="MDK1" s="7" t="s">
        <v>9256</v>
      </c>
      <c r="MDL1" s="7" t="s">
        <v>9257</v>
      </c>
      <c r="MDM1" s="7" t="s">
        <v>9258</v>
      </c>
      <c r="MDN1" s="7" t="s">
        <v>9259</v>
      </c>
      <c r="MDO1" s="7" t="s">
        <v>9260</v>
      </c>
      <c r="MDP1" s="7" t="s">
        <v>9261</v>
      </c>
      <c r="MDQ1" s="7" t="s">
        <v>9262</v>
      </c>
      <c r="MDR1" s="7" t="s">
        <v>9263</v>
      </c>
      <c r="MDS1" s="7" t="s">
        <v>9264</v>
      </c>
      <c r="MDT1" s="7" t="s">
        <v>9265</v>
      </c>
      <c r="MDU1" s="7" t="s">
        <v>9266</v>
      </c>
      <c r="MDV1" s="7" t="s">
        <v>9267</v>
      </c>
      <c r="MDW1" s="7" t="s">
        <v>9268</v>
      </c>
      <c r="MDX1" s="7" t="s">
        <v>9269</v>
      </c>
      <c r="MDY1" s="7" t="s">
        <v>9270</v>
      </c>
      <c r="MDZ1" s="7" t="s">
        <v>9271</v>
      </c>
      <c r="MEA1" s="7" t="s">
        <v>9272</v>
      </c>
      <c r="MEB1" s="7" t="s">
        <v>9273</v>
      </c>
      <c r="MEC1" s="7" t="s">
        <v>9274</v>
      </c>
      <c r="MED1" s="7" t="s">
        <v>9275</v>
      </c>
      <c r="MEE1" s="7" t="s">
        <v>9276</v>
      </c>
      <c r="MEF1" s="7" t="s">
        <v>9277</v>
      </c>
      <c r="MEG1" s="7" t="s">
        <v>9278</v>
      </c>
      <c r="MEH1" s="7" t="s">
        <v>9279</v>
      </c>
      <c r="MEI1" s="7" t="s">
        <v>9280</v>
      </c>
      <c r="MEJ1" s="7" t="s">
        <v>9281</v>
      </c>
      <c r="MEK1" s="7" t="s">
        <v>9282</v>
      </c>
      <c r="MEL1" s="7" t="s">
        <v>9283</v>
      </c>
      <c r="MEM1" s="7" t="s">
        <v>9284</v>
      </c>
      <c r="MEN1" s="7" t="s">
        <v>9285</v>
      </c>
      <c r="MEO1" s="7" t="s">
        <v>9286</v>
      </c>
      <c r="MEP1" s="7" t="s">
        <v>9287</v>
      </c>
      <c r="MEQ1" s="7" t="s">
        <v>9288</v>
      </c>
      <c r="MER1" s="7" t="s">
        <v>9289</v>
      </c>
      <c r="MES1" s="7" t="s">
        <v>9290</v>
      </c>
      <c r="MET1" s="7" t="s">
        <v>9291</v>
      </c>
      <c r="MEU1" s="7" t="s">
        <v>9292</v>
      </c>
      <c r="MEV1" s="7" t="s">
        <v>9293</v>
      </c>
      <c r="MEW1" s="7" t="s">
        <v>9294</v>
      </c>
      <c r="MEX1" s="7" t="s">
        <v>9295</v>
      </c>
      <c r="MEY1" s="7" t="s">
        <v>9296</v>
      </c>
      <c r="MEZ1" s="7" t="s">
        <v>9297</v>
      </c>
      <c r="MFA1" s="7" t="s">
        <v>9298</v>
      </c>
      <c r="MFB1" s="7" t="s">
        <v>9299</v>
      </c>
      <c r="MFC1" s="7" t="s">
        <v>9300</v>
      </c>
      <c r="MFD1" s="7" t="s">
        <v>9301</v>
      </c>
      <c r="MFE1" s="7" t="s">
        <v>9302</v>
      </c>
      <c r="MFF1" s="7" t="s">
        <v>9303</v>
      </c>
      <c r="MFG1" s="7" t="s">
        <v>9304</v>
      </c>
      <c r="MFH1" s="7" t="s">
        <v>9305</v>
      </c>
      <c r="MFI1" s="7" t="s">
        <v>9306</v>
      </c>
      <c r="MFJ1" s="7" t="s">
        <v>9307</v>
      </c>
      <c r="MFK1" s="7" t="s">
        <v>9308</v>
      </c>
      <c r="MFL1" s="7" t="s">
        <v>9309</v>
      </c>
      <c r="MFM1" s="7" t="s">
        <v>9310</v>
      </c>
      <c r="MFN1" s="7" t="s">
        <v>9311</v>
      </c>
      <c r="MFO1" s="7" t="s">
        <v>9312</v>
      </c>
      <c r="MFP1" s="7" t="s">
        <v>9313</v>
      </c>
      <c r="MFQ1" s="7" t="s">
        <v>9314</v>
      </c>
      <c r="MFR1" s="7" t="s">
        <v>9315</v>
      </c>
      <c r="MFS1" s="7" t="s">
        <v>9316</v>
      </c>
      <c r="MFT1" s="7" t="s">
        <v>9317</v>
      </c>
      <c r="MFU1" s="7" t="s">
        <v>9318</v>
      </c>
      <c r="MFV1" s="7" t="s">
        <v>9319</v>
      </c>
      <c r="MFW1" s="7" t="s">
        <v>9320</v>
      </c>
      <c r="MFX1" s="7" t="s">
        <v>9321</v>
      </c>
      <c r="MFY1" s="7" t="s">
        <v>9322</v>
      </c>
      <c r="MFZ1" s="7" t="s">
        <v>9323</v>
      </c>
      <c r="MGA1" s="7" t="s">
        <v>9324</v>
      </c>
      <c r="MGB1" s="7" t="s">
        <v>9325</v>
      </c>
      <c r="MGC1" s="7" t="s">
        <v>9326</v>
      </c>
      <c r="MGD1" s="7" t="s">
        <v>9327</v>
      </c>
      <c r="MGE1" s="7" t="s">
        <v>9328</v>
      </c>
      <c r="MGF1" s="7" t="s">
        <v>9329</v>
      </c>
      <c r="MGG1" s="7" t="s">
        <v>9330</v>
      </c>
      <c r="MGH1" s="7" t="s">
        <v>9331</v>
      </c>
      <c r="MGI1" s="7" t="s">
        <v>9332</v>
      </c>
      <c r="MGJ1" s="7" t="s">
        <v>9333</v>
      </c>
      <c r="MGK1" s="7" t="s">
        <v>9334</v>
      </c>
      <c r="MGL1" s="7" t="s">
        <v>9335</v>
      </c>
      <c r="MGM1" s="7" t="s">
        <v>9336</v>
      </c>
      <c r="MGN1" s="7" t="s">
        <v>9337</v>
      </c>
      <c r="MGO1" s="7" t="s">
        <v>9338</v>
      </c>
      <c r="MGP1" s="7" t="s">
        <v>9339</v>
      </c>
      <c r="MGQ1" s="7" t="s">
        <v>9340</v>
      </c>
      <c r="MGR1" s="7" t="s">
        <v>9341</v>
      </c>
      <c r="MGS1" s="7" t="s">
        <v>9342</v>
      </c>
      <c r="MGT1" s="7" t="s">
        <v>9343</v>
      </c>
      <c r="MGU1" s="7" t="s">
        <v>9344</v>
      </c>
      <c r="MGV1" s="7" t="s">
        <v>9345</v>
      </c>
      <c r="MGW1" s="7" t="s">
        <v>9346</v>
      </c>
      <c r="MGX1" s="7" t="s">
        <v>9347</v>
      </c>
      <c r="MGY1" s="7" t="s">
        <v>9348</v>
      </c>
      <c r="MGZ1" s="7" t="s">
        <v>9349</v>
      </c>
      <c r="MHA1" s="7" t="s">
        <v>9350</v>
      </c>
      <c r="MHB1" s="7" t="s">
        <v>9351</v>
      </c>
      <c r="MHC1" s="7" t="s">
        <v>9352</v>
      </c>
      <c r="MHD1" s="7" t="s">
        <v>9353</v>
      </c>
      <c r="MHE1" s="7" t="s">
        <v>9354</v>
      </c>
      <c r="MHF1" s="7" t="s">
        <v>9355</v>
      </c>
      <c r="MHG1" s="7" t="s">
        <v>9356</v>
      </c>
      <c r="MHH1" s="7" t="s">
        <v>9357</v>
      </c>
      <c r="MHI1" s="7" t="s">
        <v>9358</v>
      </c>
      <c r="MHJ1" s="7" t="s">
        <v>9359</v>
      </c>
      <c r="MHK1" s="7" t="s">
        <v>9360</v>
      </c>
      <c r="MHL1" s="7" t="s">
        <v>9361</v>
      </c>
      <c r="MHM1" s="7" t="s">
        <v>9362</v>
      </c>
      <c r="MHN1" s="7" t="s">
        <v>9363</v>
      </c>
      <c r="MHO1" s="7" t="s">
        <v>9364</v>
      </c>
      <c r="MHP1" s="7" t="s">
        <v>9365</v>
      </c>
      <c r="MHQ1" s="7" t="s">
        <v>9366</v>
      </c>
      <c r="MHR1" s="7" t="s">
        <v>9367</v>
      </c>
      <c r="MHS1" s="7" t="s">
        <v>9368</v>
      </c>
      <c r="MHT1" s="7" t="s">
        <v>9369</v>
      </c>
      <c r="MHU1" s="7" t="s">
        <v>9370</v>
      </c>
      <c r="MHV1" s="7" t="s">
        <v>9371</v>
      </c>
      <c r="MHW1" s="7" t="s">
        <v>9372</v>
      </c>
      <c r="MHX1" s="7" t="s">
        <v>9373</v>
      </c>
      <c r="MHY1" s="7" t="s">
        <v>9374</v>
      </c>
      <c r="MHZ1" s="7" t="s">
        <v>9375</v>
      </c>
      <c r="MIA1" s="7" t="s">
        <v>9376</v>
      </c>
      <c r="MIB1" s="7" t="s">
        <v>9377</v>
      </c>
      <c r="MIC1" s="7" t="s">
        <v>9378</v>
      </c>
      <c r="MID1" s="7" t="s">
        <v>9379</v>
      </c>
      <c r="MIE1" s="7" t="s">
        <v>9380</v>
      </c>
      <c r="MIF1" s="7" t="s">
        <v>9381</v>
      </c>
      <c r="MIG1" s="7" t="s">
        <v>9382</v>
      </c>
      <c r="MIH1" s="7" t="s">
        <v>9383</v>
      </c>
      <c r="MII1" s="7" t="s">
        <v>9384</v>
      </c>
      <c r="MIJ1" s="7" t="s">
        <v>9385</v>
      </c>
      <c r="MIK1" s="7" t="s">
        <v>9386</v>
      </c>
      <c r="MIL1" s="7" t="s">
        <v>9387</v>
      </c>
      <c r="MIM1" s="7" t="s">
        <v>9388</v>
      </c>
      <c r="MIN1" s="7" t="s">
        <v>9389</v>
      </c>
      <c r="MIO1" s="7" t="s">
        <v>9390</v>
      </c>
      <c r="MIP1" s="7" t="s">
        <v>9391</v>
      </c>
      <c r="MIQ1" s="7" t="s">
        <v>9392</v>
      </c>
      <c r="MIR1" s="7" t="s">
        <v>9393</v>
      </c>
      <c r="MIS1" s="7" t="s">
        <v>9394</v>
      </c>
      <c r="MIT1" s="7" t="s">
        <v>9395</v>
      </c>
      <c r="MIU1" s="7" t="s">
        <v>9396</v>
      </c>
      <c r="MIV1" s="7" t="s">
        <v>9397</v>
      </c>
      <c r="MIW1" s="7" t="s">
        <v>9398</v>
      </c>
      <c r="MIX1" s="7" t="s">
        <v>9399</v>
      </c>
      <c r="MIY1" s="7" t="s">
        <v>9400</v>
      </c>
      <c r="MIZ1" s="7" t="s">
        <v>9401</v>
      </c>
      <c r="MJA1" s="7" t="s">
        <v>9402</v>
      </c>
      <c r="MJB1" s="7" t="s">
        <v>9403</v>
      </c>
      <c r="MJC1" s="7" t="s">
        <v>9404</v>
      </c>
      <c r="MJD1" s="7" t="s">
        <v>9405</v>
      </c>
      <c r="MJE1" s="7" t="s">
        <v>9406</v>
      </c>
      <c r="MJF1" s="7" t="s">
        <v>9407</v>
      </c>
      <c r="MJG1" s="7" t="s">
        <v>9408</v>
      </c>
      <c r="MJH1" s="7" t="s">
        <v>9409</v>
      </c>
      <c r="MJI1" s="7" t="s">
        <v>9410</v>
      </c>
      <c r="MJJ1" s="7" t="s">
        <v>9411</v>
      </c>
      <c r="MJK1" s="7" t="s">
        <v>9412</v>
      </c>
      <c r="MJL1" s="7" t="s">
        <v>9413</v>
      </c>
      <c r="MJM1" s="7" t="s">
        <v>9414</v>
      </c>
      <c r="MJN1" s="7" t="s">
        <v>9415</v>
      </c>
      <c r="MJO1" s="7" t="s">
        <v>9416</v>
      </c>
      <c r="MJP1" s="7" t="s">
        <v>9417</v>
      </c>
      <c r="MJQ1" s="7" t="s">
        <v>9418</v>
      </c>
      <c r="MJR1" s="7" t="s">
        <v>9419</v>
      </c>
      <c r="MJS1" s="7" t="s">
        <v>9420</v>
      </c>
      <c r="MJT1" s="7" t="s">
        <v>9421</v>
      </c>
      <c r="MJU1" s="7" t="s">
        <v>9422</v>
      </c>
      <c r="MJV1" s="7" t="s">
        <v>9423</v>
      </c>
      <c r="MJW1" s="7" t="s">
        <v>9424</v>
      </c>
      <c r="MJX1" s="7" t="s">
        <v>9425</v>
      </c>
      <c r="MJY1" s="7" t="s">
        <v>9426</v>
      </c>
      <c r="MJZ1" s="7" t="s">
        <v>9427</v>
      </c>
      <c r="MKA1" s="7" t="s">
        <v>9428</v>
      </c>
      <c r="MKB1" s="7" t="s">
        <v>9429</v>
      </c>
      <c r="MKC1" s="7" t="s">
        <v>9430</v>
      </c>
      <c r="MKD1" s="7" t="s">
        <v>9431</v>
      </c>
      <c r="MKE1" s="7" t="s">
        <v>9432</v>
      </c>
      <c r="MKF1" s="7" t="s">
        <v>9433</v>
      </c>
      <c r="MKG1" s="7" t="s">
        <v>9434</v>
      </c>
      <c r="MKH1" s="7" t="s">
        <v>9435</v>
      </c>
      <c r="MKI1" s="7" t="s">
        <v>9436</v>
      </c>
      <c r="MKJ1" s="7" t="s">
        <v>9437</v>
      </c>
      <c r="MKK1" s="7" t="s">
        <v>9438</v>
      </c>
      <c r="MKL1" s="7" t="s">
        <v>9439</v>
      </c>
      <c r="MKM1" s="7" t="s">
        <v>9440</v>
      </c>
      <c r="MKN1" s="7" t="s">
        <v>9441</v>
      </c>
      <c r="MKO1" s="7" t="s">
        <v>9442</v>
      </c>
      <c r="MKP1" s="7" t="s">
        <v>9443</v>
      </c>
      <c r="MKQ1" s="7" t="s">
        <v>9444</v>
      </c>
      <c r="MKR1" s="7" t="s">
        <v>9445</v>
      </c>
      <c r="MKS1" s="7" t="s">
        <v>9446</v>
      </c>
      <c r="MKT1" s="7" t="s">
        <v>9447</v>
      </c>
      <c r="MKU1" s="7" t="s">
        <v>9448</v>
      </c>
      <c r="MKV1" s="7" t="s">
        <v>9449</v>
      </c>
      <c r="MKW1" s="7" t="s">
        <v>9450</v>
      </c>
      <c r="MKX1" s="7" t="s">
        <v>9451</v>
      </c>
      <c r="MKY1" s="7" t="s">
        <v>9452</v>
      </c>
      <c r="MKZ1" s="7" t="s">
        <v>9453</v>
      </c>
      <c r="MLA1" s="7" t="s">
        <v>9454</v>
      </c>
      <c r="MLB1" s="7" t="s">
        <v>9455</v>
      </c>
      <c r="MLC1" s="7" t="s">
        <v>9456</v>
      </c>
      <c r="MLD1" s="7" t="s">
        <v>9457</v>
      </c>
      <c r="MLE1" s="7" t="s">
        <v>9458</v>
      </c>
      <c r="MLF1" s="7" t="s">
        <v>9459</v>
      </c>
      <c r="MLG1" s="7" t="s">
        <v>9460</v>
      </c>
      <c r="MLH1" s="7" t="s">
        <v>9461</v>
      </c>
      <c r="MLI1" s="7" t="s">
        <v>9462</v>
      </c>
      <c r="MLJ1" s="7" t="s">
        <v>9463</v>
      </c>
      <c r="MLK1" s="7" t="s">
        <v>9464</v>
      </c>
      <c r="MLL1" s="7" t="s">
        <v>9465</v>
      </c>
      <c r="MLM1" s="7" t="s">
        <v>9466</v>
      </c>
      <c r="MLN1" s="7" t="s">
        <v>9467</v>
      </c>
      <c r="MLO1" s="7" t="s">
        <v>9468</v>
      </c>
      <c r="MLP1" s="7" t="s">
        <v>9469</v>
      </c>
      <c r="MLQ1" s="7" t="s">
        <v>9470</v>
      </c>
      <c r="MLR1" s="7" t="s">
        <v>9471</v>
      </c>
      <c r="MLS1" s="7" t="s">
        <v>9472</v>
      </c>
      <c r="MLT1" s="7" t="s">
        <v>9473</v>
      </c>
      <c r="MLU1" s="7" t="s">
        <v>9474</v>
      </c>
      <c r="MLV1" s="7" t="s">
        <v>9475</v>
      </c>
      <c r="MLW1" s="7" t="s">
        <v>9476</v>
      </c>
      <c r="MLX1" s="7" t="s">
        <v>9477</v>
      </c>
      <c r="MLY1" s="7" t="s">
        <v>9478</v>
      </c>
      <c r="MLZ1" s="7" t="s">
        <v>9479</v>
      </c>
      <c r="MMA1" s="7" t="s">
        <v>9480</v>
      </c>
      <c r="MMB1" s="7" t="s">
        <v>9481</v>
      </c>
      <c r="MMC1" s="7" t="s">
        <v>9482</v>
      </c>
      <c r="MMD1" s="7" t="s">
        <v>9483</v>
      </c>
      <c r="MME1" s="7" t="s">
        <v>9484</v>
      </c>
      <c r="MMF1" s="7" t="s">
        <v>9485</v>
      </c>
      <c r="MMG1" s="7" t="s">
        <v>9486</v>
      </c>
      <c r="MMH1" s="7" t="s">
        <v>9487</v>
      </c>
      <c r="MMI1" s="7" t="s">
        <v>9488</v>
      </c>
      <c r="MMJ1" s="7" t="s">
        <v>9489</v>
      </c>
      <c r="MMK1" s="7" t="s">
        <v>9490</v>
      </c>
      <c r="MML1" s="7" t="s">
        <v>9491</v>
      </c>
      <c r="MMM1" s="7" t="s">
        <v>9492</v>
      </c>
      <c r="MMN1" s="7" t="s">
        <v>9493</v>
      </c>
      <c r="MMO1" s="7" t="s">
        <v>9494</v>
      </c>
      <c r="MMP1" s="7" t="s">
        <v>9495</v>
      </c>
      <c r="MMQ1" s="7" t="s">
        <v>9496</v>
      </c>
      <c r="MMR1" s="7" t="s">
        <v>9497</v>
      </c>
      <c r="MMS1" s="7" t="s">
        <v>9498</v>
      </c>
      <c r="MMT1" s="7" t="s">
        <v>9499</v>
      </c>
      <c r="MMU1" s="7" t="s">
        <v>9500</v>
      </c>
      <c r="MMV1" s="7" t="s">
        <v>9501</v>
      </c>
      <c r="MMW1" s="7" t="s">
        <v>9502</v>
      </c>
      <c r="MMX1" s="7" t="s">
        <v>9503</v>
      </c>
      <c r="MMY1" s="7" t="s">
        <v>9504</v>
      </c>
      <c r="MMZ1" s="7" t="s">
        <v>9505</v>
      </c>
      <c r="MNA1" s="7" t="s">
        <v>9506</v>
      </c>
      <c r="MNB1" s="7" t="s">
        <v>9507</v>
      </c>
      <c r="MNC1" s="7" t="s">
        <v>9508</v>
      </c>
      <c r="MND1" s="7" t="s">
        <v>9509</v>
      </c>
      <c r="MNE1" s="7" t="s">
        <v>9510</v>
      </c>
      <c r="MNF1" s="7" t="s">
        <v>9511</v>
      </c>
      <c r="MNG1" s="7" t="s">
        <v>9512</v>
      </c>
      <c r="MNH1" s="7" t="s">
        <v>9513</v>
      </c>
      <c r="MNI1" s="7" t="s">
        <v>9514</v>
      </c>
      <c r="MNJ1" s="7" t="s">
        <v>9515</v>
      </c>
      <c r="MNK1" s="7" t="s">
        <v>9516</v>
      </c>
      <c r="MNL1" s="7" t="s">
        <v>9517</v>
      </c>
      <c r="MNM1" s="7" t="s">
        <v>9518</v>
      </c>
      <c r="MNN1" s="7" t="s">
        <v>9519</v>
      </c>
      <c r="MNO1" s="7" t="s">
        <v>9520</v>
      </c>
      <c r="MNP1" s="7" t="s">
        <v>9521</v>
      </c>
      <c r="MNQ1" s="7" t="s">
        <v>9522</v>
      </c>
      <c r="MNR1" s="7" t="s">
        <v>9523</v>
      </c>
      <c r="MNS1" s="7" t="s">
        <v>9524</v>
      </c>
      <c r="MNT1" s="7" t="s">
        <v>9525</v>
      </c>
      <c r="MNU1" s="7" t="s">
        <v>9526</v>
      </c>
      <c r="MNV1" s="7" t="s">
        <v>9527</v>
      </c>
      <c r="MNW1" s="7" t="s">
        <v>9528</v>
      </c>
      <c r="MNX1" s="7" t="s">
        <v>9529</v>
      </c>
      <c r="MNY1" s="7" t="s">
        <v>9530</v>
      </c>
      <c r="MNZ1" s="7" t="s">
        <v>9531</v>
      </c>
      <c r="MOA1" s="7" t="s">
        <v>9532</v>
      </c>
      <c r="MOB1" s="7" t="s">
        <v>9533</v>
      </c>
      <c r="MOC1" s="7" t="s">
        <v>9534</v>
      </c>
      <c r="MOD1" s="7" t="s">
        <v>9535</v>
      </c>
      <c r="MOE1" s="7" t="s">
        <v>9536</v>
      </c>
      <c r="MOF1" s="7" t="s">
        <v>9537</v>
      </c>
      <c r="MOG1" s="7" t="s">
        <v>9538</v>
      </c>
      <c r="MOH1" s="7" t="s">
        <v>9539</v>
      </c>
      <c r="MOI1" s="7" t="s">
        <v>9540</v>
      </c>
      <c r="MOJ1" s="7" t="s">
        <v>9541</v>
      </c>
      <c r="MOK1" s="7" t="s">
        <v>9542</v>
      </c>
      <c r="MOL1" s="7" t="s">
        <v>9543</v>
      </c>
      <c r="MOM1" s="7" t="s">
        <v>9544</v>
      </c>
      <c r="MON1" s="7" t="s">
        <v>9545</v>
      </c>
      <c r="MOO1" s="7" t="s">
        <v>9546</v>
      </c>
      <c r="MOP1" s="7" t="s">
        <v>9547</v>
      </c>
      <c r="MOQ1" s="7" t="s">
        <v>9548</v>
      </c>
      <c r="MOR1" s="7" t="s">
        <v>9549</v>
      </c>
      <c r="MOS1" s="7" t="s">
        <v>9550</v>
      </c>
      <c r="MOT1" s="7" t="s">
        <v>9551</v>
      </c>
      <c r="MOU1" s="7" t="s">
        <v>9552</v>
      </c>
      <c r="MOV1" s="7" t="s">
        <v>9553</v>
      </c>
      <c r="MOW1" s="7" t="s">
        <v>9554</v>
      </c>
      <c r="MOX1" s="7" t="s">
        <v>9555</v>
      </c>
      <c r="MOY1" s="7" t="s">
        <v>9556</v>
      </c>
      <c r="MOZ1" s="7" t="s">
        <v>9557</v>
      </c>
      <c r="MPA1" s="7" t="s">
        <v>9558</v>
      </c>
      <c r="MPB1" s="7" t="s">
        <v>9559</v>
      </c>
      <c r="MPC1" s="7" t="s">
        <v>9560</v>
      </c>
      <c r="MPD1" s="7" t="s">
        <v>9561</v>
      </c>
      <c r="MPE1" s="7" t="s">
        <v>9562</v>
      </c>
      <c r="MPF1" s="7" t="s">
        <v>9563</v>
      </c>
      <c r="MPG1" s="7" t="s">
        <v>9564</v>
      </c>
      <c r="MPH1" s="7" t="s">
        <v>9565</v>
      </c>
      <c r="MPI1" s="7" t="s">
        <v>9566</v>
      </c>
      <c r="MPJ1" s="7" t="s">
        <v>9567</v>
      </c>
      <c r="MPK1" s="7" t="s">
        <v>9568</v>
      </c>
      <c r="MPL1" s="7" t="s">
        <v>9569</v>
      </c>
      <c r="MPM1" s="7" t="s">
        <v>9570</v>
      </c>
      <c r="MPN1" s="7" t="s">
        <v>9571</v>
      </c>
      <c r="MPO1" s="7" t="s">
        <v>9572</v>
      </c>
      <c r="MPP1" s="7" t="s">
        <v>9573</v>
      </c>
      <c r="MPQ1" s="7" t="s">
        <v>9574</v>
      </c>
      <c r="MPR1" s="7" t="s">
        <v>9575</v>
      </c>
      <c r="MPS1" s="7" t="s">
        <v>9576</v>
      </c>
      <c r="MPT1" s="7" t="s">
        <v>9577</v>
      </c>
      <c r="MPU1" s="7" t="s">
        <v>9578</v>
      </c>
      <c r="MPV1" s="7" t="s">
        <v>9579</v>
      </c>
      <c r="MPW1" s="7" t="s">
        <v>9580</v>
      </c>
      <c r="MPX1" s="7" t="s">
        <v>9581</v>
      </c>
      <c r="MPY1" s="7" t="s">
        <v>9582</v>
      </c>
      <c r="MPZ1" s="7" t="s">
        <v>9583</v>
      </c>
      <c r="MQA1" s="7" t="s">
        <v>9584</v>
      </c>
      <c r="MQB1" s="7" t="s">
        <v>9585</v>
      </c>
      <c r="MQC1" s="7" t="s">
        <v>9586</v>
      </c>
      <c r="MQD1" s="7" t="s">
        <v>9587</v>
      </c>
      <c r="MQE1" s="7" t="s">
        <v>9588</v>
      </c>
      <c r="MQF1" s="7" t="s">
        <v>9589</v>
      </c>
      <c r="MQG1" s="7" t="s">
        <v>9590</v>
      </c>
      <c r="MQH1" s="7" t="s">
        <v>9591</v>
      </c>
      <c r="MQI1" s="7" t="s">
        <v>9592</v>
      </c>
      <c r="MQJ1" s="7" t="s">
        <v>9593</v>
      </c>
      <c r="MQK1" s="7" t="s">
        <v>9594</v>
      </c>
      <c r="MQL1" s="7" t="s">
        <v>9595</v>
      </c>
      <c r="MQM1" s="7" t="s">
        <v>9596</v>
      </c>
      <c r="MQN1" s="7" t="s">
        <v>9597</v>
      </c>
      <c r="MQO1" s="7" t="s">
        <v>9598</v>
      </c>
      <c r="MQP1" s="7" t="s">
        <v>9599</v>
      </c>
      <c r="MQQ1" s="7" t="s">
        <v>9600</v>
      </c>
      <c r="MQR1" s="7" t="s">
        <v>9601</v>
      </c>
      <c r="MQS1" s="7" t="s">
        <v>9602</v>
      </c>
      <c r="MQT1" s="7" t="s">
        <v>9603</v>
      </c>
      <c r="MQU1" s="7" t="s">
        <v>9604</v>
      </c>
      <c r="MQV1" s="7" t="s">
        <v>9605</v>
      </c>
      <c r="MQW1" s="7" t="s">
        <v>9606</v>
      </c>
      <c r="MQX1" s="7" t="s">
        <v>9607</v>
      </c>
      <c r="MQY1" s="7" t="s">
        <v>9608</v>
      </c>
      <c r="MQZ1" s="7" t="s">
        <v>9609</v>
      </c>
      <c r="MRA1" s="7" t="s">
        <v>9610</v>
      </c>
      <c r="MRB1" s="7" t="s">
        <v>9611</v>
      </c>
      <c r="MRC1" s="7" t="s">
        <v>9612</v>
      </c>
      <c r="MRD1" s="7" t="s">
        <v>9613</v>
      </c>
      <c r="MRE1" s="7" t="s">
        <v>9614</v>
      </c>
      <c r="MRF1" s="7" t="s">
        <v>9615</v>
      </c>
      <c r="MRG1" s="7" t="s">
        <v>9616</v>
      </c>
      <c r="MRH1" s="7" t="s">
        <v>9617</v>
      </c>
      <c r="MRI1" s="7" t="s">
        <v>9618</v>
      </c>
      <c r="MRJ1" s="7" t="s">
        <v>9619</v>
      </c>
      <c r="MRK1" s="7" t="s">
        <v>9620</v>
      </c>
      <c r="MRL1" s="7" t="s">
        <v>9621</v>
      </c>
      <c r="MRM1" s="7" t="s">
        <v>9622</v>
      </c>
      <c r="MRN1" s="7" t="s">
        <v>9623</v>
      </c>
      <c r="MRO1" s="7" t="s">
        <v>9624</v>
      </c>
      <c r="MRP1" s="7" t="s">
        <v>9625</v>
      </c>
      <c r="MRQ1" s="7" t="s">
        <v>9626</v>
      </c>
      <c r="MRR1" s="7" t="s">
        <v>9627</v>
      </c>
      <c r="MRS1" s="7" t="s">
        <v>9628</v>
      </c>
      <c r="MRT1" s="7" t="s">
        <v>9629</v>
      </c>
      <c r="MRU1" s="7" t="s">
        <v>9630</v>
      </c>
      <c r="MRV1" s="7" t="s">
        <v>9631</v>
      </c>
      <c r="MRW1" s="7" t="s">
        <v>9632</v>
      </c>
      <c r="MRX1" s="7" t="s">
        <v>9633</v>
      </c>
      <c r="MRY1" s="7" t="s">
        <v>9634</v>
      </c>
      <c r="MRZ1" s="7" t="s">
        <v>9635</v>
      </c>
      <c r="MSA1" s="7" t="s">
        <v>9636</v>
      </c>
      <c r="MSB1" s="7" t="s">
        <v>9637</v>
      </c>
      <c r="MSC1" s="7" t="s">
        <v>9638</v>
      </c>
      <c r="MSD1" s="7" t="s">
        <v>9639</v>
      </c>
      <c r="MSE1" s="7" t="s">
        <v>9640</v>
      </c>
      <c r="MSF1" s="7" t="s">
        <v>9641</v>
      </c>
      <c r="MSG1" s="7" t="s">
        <v>9642</v>
      </c>
      <c r="MSH1" s="7" t="s">
        <v>9643</v>
      </c>
      <c r="MSI1" s="7" t="s">
        <v>9644</v>
      </c>
      <c r="MSJ1" s="7" t="s">
        <v>9645</v>
      </c>
      <c r="MSK1" s="7" t="s">
        <v>9646</v>
      </c>
      <c r="MSL1" s="7" t="s">
        <v>9647</v>
      </c>
      <c r="MSM1" s="7" t="s">
        <v>9648</v>
      </c>
      <c r="MSN1" s="7" t="s">
        <v>9649</v>
      </c>
      <c r="MSO1" s="7" t="s">
        <v>9650</v>
      </c>
      <c r="MSP1" s="7" t="s">
        <v>9651</v>
      </c>
      <c r="MSQ1" s="7" t="s">
        <v>9652</v>
      </c>
      <c r="MSR1" s="7" t="s">
        <v>9653</v>
      </c>
      <c r="MSS1" s="7" t="s">
        <v>9654</v>
      </c>
      <c r="MST1" s="7" t="s">
        <v>9655</v>
      </c>
      <c r="MSU1" s="7" t="s">
        <v>9656</v>
      </c>
      <c r="MSV1" s="7" t="s">
        <v>9657</v>
      </c>
      <c r="MSW1" s="7" t="s">
        <v>9658</v>
      </c>
      <c r="MSX1" s="7" t="s">
        <v>9659</v>
      </c>
      <c r="MSY1" s="7" t="s">
        <v>9660</v>
      </c>
      <c r="MSZ1" s="7" t="s">
        <v>9661</v>
      </c>
      <c r="MTA1" s="7" t="s">
        <v>9662</v>
      </c>
      <c r="MTB1" s="7" t="s">
        <v>9663</v>
      </c>
      <c r="MTC1" s="7" t="s">
        <v>9664</v>
      </c>
      <c r="MTD1" s="7" t="s">
        <v>9665</v>
      </c>
      <c r="MTE1" s="7" t="s">
        <v>9666</v>
      </c>
      <c r="MTF1" s="7" t="s">
        <v>9667</v>
      </c>
      <c r="MTG1" s="7" t="s">
        <v>9668</v>
      </c>
      <c r="MTH1" s="7" t="s">
        <v>9669</v>
      </c>
      <c r="MTI1" s="7" t="s">
        <v>9670</v>
      </c>
      <c r="MTJ1" s="7" t="s">
        <v>9671</v>
      </c>
      <c r="MTK1" s="7" t="s">
        <v>9672</v>
      </c>
      <c r="MTL1" s="7" t="s">
        <v>9673</v>
      </c>
      <c r="MTM1" s="7" t="s">
        <v>9674</v>
      </c>
      <c r="MTN1" s="7" t="s">
        <v>9675</v>
      </c>
      <c r="MTO1" s="7" t="s">
        <v>9676</v>
      </c>
      <c r="MTP1" s="7" t="s">
        <v>9677</v>
      </c>
      <c r="MTQ1" s="7" t="s">
        <v>9678</v>
      </c>
      <c r="MTR1" s="7" t="s">
        <v>9679</v>
      </c>
      <c r="MTS1" s="7" t="s">
        <v>9680</v>
      </c>
      <c r="MTT1" s="7" t="s">
        <v>9681</v>
      </c>
      <c r="MTU1" s="7" t="s">
        <v>9682</v>
      </c>
      <c r="MTV1" s="7" t="s">
        <v>9683</v>
      </c>
      <c r="MTW1" s="7" t="s">
        <v>9684</v>
      </c>
      <c r="MTX1" s="7" t="s">
        <v>9685</v>
      </c>
      <c r="MTY1" s="7" t="s">
        <v>9686</v>
      </c>
      <c r="MTZ1" s="7" t="s">
        <v>9687</v>
      </c>
      <c r="MUA1" s="7" t="s">
        <v>9688</v>
      </c>
      <c r="MUB1" s="7" t="s">
        <v>9689</v>
      </c>
      <c r="MUC1" s="7" t="s">
        <v>9690</v>
      </c>
      <c r="MUD1" s="7" t="s">
        <v>9691</v>
      </c>
      <c r="MUE1" s="7" t="s">
        <v>9692</v>
      </c>
      <c r="MUF1" s="7" t="s">
        <v>9693</v>
      </c>
      <c r="MUG1" s="7" t="s">
        <v>9694</v>
      </c>
      <c r="MUH1" s="7" t="s">
        <v>9695</v>
      </c>
      <c r="MUI1" s="7" t="s">
        <v>9696</v>
      </c>
      <c r="MUJ1" s="7" t="s">
        <v>9697</v>
      </c>
      <c r="MUK1" s="7" t="s">
        <v>9698</v>
      </c>
      <c r="MUL1" s="7" t="s">
        <v>9699</v>
      </c>
      <c r="MUM1" s="7" t="s">
        <v>9700</v>
      </c>
      <c r="MUN1" s="7" t="s">
        <v>9701</v>
      </c>
      <c r="MUO1" s="7" t="s">
        <v>9702</v>
      </c>
      <c r="MUP1" s="7" t="s">
        <v>9703</v>
      </c>
      <c r="MUQ1" s="7" t="s">
        <v>9704</v>
      </c>
      <c r="MUR1" s="7" t="s">
        <v>9705</v>
      </c>
      <c r="MUS1" s="7" t="s">
        <v>9706</v>
      </c>
      <c r="MUT1" s="7" t="s">
        <v>9707</v>
      </c>
      <c r="MUU1" s="7" t="s">
        <v>9708</v>
      </c>
      <c r="MUV1" s="7" t="s">
        <v>9709</v>
      </c>
      <c r="MUW1" s="7" t="s">
        <v>9710</v>
      </c>
      <c r="MUX1" s="7" t="s">
        <v>9711</v>
      </c>
      <c r="MUY1" s="7" t="s">
        <v>9712</v>
      </c>
      <c r="MUZ1" s="7" t="s">
        <v>9713</v>
      </c>
      <c r="MVA1" s="7" t="s">
        <v>9714</v>
      </c>
      <c r="MVB1" s="7" t="s">
        <v>9715</v>
      </c>
      <c r="MVC1" s="7" t="s">
        <v>9716</v>
      </c>
      <c r="MVD1" s="7" t="s">
        <v>9717</v>
      </c>
      <c r="MVE1" s="7" t="s">
        <v>9718</v>
      </c>
      <c r="MVF1" s="7" t="s">
        <v>9719</v>
      </c>
      <c r="MVG1" s="7" t="s">
        <v>9720</v>
      </c>
      <c r="MVH1" s="7" t="s">
        <v>9721</v>
      </c>
      <c r="MVI1" s="7" t="s">
        <v>9722</v>
      </c>
      <c r="MVJ1" s="7" t="s">
        <v>9723</v>
      </c>
      <c r="MVK1" s="7" t="s">
        <v>9724</v>
      </c>
      <c r="MVL1" s="7" t="s">
        <v>9725</v>
      </c>
      <c r="MVM1" s="7" t="s">
        <v>9726</v>
      </c>
      <c r="MVN1" s="7" t="s">
        <v>9727</v>
      </c>
      <c r="MVO1" s="7" t="s">
        <v>9728</v>
      </c>
      <c r="MVP1" s="7" t="s">
        <v>9729</v>
      </c>
      <c r="MVQ1" s="7" t="s">
        <v>9730</v>
      </c>
      <c r="MVR1" s="7" t="s">
        <v>9731</v>
      </c>
      <c r="MVS1" s="7" t="s">
        <v>9732</v>
      </c>
      <c r="MVT1" s="7" t="s">
        <v>9733</v>
      </c>
      <c r="MVU1" s="7" t="s">
        <v>9734</v>
      </c>
      <c r="MVV1" s="7" t="s">
        <v>9735</v>
      </c>
      <c r="MVW1" s="7" t="s">
        <v>9736</v>
      </c>
      <c r="MVX1" s="7" t="s">
        <v>9737</v>
      </c>
      <c r="MVY1" s="7" t="s">
        <v>9738</v>
      </c>
      <c r="MVZ1" s="7" t="s">
        <v>9739</v>
      </c>
      <c r="MWA1" s="7" t="s">
        <v>9740</v>
      </c>
      <c r="MWB1" s="7" t="s">
        <v>9741</v>
      </c>
      <c r="MWC1" s="7" t="s">
        <v>9742</v>
      </c>
      <c r="MWD1" s="7" t="s">
        <v>9743</v>
      </c>
      <c r="MWE1" s="7" t="s">
        <v>9744</v>
      </c>
      <c r="MWF1" s="7" t="s">
        <v>9745</v>
      </c>
      <c r="MWG1" s="7" t="s">
        <v>9746</v>
      </c>
      <c r="MWH1" s="7" t="s">
        <v>9747</v>
      </c>
      <c r="MWI1" s="7" t="s">
        <v>9748</v>
      </c>
      <c r="MWJ1" s="7" t="s">
        <v>9749</v>
      </c>
      <c r="MWK1" s="7" t="s">
        <v>9750</v>
      </c>
      <c r="MWL1" s="7" t="s">
        <v>9751</v>
      </c>
      <c r="MWM1" s="7" t="s">
        <v>9752</v>
      </c>
      <c r="MWN1" s="7" t="s">
        <v>9753</v>
      </c>
      <c r="MWO1" s="7" t="s">
        <v>9754</v>
      </c>
      <c r="MWP1" s="7" t="s">
        <v>9755</v>
      </c>
      <c r="MWQ1" s="7" t="s">
        <v>9756</v>
      </c>
      <c r="MWR1" s="7" t="s">
        <v>9757</v>
      </c>
      <c r="MWS1" s="7" t="s">
        <v>9758</v>
      </c>
      <c r="MWT1" s="7" t="s">
        <v>9759</v>
      </c>
      <c r="MWU1" s="7" t="s">
        <v>9760</v>
      </c>
      <c r="MWV1" s="7" t="s">
        <v>9761</v>
      </c>
      <c r="MWW1" s="7" t="s">
        <v>9762</v>
      </c>
      <c r="MWX1" s="7" t="s">
        <v>9763</v>
      </c>
      <c r="MWY1" s="7" t="s">
        <v>9764</v>
      </c>
      <c r="MWZ1" s="7" t="s">
        <v>9765</v>
      </c>
      <c r="MXA1" s="7" t="s">
        <v>9766</v>
      </c>
      <c r="MXB1" s="7" t="s">
        <v>9767</v>
      </c>
      <c r="MXC1" s="7" t="s">
        <v>9768</v>
      </c>
      <c r="MXD1" s="7" t="s">
        <v>9769</v>
      </c>
      <c r="MXE1" s="7" t="s">
        <v>9770</v>
      </c>
      <c r="MXF1" s="7" t="s">
        <v>9771</v>
      </c>
      <c r="MXG1" s="7" t="s">
        <v>9772</v>
      </c>
      <c r="MXH1" s="7" t="s">
        <v>9773</v>
      </c>
      <c r="MXI1" s="7" t="s">
        <v>9774</v>
      </c>
      <c r="MXJ1" s="7" t="s">
        <v>9775</v>
      </c>
      <c r="MXK1" s="7" t="s">
        <v>9776</v>
      </c>
      <c r="MXL1" s="7" t="s">
        <v>9777</v>
      </c>
      <c r="MXM1" s="7" t="s">
        <v>9778</v>
      </c>
      <c r="MXN1" s="7" t="s">
        <v>9779</v>
      </c>
      <c r="MXO1" s="7" t="s">
        <v>9780</v>
      </c>
      <c r="MXP1" s="7" t="s">
        <v>9781</v>
      </c>
      <c r="MXQ1" s="7" t="s">
        <v>9782</v>
      </c>
      <c r="MXR1" s="7" t="s">
        <v>9783</v>
      </c>
      <c r="MXS1" s="7" t="s">
        <v>9784</v>
      </c>
      <c r="MXT1" s="7" t="s">
        <v>9785</v>
      </c>
      <c r="MXU1" s="7" t="s">
        <v>9786</v>
      </c>
      <c r="MXV1" s="7" t="s">
        <v>9787</v>
      </c>
      <c r="MXW1" s="7" t="s">
        <v>9788</v>
      </c>
      <c r="MXX1" s="7" t="s">
        <v>9789</v>
      </c>
      <c r="MXY1" s="7" t="s">
        <v>9790</v>
      </c>
      <c r="MXZ1" s="7" t="s">
        <v>9791</v>
      </c>
      <c r="MYA1" s="7" t="s">
        <v>9792</v>
      </c>
      <c r="MYB1" s="7" t="s">
        <v>9793</v>
      </c>
      <c r="MYC1" s="7" t="s">
        <v>9794</v>
      </c>
      <c r="MYD1" s="7" t="s">
        <v>9795</v>
      </c>
      <c r="MYE1" s="7" t="s">
        <v>9796</v>
      </c>
      <c r="MYF1" s="7" t="s">
        <v>9797</v>
      </c>
      <c r="MYG1" s="7" t="s">
        <v>9798</v>
      </c>
      <c r="MYH1" s="7" t="s">
        <v>9799</v>
      </c>
      <c r="MYI1" s="7" t="s">
        <v>9800</v>
      </c>
      <c r="MYJ1" s="7" t="s">
        <v>9801</v>
      </c>
      <c r="MYK1" s="7" t="s">
        <v>9802</v>
      </c>
      <c r="MYL1" s="7" t="s">
        <v>9803</v>
      </c>
      <c r="MYM1" s="7" t="s">
        <v>9804</v>
      </c>
      <c r="MYN1" s="7" t="s">
        <v>9805</v>
      </c>
      <c r="MYO1" s="7" t="s">
        <v>9806</v>
      </c>
      <c r="MYP1" s="7" t="s">
        <v>9807</v>
      </c>
      <c r="MYQ1" s="7" t="s">
        <v>9808</v>
      </c>
      <c r="MYR1" s="7" t="s">
        <v>9809</v>
      </c>
      <c r="MYS1" s="7" t="s">
        <v>9810</v>
      </c>
      <c r="MYT1" s="7" t="s">
        <v>9811</v>
      </c>
      <c r="MYU1" s="7" t="s">
        <v>9812</v>
      </c>
      <c r="MYV1" s="7" t="s">
        <v>9813</v>
      </c>
      <c r="MYW1" s="7" t="s">
        <v>9814</v>
      </c>
      <c r="MYX1" s="7" t="s">
        <v>9815</v>
      </c>
      <c r="MYY1" s="7" t="s">
        <v>9816</v>
      </c>
      <c r="MYZ1" s="7" t="s">
        <v>9817</v>
      </c>
      <c r="MZA1" s="7" t="s">
        <v>9818</v>
      </c>
      <c r="MZB1" s="7" t="s">
        <v>9819</v>
      </c>
      <c r="MZC1" s="7" t="s">
        <v>9820</v>
      </c>
      <c r="MZD1" s="7" t="s">
        <v>9821</v>
      </c>
      <c r="MZE1" s="7" t="s">
        <v>9822</v>
      </c>
      <c r="MZF1" s="7" t="s">
        <v>9823</v>
      </c>
      <c r="MZG1" s="7" t="s">
        <v>9824</v>
      </c>
      <c r="MZH1" s="7" t="s">
        <v>9825</v>
      </c>
      <c r="MZI1" s="7" t="s">
        <v>9826</v>
      </c>
      <c r="MZJ1" s="7" t="s">
        <v>9827</v>
      </c>
      <c r="MZK1" s="7" t="s">
        <v>9828</v>
      </c>
      <c r="MZL1" s="7" t="s">
        <v>9829</v>
      </c>
      <c r="MZM1" s="7" t="s">
        <v>9830</v>
      </c>
      <c r="MZN1" s="7" t="s">
        <v>9831</v>
      </c>
      <c r="MZO1" s="7" t="s">
        <v>9832</v>
      </c>
      <c r="MZP1" s="7" t="s">
        <v>9833</v>
      </c>
      <c r="MZQ1" s="7" t="s">
        <v>9834</v>
      </c>
      <c r="MZR1" s="7" t="s">
        <v>9835</v>
      </c>
      <c r="MZS1" s="7" t="s">
        <v>9836</v>
      </c>
      <c r="MZT1" s="7" t="s">
        <v>9837</v>
      </c>
      <c r="MZU1" s="7" t="s">
        <v>9838</v>
      </c>
      <c r="MZV1" s="7" t="s">
        <v>9839</v>
      </c>
      <c r="MZW1" s="7" t="s">
        <v>9840</v>
      </c>
      <c r="MZX1" s="7" t="s">
        <v>9841</v>
      </c>
      <c r="MZY1" s="7" t="s">
        <v>9842</v>
      </c>
      <c r="MZZ1" s="7" t="s">
        <v>9843</v>
      </c>
      <c r="NAA1" s="7" t="s">
        <v>9844</v>
      </c>
      <c r="NAB1" s="7" t="s">
        <v>9845</v>
      </c>
      <c r="NAC1" s="7" t="s">
        <v>9846</v>
      </c>
      <c r="NAD1" s="7" t="s">
        <v>9847</v>
      </c>
      <c r="NAE1" s="7" t="s">
        <v>9848</v>
      </c>
      <c r="NAF1" s="7" t="s">
        <v>9849</v>
      </c>
      <c r="NAG1" s="7" t="s">
        <v>9850</v>
      </c>
      <c r="NAH1" s="7" t="s">
        <v>9851</v>
      </c>
      <c r="NAI1" s="7" t="s">
        <v>9852</v>
      </c>
      <c r="NAJ1" s="7" t="s">
        <v>9853</v>
      </c>
      <c r="NAK1" s="7" t="s">
        <v>9854</v>
      </c>
      <c r="NAL1" s="7" t="s">
        <v>9855</v>
      </c>
      <c r="NAM1" s="7" t="s">
        <v>9856</v>
      </c>
      <c r="NAN1" s="7" t="s">
        <v>9857</v>
      </c>
      <c r="NAO1" s="7" t="s">
        <v>9858</v>
      </c>
      <c r="NAP1" s="7" t="s">
        <v>9859</v>
      </c>
      <c r="NAQ1" s="7" t="s">
        <v>9860</v>
      </c>
      <c r="NAR1" s="7" t="s">
        <v>9861</v>
      </c>
      <c r="NAS1" s="7" t="s">
        <v>9862</v>
      </c>
      <c r="NAT1" s="7" t="s">
        <v>9863</v>
      </c>
      <c r="NAU1" s="7" t="s">
        <v>9864</v>
      </c>
      <c r="NAV1" s="7" t="s">
        <v>9865</v>
      </c>
      <c r="NAW1" s="7" t="s">
        <v>9866</v>
      </c>
      <c r="NAX1" s="7" t="s">
        <v>9867</v>
      </c>
      <c r="NAY1" s="7" t="s">
        <v>9868</v>
      </c>
      <c r="NAZ1" s="7" t="s">
        <v>9869</v>
      </c>
      <c r="NBA1" s="7" t="s">
        <v>9870</v>
      </c>
      <c r="NBB1" s="7" t="s">
        <v>9871</v>
      </c>
      <c r="NBC1" s="7" t="s">
        <v>9872</v>
      </c>
      <c r="NBD1" s="7" t="s">
        <v>9873</v>
      </c>
      <c r="NBE1" s="7" t="s">
        <v>9874</v>
      </c>
      <c r="NBF1" s="7" t="s">
        <v>9875</v>
      </c>
      <c r="NBG1" s="7" t="s">
        <v>9876</v>
      </c>
      <c r="NBH1" s="7" t="s">
        <v>9877</v>
      </c>
      <c r="NBI1" s="7" t="s">
        <v>9878</v>
      </c>
      <c r="NBJ1" s="7" t="s">
        <v>9879</v>
      </c>
      <c r="NBK1" s="7" t="s">
        <v>9880</v>
      </c>
      <c r="NBL1" s="7" t="s">
        <v>9881</v>
      </c>
      <c r="NBM1" s="7" t="s">
        <v>9882</v>
      </c>
      <c r="NBN1" s="7" t="s">
        <v>9883</v>
      </c>
      <c r="NBO1" s="7" t="s">
        <v>9884</v>
      </c>
      <c r="NBP1" s="7" t="s">
        <v>9885</v>
      </c>
      <c r="NBQ1" s="7" t="s">
        <v>9886</v>
      </c>
      <c r="NBR1" s="7" t="s">
        <v>9887</v>
      </c>
      <c r="NBS1" s="7" t="s">
        <v>9888</v>
      </c>
      <c r="NBT1" s="7" t="s">
        <v>9889</v>
      </c>
      <c r="NBU1" s="7" t="s">
        <v>9890</v>
      </c>
      <c r="NBV1" s="7" t="s">
        <v>9891</v>
      </c>
      <c r="NBW1" s="7" t="s">
        <v>9892</v>
      </c>
      <c r="NBX1" s="7" t="s">
        <v>9893</v>
      </c>
      <c r="NBY1" s="7" t="s">
        <v>9894</v>
      </c>
      <c r="NBZ1" s="7" t="s">
        <v>9895</v>
      </c>
      <c r="NCA1" s="7" t="s">
        <v>9896</v>
      </c>
      <c r="NCB1" s="7" t="s">
        <v>9897</v>
      </c>
      <c r="NCC1" s="7" t="s">
        <v>9898</v>
      </c>
      <c r="NCD1" s="7" t="s">
        <v>9899</v>
      </c>
      <c r="NCE1" s="7" t="s">
        <v>9900</v>
      </c>
      <c r="NCF1" s="7" t="s">
        <v>9901</v>
      </c>
      <c r="NCG1" s="7" t="s">
        <v>9902</v>
      </c>
      <c r="NCH1" s="7" t="s">
        <v>9903</v>
      </c>
      <c r="NCI1" s="7" t="s">
        <v>9904</v>
      </c>
      <c r="NCJ1" s="7" t="s">
        <v>9905</v>
      </c>
      <c r="NCK1" s="7" t="s">
        <v>9906</v>
      </c>
      <c r="NCL1" s="7" t="s">
        <v>9907</v>
      </c>
      <c r="NCM1" s="7" t="s">
        <v>9908</v>
      </c>
      <c r="NCN1" s="7" t="s">
        <v>9909</v>
      </c>
      <c r="NCO1" s="7" t="s">
        <v>9910</v>
      </c>
      <c r="NCP1" s="7" t="s">
        <v>9911</v>
      </c>
      <c r="NCQ1" s="7" t="s">
        <v>9912</v>
      </c>
      <c r="NCR1" s="7" t="s">
        <v>9913</v>
      </c>
      <c r="NCS1" s="7" t="s">
        <v>9914</v>
      </c>
      <c r="NCT1" s="7" t="s">
        <v>9915</v>
      </c>
      <c r="NCU1" s="7" t="s">
        <v>9916</v>
      </c>
      <c r="NCV1" s="7" t="s">
        <v>9917</v>
      </c>
      <c r="NCW1" s="7" t="s">
        <v>9918</v>
      </c>
      <c r="NCX1" s="7" t="s">
        <v>9919</v>
      </c>
      <c r="NCY1" s="7" t="s">
        <v>9920</v>
      </c>
      <c r="NCZ1" s="7" t="s">
        <v>9921</v>
      </c>
      <c r="NDA1" s="7" t="s">
        <v>9922</v>
      </c>
      <c r="NDB1" s="7" t="s">
        <v>9923</v>
      </c>
      <c r="NDC1" s="7" t="s">
        <v>9924</v>
      </c>
      <c r="NDD1" s="7" t="s">
        <v>9925</v>
      </c>
      <c r="NDE1" s="7" t="s">
        <v>9926</v>
      </c>
      <c r="NDF1" s="7" t="s">
        <v>9927</v>
      </c>
      <c r="NDG1" s="7" t="s">
        <v>9928</v>
      </c>
      <c r="NDH1" s="7" t="s">
        <v>9929</v>
      </c>
      <c r="NDI1" s="7" t="s">
        <v>9930</v>
      </c>
      <c r="NDJ1" s="7" t="s">
        <v>9931</v>
      </c>
      <c r="NDK1" s="7" t="s">
        <v>9932</v>
      </c>
      <c r="NDL1" s="7" t="s">
        <v>9933</v>
      </c>
      <c r="NDM1" s="7" t="s">
        <v>9934</v>
      </c>
      <c r="NDN1" s="7" t="s">
        <v>9935</v>
      </c>
      <c r="NDO1" s="7" t="s">
        <v>9936</v>
      </c>
      <c r="NDP1" s="7" t="s">
        <v>9937</v>
      </c>
      <c r="NDQ1" s="7" t="s">
        <v>9938</v>
      </c>
      <c r="NDR1" s="7" t="s">
        <v>9939</v>
      </c>
      <c r="NDS1" s="7" t="s">
        <v>9940</v>
      </c>
      <c r="NDT1" s="7" t="s">
        <v>9941</v>
      </c>
      <c r="NDU1" s="7" t="s">
        <v>9942</v>
      </c>
      <c r="NDV1" s="7" t="s">
        <v>9943</v>
      </c>
      <c r="NDW1" s="7" t="s">
        <v>9944</v>
      </c>
      <c r="NDX1" s="7" t="s">
        <v>9945</v>
      </c>
      <c r="NDY1" s="7" t="s">
        <v>9946</v>
      </c>
      <c r="NDZ1" s="7" t="s">
        <v>9947</v>
      </c>
      <c r="NEA1" s="7" t="s">
        <v>9948</v>
      </c>
      <c r="NEB1" s="7" t="s">
        <v>9949</v>
      </c>
      <c r="NEC1" s="7" t="s">
        <v>9950</v>
      </c>
      <c r="NED1" s="7" t="s">
        <v>9951</v>
      </c>
      <c r="NEE1" s="7" t="s">
        <v>9952</v>
      </c>
      <c r="NEF1" s="7" t="s">
        <v>9953</v>
      </c>
      <c r="NEG1" s="7" t="s">
        <v>9954</v>
      </c>
      <c r="NEH1" s="7" t="s">
        <v>9955</v>
      </c>
      <c r="NEI1" s="7" t="s">
        <v>9956</v>
      </c>
      <c r="NEJ1" s="7" t="s">
        <v>9957</v>
      </c>
      <c r="NEK1" s="7" t="s">
        <v>9958</v>
      </c>
      <c r="NEL1" s="7" t="s">
        <v>9959</v>
      </c>
      <c r="NEM1" s="7" t="s">
        <v>9960</v>
      </c>
      <c r="NEN1" s="7" t="s">
        <v>9961</v>
      </c>
      <c r="NEO1" s="7" t="s">
        <v>9962</v>
      </c>
      <c r="NEP1" s="7" t="s">
        <v>9963</v>
      </c>
      <c r="NEQ1" s="7" t="s">
        <v>9964</v>
      </c>
      <c r="NER1" s="7" t="s">
        <v>9965</v>
      </c>
      <c r="NES1" s="7" t="s">
        <v>9966</v>
      </c>
      <c r="NET1" s="7" t="s">
        <v>9967</v>
      </c>
      <c r="NEU1" s="7" t="s">
        <v>9968</v>
      </c>
      <c r="NEV1" s="7" t="s">
        <v>9969</v>
      </c>
      <c r="NEW1" s="7" t="s">
        <v>9970</v>
      </c>
      <c r="NEX1" s="7" t="s">
        <v>9971</v>
      </c>
      <c r="NEY1" s="7" t="s">
        <v>9972</v>
      </c>
      <c r="NEZ1" s="7" t="s">
        <v>9973</v>
      </c>
      <c r="NFA1" s="7" t="s">
        <v>9974</v>
      </c>
      <c r="NFB1" s="7" t="s">
        <v>9975</v>
      </c>
      <c r="NFC1" s="7" t="s">
        <v>9976</v>
      </c>
      <c r="NFD1" s="7" t="s">
        <v>9977</v>
      </c>
      <c r="NFE1" s="7" t="s">
        <v>9978</v>
      </c>
      <c r="NFF1" s="7" t="s">
        <v>9979</v>
      </c>
      <c r="NFG1" s="7" t="s">
        <v>9980</v>
      </c>
      <c r="NFH1" s="7" t="s">
        <v>9981</v>
      </c>
      <c r="NFI1" s="7" t="s">
        <v>9982</v>
      </c>
      <c r="NFJ1" s="7" t="s">
        <v>9983</v>
      </c>
      <c r="NFK1" s="7" t="s">
        <v>9984</v>
      </c>
      <c r="NFL1" s="7" t="s">
        <v>9985</v>
      </c>
      <c r="NFM1" s="7" t="s">
        <v>9986</v>
      </c>
      <c r="NFN1" s="7" t="s">
        <v>9987</v>
      </c>
      <c r="NFO1" s="7" t="s">
        <v>9988</v>
      </c>
      <c r="NFP1" s="7" t="s">
        <v>9989</v>
      </c>
      <c r="NFQ1" s="7" t="s">
        <v>9990</v>
      </c>
      <c r="NFR1" s="7" t="s">
        <v>9991</v>
      </c>
      <c r="NFS1" s="7" t="s">
        <v>9992</v>
      </c>
      <c r="NFT1" s="7" t="s">
        <v>9993</v>
      </c>
      <c r="NFU1" s="7" t="s">
        <v>9994</v>
      </c>
      <c r="NFV1" s="7" t="s">
        <v>9995</v>
      </c>
      <c r="NFW1" s="7" t="s">
        <v>9996</v>
      </c>
      <c r="NFX1" s="7" t="s">
        <v>9997</v>
      </c>
      <c r="NFY1" s="7" t="s">
        <v>9998</v>
      </c>
      <c r="NFZ1" s="7" t="s">
        <v>9999</v>
      </c>
      <c r="NGA1" s="7" t="s">
        <v>10000</v>
      </c>
      <c r="NGB1" s="7" t="s">
        <v>10001</v>
      </c>
      <c r="NGC1" s="7" t="s">
        <v>10002</v>
      </c>
      <c r="NGD1" s="7" t="s">
        <v>10003</v>
      </c>
      <c r="NGE1" s="7" t="s">
        <v>10004</v>
      </c>
      <c r="NGF1" s="7" t="s">
        <v>10005</v>
      </c>
      <c r="NGG1" s="7" t="s">
        <v>10006</v>
      </c>
      <c r="NGH1" s="7" t="s">
        <v>10007</v>
      </c>
      <c r="NGI1" s="7" t="s">
        <v>10008</v>
      </c>
      <c r="NGJ1" s="7" t="s">
        <v>10009</v>
      </c>
      <c r="NGK1" s="7" t="s">
        <v>10010</v>
      </c>
      <c r="NGL1" s="7" t="s">
        <v>10011</v>
      </c>
      <c r="NGM1" s="7" t="s">
        <v>10012</v>
      </c>
      <c r="NGN1" s="7" t="s">
        <v>10013</v>
      </c>
      <c r="NGO1" s="7" t="s">
        <v>10014</v>
      </c>
      <c r="NGP1" s="7" t="s">
        <v>10015</v>
      </c>
      <c r="NGQ1" s="7" t="s">
        <v>10016</v>
      </c>
      <c r="NGR1" s="7" t="s">
        <v>10017</v>
      </c>
      <c r="NGS1" s="7" t="s">
        <v>10018</v>
      </c>
      <c r="NGT1" s="7" t="s">
        <v>10019</v>
      </c>
      <c r="NGU1" s="7" t="s">
        <v>10020</v>
      </c>
      <c r="NGV1" s="7" t="s">
        <v>10021</v>
      </c>
      <c r="NGW1" s="7" t="s">
        <v>10022</v>
      </c>
      <c r="NGX1" s="7" t="s">
        <v>10023</v>
      </c>
      <c r="NGY1" s="7" t="s">
        <v>10024</v>
      </c>
      <c r="NGZ1" s="7" t="s">
        <v>10025</v>
      </c>
      <c r="NHA1" s="7" t="s">
        <v>10026</v>
      </c>
      <c r="NHB1" s="7" t="s">
        <v>10027</v>
      </c>
      <c r="NHC1" s="7" t="s">
        <v>10028</v>
      </c>
      <c r="NHD1" s="7" t="s">
        <v>10029</v>
      </c>
      <c r="NHE1" s="7" t="s">
        <v>10030</v>
      </c>
      <c r="NHF1" s="7" t="s">
        <v>10031</v>
      </c>
      <c r="NHG1" s="7" t="s">
        <v>10032</v>
      </c>
      <c r="NHH1" s="7" t="s">
        <v>10033</v>
      </c>
      <c r="NHI1" s="7" t="s">
        <v>10034</v>
      </c>
      <c r="NHJ1" s="7" t="s">
        <v>10035</v>
      </c>
      <c r="NHK1" s="7" t="s">
        <v>10036</v>
      </c>
      <c r="NHL1" s="7" t="s">
        <v>10037</v>
      </c>
      <c r="NHM1" s="7" t="s">
        <v>10038</v>
      </c>
      <c r="NHN1" s="7" t="s">
        <v>10039</v>
      </c>
      <c r="NHO1" s="7" t="s">
        <v>10040</v>
      </c>
      <c r="NHP1" s="7" t="s">
        <v>10041</v>
      </c>
      <c r="NHQ1" s="7" t="s">
        <v>10042</v>
      </c>
      <c r="NHR1" s="7" t="s">
        <v>10043</v>
      </c>
      <c r="NHS1" s="7" t="s">
        <v>10044</v>
      </c>
      <c r="NHT1" s="7" t="s">
        <v>10045</v>
      </c>
      <c r="NHU1" s="7" t="s">
        <v>10046</v>
      </c>
      <c r="NHV1" s="7" t="s">
        <v>10047</v>
      </c>
      <c r="NHW1" s="7" t="s">
        <v>10048</v>
      </c>
      <c r="NHX1" s="7" t="s">
        <v>10049</v>
      </c>
      <c r="NHY1" s="7" t="s">
        <v>10050</v>
      </c>
      <c r="NHZ1" s="7" t="s">
        <v>10051</v>
      </c>
      <c r="NIA1" s="7" t="s">
        <v>10052</v>
      </c>
      <c r="NIB1" s="7" t="s">
        <v>10053</v>
      </c>
      <c r="NIC1" s="7" t="s">
        <v>10054</v>
      </c>
      <c r="NID1" s="7" t="s">
        <v>10055</v>
      </c>
      <c r="NIE1" s="7" t="s">
        <v>10056</v>
      </c>
      <c r="NIF1" s="7" t="s">
        <v>10057</v>
      </c>
      <c r="NIG1" s="7" t="s">
        <v>10058</v>
      </c>
      <c r="NIH1" s="7" t="s">
        <v>10059</v>
      </c>
      <c r="NII1" s="7" t="s">
        <v>10060</v>
      </c>
      <c r="NIJ1" s="7" t="s">
        <v>10061</v>
      </c>
      <c r="NIK1" s="7" t="s">
        <v>10062</v>
      </c>
      <c r="NIL1" s="7" t="s">
        <v>10063</v>
      </c>
      <c r="NIM1" s="7" t="s">
        <v>10064</v>
      </c>
      <c r="NIN1" s="7" t="s">
        <v>10065</v>
      </c>
      <c r="NIO1" s="7" t="s">
        <v>10066</v>
      </c>
      <c r="NIP1" s="7" t="s">
        <v>10067</v>
      </c>
      <c r="NIQ1" s="7" t="s">
        <v>10068</v>
      </c>
      <c r="NIR1" s="7" t="s">
        <v>10069</v>
      </c>
      <c r="NIS1" s="7" t="s">
        <v>10070</v>
      </c>
      <c r="NIT1" s="7" t="s">
        <v>10071</v>
      </c>
      <c r="NIU1" s="7" t="s">
        <v>10072</v>
      </c>
      <c r="NIV1" s="7" t="s">
        <v>10073</v>
      </c>
      <c r="NIW1" s="7" t="s">
        <v>10074</v>
      </c>
      <c r="NIX1" s="7" t="s">
        <v>10075</v>
      </c>
      <c r="NIY1" s="7" t="s">
        <v>10076</v>
      </c>
      <c r="NIZ1" s="7" t="s">
        <v>10077</v>
      </c>
      <c r="NJA1" s="7" t="s">
        <v>10078</v>
      </c>
      <c r="NJB1" s="7" t="s">
        <v>10079</v>
      </c>
      <c r="NJC1" s="7" t="s">
        <v>10080</v>
      </c>
      <c r="NJD1" s="7" t="s">
        <v>10081</v>
      </c>
      <c r="NJE1" s="7" t="s">
        <v>10082</v>
      </c>
      <c r="NJF1" s="7" t="s">
        <v>10083</v>
      </c>
      <c r="NJG1" s="7" t="s">
        <v>10084</v>
      </c>
      <c r="NJH1" s="7" t="s">
        <v>10085</v>
      </c>
      <c r="NJI1" s="7" t="s">
        <v>10086</v>
      </c>
      <c r="NJJ1" s="7" t="s">
        <v>10087</v>
      </c>
      <c r="NJK1" s="7" t="s">
        <v>10088</v>
      </c>
      <c r="NJL1" s="7" t="s">
        <v>10089</v>
      </c>
      <c r="NJM1" s="7" t="s">
        <v>10090</v>
      </c>
      <c r="NJN1" s="7" t="s">
        <v>10091</v>
      </c>
      <c r="NJO1" s="7" t="s">
        <v>10092</v>
      </c>
      <c r="NJP1" s="7" t="s">
        <v>10093</v>
      </c>
      <c r="NJQ1" s="7" t="s">
        <v>10094</v>
      </c>
      <c r="NJR1" s="7" t="s">
        <v>10095</v>
      </c>
      <c r="NJS1" s="7" t="s">
        <v>10096</v>
      </c>
      <c r="NJT1" s="7" t="s">
        <v>10097</v>
      </c>
      <c r="NJU1" s="7" t="s">
        <v>10098</v>
      </c>
      <c r="NJV1" s="7" t="s">
        <v>10099</v>
      </c>
      <c r="NJW1" s="7" t="s">
        <v>10100</v>
      </c>
      <c r="NJX1" s="7" t="s">
        <v>10101</v>
      </c>
      <c r="NJY1" s="7" t="s">
        <v>10102</v>
      </c>
      <c r="NJZ1" s="7" t="s">
        <v>10103</v>
      </c>
      <c r="NKA1" s="7" t="s">
        <v>10104</v>
      </c>
      <c r="NKB1" s="7" t="s">
        <v>10105</v>
      </c>
      <c r="NKC1" s="7" t="s">
        <v>10106</v>
      </c>
      <c r="NKD1" s="7" t="s">
        <v>10107</v>
      </c>
      <c r="NKE1" s="7" t="s">
        <v>10108</v>
      </c>
      <c r="NKF1" s="7" t="s">
        <v>10109</v>
      </c>
      <c r="NKG1" s="7" t="s">
        <v>10110</v>
      </c>
      <c r="NKH1" s="7" t="s">
        <v>10111</v>
      </c>
      <c r="NKI1" s="7" t="s">
        <v>10112</v>
      </c>
      <c r="NKJ1" s="7" t="s">
        <v>10113</v>
      </c>
      <c r="NKK1" s="7" t="s">
        <v>10114</v>
      </c>
      <c r="NKL1" s="7" t="s">
        <v>10115</v>
      </c>
      <c r="NKM1" s="7" t="s">
        <v>10116</v>
      </c>
      <c r="NKN1" s="7" t="s">
        <v>10117</v>
      </c>
      <c r="NKO1" s="7" t="s">
        <v>10118</v>
      </c>
      <c r="NKP1" s="7" t="s">
        <v>10119</v>
      </c>
      <c r="NKQ1" s="7" t="s">
        <v>10120</v>
      </c>
      <c r="NKR1" s="7" t="s">
        <v>10121</v>
      </c>
      <c r="NKS1" s="7" t="s">
        <v>10122</v>
      </c>
      <c r="NKT1" s="7" t="s">
        <v>10123</v>
      </c>
      <c r="NKU1" s="7" t="s">
        <v>10124</v>
      </c>
      <c r="NKV1" s="7" t="s">
        <v>10125</v>
      </c>
      <c r="NKW1" s="7" t="s">
        <v>10126</v>
      </c>
      <c r="NKX1" s="7" t="s">
        <v>10127</v>
      </c>
      <c r="NKY1" s="7" t="s">
        <v>10128</v>
      </c>
      <c r="NKZ1" s="7" t="s">
        <v>10129</v>
      </c>
      <c r="NLA1" s="7" t="s">
        <v>10130</v>
      </c>
      <c r="NLB1" s="7" t="s">
        <v>10131</v>
      </c>
      <c r="NLC1" s="7" t="s">
        <v>10132</v>
      </c>
      <c r="NLD1" s="7" t="s">
        <v>10133</v>
      </c>
      <c r="NLE1" s="7" t="s">
        <v>10134</v>
      </c>
      <c r="NLF1" s="7" t="s">
        <v>10135</v>
      </c>
      <c r="NLG1" s="7" t="s">
        <v>10136</v>
      </c>
      <c r="NLH1" s="7" t="s">
        <v>10137</v>
      </c>
      <c r="NLI1" s="7" t="s">
        <v>10138</v>
      </c>
      <c r="NLJ1" s="7" t="s">
        <v>10139</v>
      </c>
      <c r="NLK1" s="7" t="s">
        <v>10140</v>
      </c>
      <c r="NLL1" s="7" t="s">
        <v>10141</v>
      </c>
      <c r="NLM1" s="7" t="s">
        <v>10142</v>
      </c>
      <c r="NLN1" s="7" t="s">
        <v>10143</v>
      </c>
      <c r="NLO1" s="7" t="s">
        <v>10144</v>
      </c>
      <c r="NLP1" s="7" t="s">
        <v>10145</v>
      </c>
      <c r="NLQ1" s="7" t="s">
        <v>10146</v>
      </c>
      <c r="NLR1" s="7" t="s">
        <v>10147</v>
      </c>
      <c r="NLS1" s="7" t="s">
        <v>10148</v>
      </c>
      <c r="NLT1" s="7" t="s">
        <v>10149</v>
      </c>
      <c r="NLU1" s="7" t="s">
        <v>10150</v>
      </c>
      <c r="NLV1" s="7" t="s">
        <v>10151</v>
      </c>
      <c r="NLW1" s="7" t="s">
        <v>10152</v>
      </c>
      <c r="NLX1" s="7" t="s">
        <v>10153</v>
      </c>
      <c r="NLY1" s="7" t="s">
        <v>10154</v>
      </c>
      <c r="NLZ1" s="7" t="s">
        <v>10155</v>
      </c>
      <c r="NMA1" s="7" t="s">
        <v>10156</v>
      </c>
      <c r="NMB1" s="7" t="s">
        <v>10157</v>
      </c>
      <c r="NMC1" s="7" t="s">
        <v>10158</v>
      </c>
      <c r="NMD1" s="7" t="s">
        <v>10159</v>
      </c>
      <c r="NME1" s="7" t="s">
        <v>10160</v>
      </c>
      <c r="NMF1" s="7" t="s">
        <v>10161</v>
      </c>
      <c r="NMG1" s="7" t="s">
        <v>10162</v>
      </c>
      <c r="NMH1" s="7" t="s">
        <v>10163</v>
      </c>
      <c r="NMI1" s="7" t="s">
        <v>10164</v>
      </c>
      <c r="NMJ1" s="7" t="s">
        <v>10165</v>
      </c>
      <c r="NMK1" s="7" t="s">
        <v>10166</v>
      </c>
      <c r="NML1" s="7" t="s">
        <v>10167</v>
      </c>
      <c r="NMM1" s="7" t="s">
        <v>10168</v>
      </c>
      <c r="NMN1" s="7" t="s">
        <v>10169</v>
      </c>
      <c r="NMO1" s="7" t="s">
        <v>10170</v>
      </c>
      <c r="NMP1" s="7" t="s">
        <v>10171</v>
      </c>
      <c r="NMQ1" s="7" t="s">
        <v>10172</v>
      </c>
      <c r="NMR1" s="7" t="s">
        <v>10173</v>
      </c>
      <c r="NMS1" s="7" t="s">
        <v>10174</v>
      </c>
      <c r="NMT1" s="7" t="s">
        <v>10175</v>
      </c>
      <c r="NMU1" s="7" t="s">
        <v>10176</v>
      </c>
      <c r="NMV1" s="7" t="s">
        <v>10177</v>
      </c>
      <c r="NMW1" s="7" t="s">
        <v>10178</v>
      </c>
      <c r="NMX1" s="7" t="s">
        <v>10179</v>
      </c>
      <c r="NMY1" s="7" t="s">
        <v>10180</v>
      </c>
      <c r="NMZ1" s="7" t="s">
        <v>10181</v>
      </c>
      <c r="NNA1" s="7" t="s">
        <v>10182</v>
      </c>
      <c r="NNB1" s="7" t="s">
        <v>10183</v>
      </c>
      <c r="NNC1" s="7" t="s">
        <v>10184</v>
      </c>
      <c r="NND1" s="7" t="s">
        <v>10185</v>
      </c>
      <c r="NNE1" s="7" t="s">
        <v>10186</v>
      </c>
      <c r="NNF1" s="7" t="s">
        <v>10187</v>
      </c>
      <c r="NNG1" s="7" t="s">
        <v>10188</v>
      </c>
      <c r="NNH1" s="7" t="s">
        <v>10189</v>
      </c>
      <c r="NNI1" s="7" t="s">
        <v>10190</v>
      </c>
      <c r="NNJ1" s="7" t="s">
        <v>10191</v>
      </c>
      <c r="NNK1" s="7" t="s">
        <v>10192</v>
      </c>
      <c r="NNL1" s="7" t="s">
        <v>10193</v>
      </c>
      <c r="NNM1" s="7" t="s">
        <v>10194</v>
      </c>
      <c r="NNN1" s="7" t="s">
        <v>10195</v>
      </c>
      <c r="NNO1" s="7" t="s">
        <v>10196</v>
      </c>
      <c r="NNP1" s="7" t="s">
        <v>10197</v>
      </c>
      <c r="NNQ1" s="7" t="s">
        <v>10198</v>
      </c>
      <c r="NNR1" s="7" t="s">
        <v>10199</v>
      </c>
      <c r="NNS1" s="7" t="s">
        <v>10200</v>
      </c>
      <c r="NNT1" s="7" t="s">
        <v>10201</v>
      </c>
      <c r="NNU1" s="7" t="s">
        <v>10202</v>
      </c>
      <c r="NNV1" s="7" t="s">
        <v>10203</v>
      </c>
      <c r="NNW1" s="7" t="s">
        <v>10204</v>
      </c>
      <c r="NNX1" s="7" t="s">
        <v>10205</v>
      </c>
      <c r="NNY1" s="7" t="s">
        <v>10206</v>
      </c>
      <c r="NNZ1" s="7" t="s">
        <v>10207</v>
      </c>
      <c r="NOA1" s="7" t="s">
        <v>10208</v>
      </c>
      <c r="NOB1" s="7" t="s">
        <v>10209</v>
      </c>
      <c r="NOC1" s="7" t="s">
        <v>10210</v>
      </c>
      <c r="NOD1" s="7" t="s">
        <v>10211</v>
      </c>
      <c r="NOE1" s="7" t="s">
        <v>10212</v>
      </c>
      <c r="NOF1" s="7" t="s">
        <v>10213</v>
      </c>
      <c r="NOG1" s="7" t="s">
        <v>10214</v>
      </c>
      <c r="NOH1" s="7" t="s">
        <v>10215</v>
      </c>
      <c r="NOI1" s="7" t="s">
        <v>10216</v>
      </c>
      <c r="NOJ1" s="7" t="s">
        <v>10217</v>
      </c>
      <c r="NOK1" s="7" t="s">
        <v>10218</v>
      </c>
      <c r="NOL1" s="7" t="s">
        <v>10219</v>
      </c>
      <c r="NOM1" s="7" t="s">
        <v>10220</v>
      </c>
      <c r="NON1" s="7" t="s">
        <v>10221</v>
      </c>
      <c r="NOO1" s="7" t="s">
        <v>10222</v>
      </c>
      <c r="NOP1" s="7" t="s">
        <v>10223</v>
      </c>
      <c r="NOQ1" s="7" t="s">
        <v>10224</v>
      </c>
      <c r="NOR1" s="7" t="s">
        <v>10225</v>
      </c>
      <c r="NOS1" s="7" t="s">
        <v>10226</v>
      </c>
      <c r="NOT1" s="7" t="s">
        <v>10227</v>
      </c>
      <c r="NOU1" s="7" t="s">
        <v>10228</v>
      </c>
      <c r="NOV1" s="7" t="s">
        <v>10229</v>
      </c>
      <c r="NOW1" s="7" t="s">
        <v>10230</v>
      </c>
      <c r="NOX1" s="7" t="s">
        <v>10231</v>
      </c>
      <c r="NOY1" s="7" t="s">
        <v>10232</v>
      </c>
      <c r="NOZ1" s="7" t="s">
        <v>10233</v>
      </c>
      <c r="NPA1" s="7" t="s">
        <v>10234</v>
      </c>
      <c r="NPB1" s="7" t="s">
        <v>10235</v>
      </c>
      <c r="NPC1" s="7" t="s">
        <v>10236</v>
      </c>
      <c r="NPD1" s="7" t="s">
        <v>10237</v>
      </c>
      <c r="NPE1" s="7" t="s">
        <v>10238</v>
      </c>
      <c r="NPF1" s="7" t="s">
        <v>10239</v>
      </c>
      <c r="NPG1" s="7" t="s">
        <v>10240</v>
      </c>
      <c r="NPH1" s="7" t="s">
        <v>10241</v>
      </c>
      <c r="NPI1" s="7" t="s">
        <v>10242</v>
      </c>
      <c r="NPJ1" s="7" t="s">
        <v>10243</v>
      </c>
      <c r="NPK1" s="7" t="s">
        <v>10244</v>
      </c>
      <c r="NPL1" s="7" t="s">
        <v>10245</v>
      </c>
      <c r="NPM1" s="7" t="s">
        <v>10246</v>
      </c>
      <c r="NPN1" s="7" t="s">
        <v>10247</v>
      </c>
      <c r="NPO1" s="7" t="s">
        <v>10248</v>
      </c>
      <c r="NPP1" s="7" t="s">
        <v>10249</v>
      </c>
      <c r="NPQ1" s="7" t="s">
        <v>10250</v>
      </c>
      <c r="NPR1" s="7" t="s">
        <v>10251</v>
      </c>
      <c r="NPS1" s="7" t="s">
        <v>10252</v>
      </c>
      <c r="NPT1" s="7" t="s">
        <v>10253</v>
      </c>
      <c r="NPU1" s="7" t="s">
        <v>10254</v>
      </c>
      <c r="NPV1" s="7" t="s">
        <v>10255</v>
      </c>
      <c r="NPW1" s="7" t="s">
        <v>10256</v>
      </c>
      <c r="NPX1" s="7" t="s">
        <v>10257</v>
      </c>
      <c r="NPY1" s="7" t="s">
        <v>10258</v>
      </c>
      <c r="NPZ1" s="7" t="s">
        <v>10259</v>
      </c>
      <c r="NQA1" s="7" t="s">
        <v>10260</v>
      </c>
      <c r="NQB1" s="7" t="s">
        <v>10261</v>
      </c>
      <c r="NQC1" s="7" t="s">
        <v>10262</v>
      </c>
      <c r="NQD1" s="7" t="s">
        <v>10263</v>
      </c>
      <c r="NQE1" s="7" t="s">
        <v>10264</v>
      </c>
      <c r="NQF1" s="7" t="s">
        <v>10265</v>
      </c>
      <c r="NQG1" s="7" t="s">
        <v>10266</v>
      </c>
      <c r="NQH1" s="7" t="s">
        <v>10267</v>
      </c>
      <c r="NQI1" s="7" t="s">
        <v>10268</v>
      </c>
      <c r="NQJ1" s="7" t="s">
        <v>10269</v>
      </c>
      <c r="NQK1" s="7" t="s">
        <v>10270</v>
      </c>
      <c r="NQL1" s="7" t="s">
        <v>10271</v>
      </c>
      <c r="NQM1" s="7" t="s">
        <v>10272</v>
      </c>
      <c r="NQN1" s="7" t="s">
        <v>10273</v>
      </c>
      <c r="NQO1" s="7" t="s">
        <v>10274</v>
      </c>
      <c r="NQP1" s="7" t="s">
        <v>10275</v>
      </c>
      <c r="NQQ1" s="7" t="s">
        <v>10276</v>
      </c>
      <c r="NQR1" s="7" t="s">
        <v>10277</v>
      </c>
      <c r="NQS1" s="7" t="s">
        <v>10278</v>
      </c>
      <c r="NQT1" s="7" t="s">
        <v>10279</v>
      </c>
      <c r="NQU1" s="7" t="s">
        <v>10280</v>
      </c>
      <c r="NQV1" s="7" t="s">
        <v>10281</v>
      </c>
      <c r="NQW1" s="7" t="s">
        <v>10282</v>
      </c>
      <c r="NQX1" s="7" t="s">
        <v>10283</v>
      </c>
      <c r="NQY1" s="7" t="s">
        <v>10284</v>
      </c>
      <c r="NQZ1" s="7" t="s">
        <v>10285</v>
      </c>
      <c r="NRA1" s="7" t="s">
        <v>10286</v>
      </c>
      <c r="NRB1" s="7" t="s">
        <v>10287</v>
      </c>
      <c r="NRC1" s="7" t="s">
        <v>10288</v>
      </c>
      <c r="NRD1" s="7" t="s">
        <v>10289</v>
      </c>
      <c r="NRE1" s="7" t="s">
        <v>10290</v>
      </c>
      <c r="NRF1" s="7" t="s">
        <v>10291</v>
      </c>
      <c r="NRG1" s="7" t="s">
        <v>10292</v>
      </c>
      <c r="NRH1" s="7" t="s">
        <v>10293</v>
      </c>
      <c r="NRI1" s="7" t="s">
        <v>10294</v>
      </c>
      <c r="NRJ1" s="7" t="s">
        <v>10295</v>
      </c>
      <c r="NRK1" s="7" t="s">
        <v>10296</v>
      </c>
      <c r="NRL1" s="7" t="s">
        <v>10297</v>
      </c>
      <c r="NRM1" s="7" t="s">
        <v>10298</v>
      </c>
      <c r="NRN1" s="7" t="s">
        <v>10299</v>
      </c>
      <c r="NRO1" s="7" t="s">
        <v>10300</v>
      </c>
      <c r="NRP1" s="7" t="s">
        <v>10301</v>
      </c>
      <c r="NRQ1" s="7" t="s">
        <v>10302</v>
      </c>
      <c r="NRR1" s="7" t="s">
        <v>10303</v>
      </c>
      <c r="NRS1" s="7" t="s">
        <v>10304</v>
      </c>
      <c r="NRT1" s="7" t="s">
        <v>10305</v>
      </c>
      <c r="NRU1" s="7" t="s">
        <v>10306</v>
      </c>
      <c r="NRV1" s="7" t="s">
        <v>10307</v>
      </c>
      <c r="NRW1" s="7" t="s">
        <v>10308</v>
      </c>
      <c r="NRX1" s="7" t="s">
        <v>10309</v>
      </c>
      <c r="NRY1" s="7" t="s">
        <v>10310</v>
      </c>
      <c r="NRZ1" s="7" t="s">
        <v>10311</v>
      </c>
      <c r="NSA1" s="7" t="s">
        <v>10312</v>
      </c>
      <c r="NSB1" s="7" t="s">
        <v>10313</v>
      </c>
      <c r="NSC1" s="7" t="s">
        <v>10314</v>
      </c>
      <c r="NSD1" s="7" t="s">
        <v>10315</v>
      </c>
      <c r="NSE1" s="7" t="s">
        <v>10316</v>
      </c>
      <c r="NSF1" s="7" t="s">
        <v>10317</v>
      </c>
      <c r="NSG1" s="7" t="s">
        <v>10318</v>
      </c>
      <c r="NSH1" s="7" t="s">
        <v>10319</v>
      </c>
      <c r="NSI1" s="7" t="s">
        <v>10320</v>
      </c>
      <c r="NSJ1" s="7" t="s">
        <v>10321</v>
      </c>
      <c r="NSK1" s="7" t="s">
        <v>10322</v>
      </c>
      <c r="NSL1" s="7" t="s">
        <v>10323</v>
      </c>
      <c r="NSM1" s="7" t="s">
        <v>10324</v>
      </c>
      <c r="NSN1" s="7" t="s">
        <v>10325</v>
      </c>
      <c r="NSO1" s="7" t="s">
        <v>10326</v>
      </c>
      <c r="NSP1" s="7" t="s">
        <v>10327</v>
      </c>
      <c r="NSQ1" s="7" t="s">
        <v>10328</v>
      </c>
      <c r="NSR1" s="7" t="s">
        <v>10329</v>
      </c>
      <c r="NSS1" s="7" t="s">
        <v>10330</v>
      </c>
      <c r="NST1" s="7" t="s">
        <v>10331</v>
      </c>
      <c r="NSU1" s="7" t="s">
        <v>10332</v>
      </c>
      <c r="NSV1" s="7" t="s">
        <v>10333</v>
      </c>
      <c r="NSW1" s="7" t="s">
        <v>10334</v>
      </c>
      <c r="NSX1" s="7" t="s">
        <v>10335</v>
      </c>
      <c r="NSY1" s="7" t="s">
        <v>10336</v>
      </c>
      <c r="NSZ1" s="7" t="s">
        <v>10337</v>
      </c>
      <c r="NTA1" s="7" t="s">
        <v>10338</v>
      </c>
      <c r="NTB1" s="7" t="s">
        <v>10339</v>
      </c>
      <c r="NTC1" s="7" t="s">
        <v>10340</v>
      </c>
      <c r="NTD1" s="7" t="s">
        <v>10341</v>
      </c>
      <c r="NTE1" s="7" t="s">
        <v>10342</v>
      </c>
      <c r="NTF1" s="7" t="s">
        <v>10343</v>
      </c>
      <c r="NTG1" s="7" t="s">
        <v>10344</v>
      </c>
      <c r="NTH1" s="7" t="s">
        <v>10345</v>
      </c>
      <c r="NTI1" s="7" t="s">
        <v>10346</v>
      </c>
      <c r="NTJ1" s="7" t="s">
        <v>10347</v>
      </c>
      <c r="NTK1" s="7" t="s">
        <v>10348</v>
      </c>
      <c r="NTL1" s="7" t="s">
        <v>10349</v>
      </c>
      <c r="NTM1" s="7" t="s">
        <v>10350</v>
      </c>
      <c r="NTN1" s="7" t="s">
        <v>10351</v>
      </c>
      <c r="NTO1" s="7" t="s">
        <v>10352</v>
      </c>
      <c r="NTP1" s="7" t="s">
        <v>10353</v>
      </c>
      <c r="NTQ1" s="7" t="s">
        <v>10354</v>
      </c>
      <c r="NTR1" s="7" t="s">
        <v>10355</v>
      </c>
      <c r="NTS1" s="7" t="s">
        <v>10356</v>
      </c>
      <c r="NTT1" s="7" t="s">
        <v>10357</v>
      </c>
      <c r="NTU1" s="7" t="s">
        <v>10358</v>
      </c>
      <c r="NTV1" s="7" t="s">
        <v>10359</v>
      </c>
      <c r="NTW1" s="7" t="s">
        <v>10360</v>
      </c>
      <c r="NTX1" s="7" t="s">
        <v>10361</v>
      </c>
      <c r="NTY1" s="7" t="s">
        <v>10362</v>
      </c>
      <c r="NTZ1" s="7" t="s">
        <v>10363</v>
      </c>
      <c r="NUA1" s="7" t="s">
        <v>10364</v>
      </c>
      <c r="NUB1" s="7" t="s">
        <v>10365</v>
      </c>
      <c r="NUC1" s="7" t="s">
        <v>10366</v>
      </c>
      <c r="NUD1" s="7" t="s">
        <v>10367</v>
      </c>
      <c r="NUE1" s="7" t="s">
        <v>10368</v>
      </c>
      <c r="NUF1" s="7" t="s">
        <v>10369</v>
      </c>
      <c r="NUG1" s="7" t="s">
        <v>10370</v>
      </c>
      <c r="NUH1" s="7" t="s">
        <v>10371</v>
      </c>
      <c r="NUI1" s="7" t="s">
        <v>10372</v>
      </c>
      <c r="NUJ1" s="7" t="s">
        <v>10373</v>
      </c>
      <c r="NUK1" s="7" t="s">
        <v>10374</v>
      </c>
      <c r="NUL1" s="7" t="s">
        <v>10375</v>
      </c>
      <c r="NUM1" s="7" t="s">
        <v>10376</v>
      </c>
      <c r="NUN1" s="7" t="s">
        <v>10377</v>
      </c>
      <c r="NUO1" s="7" t="s">
        <v>10378</v>
      </c>
      <c r="NUP1" s="7" t="s">
        <v>10379</v>
      </c>
      <c r="NUQ1" s="7" t="s">
        <v>10380</v>
      </c>
      <c r="NUR1" s="7" t="s">
        <v>10381</v>
      </c>
      <c r="NUS1" s="7" t="s">
        <v>10382</v>
      </c>
      <c r="NUT1" s="7" t="s">
        <v>10383</v>
      </c>
      <c r="NUU1" s="7" t="s">
        <v>10384</v>
      </c>
      <c r="NUV1" s="7" t="s">
        <v>10385</v>
      </c>
      <c r="NUW1" s="7" t="s">
        <v>10386</v>
      </c>
      <c r="NUX1" s="7" t="s">
        <v>10387</v>
      </c>
      <c r="NUY1" s="7" t="s">
        <v>10388</v>
      </c>
      <c r="NUZ1" s="7" t="s">
        <v>10389</v>
      </c>
      <c r="NVA1" s="7" t="s">
        <v>10390</v>
      </c>
      <c r="NVB1" s="7" t="s">
        <v>10391</v>
      </c>
      <c r="NVC1" s="7" t="s">
        <v>10392</v>
      </c>
      <c r="NVD1" s="7" t="s">
        <v>10393</v>
      </c>
      <c r="NVE1" s="7" t="s">
        <v>10394</v>
      </c>
      <c r="NVF1" s="7" t="s">
        <v>10395</v>
      </c>
      <c r="NVG1" s="7" t="s">
        <v>10396</v>
      </c>
      <c r="NVH1" s="7" t="s">
        <v>10397</v>
      </c>
      <c r="NVI1" s="7" t="s">
        <v>10398</v>
      </c>
      <c r="NVJ1" s="7" t="s">
        <v>10399</v>
      </c>
      <c r="NVK1" s="7" t="s">
        <v>10400</v>
      </c>
      <c r="NVL1" s="7" t="s">
        <v>10401</v>
      </c>
      <c r="NVM1" s="7" t="s">
        <v>10402</v>
      </c>
      <c r="NVN1" s="7" t="s">
        <v>10403</v>
      </c>
      <c r="NVO1" s="7" t="s">
        <v>10404</v>
      </c>
      <c r="NVP1" s="7" t="s">
        <v>10405</v>
      </c>
      <c r="NVQ1" s="7" t="s">
        <v>10406</v>
      </c>
      <c r="NVR1" s="7" t="s">
        <v>10407</v>
      </c>
      <c r="NVS1" s="7" t="s">
        <v>10408</v>
      </c>
      <c r="NVT1" s="7" t="s">
        <v>10409</v>
      </c>
      <c r="NVU1" s="7" t="s">
        <v>10410</v>
      </c>
      <c r="NVV1" s="7" t="s">
        <v>10411</v>
      </c>
      <c r="NVW1" s="7" t="s">
        <v>10412</v>
      </c>
      <c r="NVX1" s="7" t="s">
        <v>10413</v>
      </c>
      <c r="NVY1" s="7" t="s">
        <v>10414</v>
      </c>
      <c r="NVZ1" s="7" t="s">
        <v>10415</v>
      </c>
      <c r="NWA1" s="7" t="s">
        <v>10416</v>
      </c>
      <c r="NWB1" s="7" t="s">
        <v>10417</v>
      </c>
      <c r="NWC1" s="7" t="s">
        <v>10418</v>
      </c>
      <c r="NWD1" s="7" t="s">
        <v>10419</v>
      </c>
      <c r="NWE1" s="7" t="s">
        <v>10420</v>
      </c>
      <c r="NWF1" s="7" t="s">
        <v>10421</v>
      </c>
      <c r="NWG1" s="7" t="s">
        <v>10422</v>
      </c>
      <c r="NWH1" s="7" t="s">
        <v>10423</v>
      </c>
      <c r="NWI1" s="7" t="s">
        <v>10424</v>
      </c>
      <c r="NWJ1" s="7" t="s">
        <v>10425</v>
      </c>
      <c r="NWK1" s="7" t="s">
        <v>10426</v>
      </c>
      <c r="NWL1" s="7" t="s">
        <v>10427</v>
      </c>
      <c r="NWM1" s="7" t="s">
        <v>10428</v>
      </c>
      <c r="NWN1" s="7" t="s">
        <v>10429</v>
      </c>
      <c r="NWO1" s="7" t="s">
        <v>10430</v>
      </c>
      <c r="NWP1" s="7" t="s">
        <v>10431</v>
      </c>
      <c r="NWQ1" s="7" t="s">
        <v>10432</v>
      </c>
      <c r="NWR1" s="7" t="s">
        <v>10433</v>
      </c>
      <c r="NWS1" s="7" t="s">
        <v>10434</v>
      </c>
      <c r="NWT1" s="7" t="s">
        <v>10435</v>
      </c>
      <c r="NWU1" s="7" t="s">
        <v>10436</v>
      </c>
      <c r="NWV1" s="7" t="s">
        <v>10437</v>
      </c>
      <c r="NWW1" s="7" t="s">
        <v>10438</v>
      </c>
      <c r="NWX1" s="7" t="s">
        <v>10439</v>
      </c>
      <c r="NWY1" s="7" t="s">
        <v>10440</v>
      </c>
      <c r="NWZ1" s="7" t="s">
        <v>10441</v>
      </c>
      <c r="NXA1" s="7" t="s">
        <v>10442</v>
      </c>
      <c r="NXB1" s="7" t="s">
        <v>10443</v>
      </c>
      <c r="NXC1" s="7" t="s">
        <v>10444</v>
      </c>
      <c r="NXD1" s="7" t="s">
        <v>10445</v>
      </c>
      <c r="NXE1" s="7" t="s">
        <v>10446</v>
      </c>
      <c r="NXF1" s="7" t="s">
        <v>10447</v>
      </c>
      <c r="NXG1" s="7" t="s">
        <v>10448</v>
      </c>
      <c r="NXH1" s="7" t="s">
        <v>10449</v>
      </c>
      <c r="NXI1" s="7" t="s">
        <v>10450</v>
      </c>
      <c r="NXJ1" s="7" t="s">
        <v>10451</v>
      </c>
      <c r="NXK1" s="7" t="s">
        <v>10452</v>
      </c>
      <c r="NXL1" s="7" t="s">
        <v>10453</v>
      </c>
      <c r="NXM1" s="7" t="s">
        <v>10454</v>
      </c>
      <c r="NXN1" s="7" t="s">
        <v>10455</v>
      </c>
      <c r="NXO1" s="7" t="s">
        <v>10456</v>
      </c>
      <c r="NXP1" s="7" t="s">
        <v>10457</v>
      </c>
      <c r="NXQ1" s="7" t="s">
        <v>10458</v>
      </c>
      <c r="NXR1" s="7" t="s">
        <v>10459</v>
      </c>
      <c r="NXS1" s="7" t="s">
        <v>10460</v>
      </c>
      <c r="NXT1" s="7" t="s">
        <v>10461</v>
      </c>
      <c r="NXU1" s="7" t="s">
        <v>10462</v>
      </c>
      <c r="NXV1" s="7" t="s">
        <v>10463</v>
      </c>
      <c r="NXW1" s="7" t="s">
        <v>10464</v>
      </c>
      <c r="NXX1" s="7" t="s">
        <v>10465</v>
      </c>
      <c r="NXY1" s="7" t="s">
        <v>10466</v>
      </c>
      <c r="NXZ1" s="7" t="s">
        <v>10467</v>
      </c>
      <c r="NYA1" s="7" t="s">
        <v>10468</v>
      </c>
      <c r="NYB1" s="7" t="s">
        <v>10469</v>
      </c>
      <c r="NYC1" s="7" t="s">
        <v>10470</v>
      </c>
      <c r="NYD1" s="7" t="s">
        <v>10471</v>
      </c>
      <c r="NYE1" s="7" t="s">
        <v>10472</v>
      </c>
      <c r="NYF1" s="7" t="s">
        <v>10473</v>
      </c>
      <c r="NYG1" s="7" t="s">
        <v>10474</v>
      </c>
      <c r="NYH1" s="7" t="s">
        <v>10475</v>
      </c>
      <c r="NYI1" s="7" t="s">
        <v>10476</v>
      </c>
      <c r="NYJ1" s="7" t="s">
        <v>10477</v>
      </c>
      <c r="NYK1" s="7" t="s">
        <v>10478</v>
      </c>
      <c r="NYL1" s="7" t="s">
        <v>10479</v>
      </c>
      <c r="NYM1" s="7" t="s">
        <v>10480</v>
      </c>
      <c r="NYN1" s="7" t="s">
        <v>10481</v>
      </c>
      <c r="NYO1" s="7" t="s">
        <v>10482</v>
      </c>
      <c r="NYP1" s="7" t="s">
        <v>10483</v>
      </c>
      <c r="NYQ1" s="7" t="s">
        <v>10484</v>
      </c>
      <c r="NYR1" s="7" t="s">
        <v>10485</v>
      </c>
      <c r="NYS1" s="7" t="s">
        <v>10486</v>
      </c>
      <c r="NYT1" s="7" t="s">
        <v>10487</v>
      </c>
      <c r="NYU1" s="7" t="s">
        <v>10488</v>
      </c>
      <c r="NYV1" s="7" t="s">
        <v>10489</v>
      </c>
      <c r="NYW1" s="7" t="s">
        <v>10490</v>
      </c>
      <c r="NYX1" s="7" t="s">
        <v>10491</v>
      </c>
      <c r="NYY1" s="7" t="s">
        <v>10492</v>
      </c>
      <c r="NYZ1" s="7" t="s">
        <v>10493</v>
      </c>
      <c r="NZA1" s="7" t="s">
        <v>10494</v>
      </c>
      <c r="NZB1" s="7" t="s">
        <v>10495</v>
      </c>
      <c r="NZC1" s="7" t="s">
        <v>10496</v>
      </c>
      <c r="NZD1" s="7" t="s">
        <v>10497</v>
      </c>
      <c r="NZE1" s="7" t="s">
        <v>10498</v>
      </c>
      <c r="NZF1" s="7" t="s">
        <v>10499</v>
      </c>
      <c r="NZG1" s="7" t="s">
        <v>10500</v>
      </c>
      <c r="NZH1" s="7" t="s">
        <v>10501</v>
      </c>
      <c r="NZI1" s="7" t="s">
        <v>10502</v>
      </c>
      <c r="NZJ1" s="7" t="s">
        <v>10503</v>
      </c>
      <c r="NZK1" s="7" t="s">
        <v>10504</v>
      </c>
      <c r="NZL1" s="7" t="s">
        <v>10505</v>
      </c>
      <c r="NZM1" s="7" t="s">
        <v>10506</v>
      </c>
      <c r="NZN1" s="7" t="s">
        <v>10507</v>
      </c>
      <c r="NZO1" s="7" t="s">
        <v>10508</v>
      </c>
      <c r="NZP1" s="7" t="s">
        <v>10509</v>
      </c>
      <c r="NZQ1" s="7" t="s">
        <v>10510</v>
      </c>
      <c r="NZR1" s="7" t="s">
        <v>10511</v>
      </c>
      <c r="NZS1" s="7" t="s">
        <v>10512</v>
      </c>
      <c r="NZT1" s="7" t="s">
        <v>10513</v>
      </c>
      <c r="NZU1" s="7" t="s">
        <v>10514</v>
      </c>
      <c r="NZV1" s="7" t="s">
        <v>10515</v>
      </c>
      <c r="NZW1" s="7" t="s">
        <v>10516</v>
      </c>
      <c r="NZX1" s="7" t="s">
        <v>10517</v>
      </c>
      <c r="NZY1" s="7" t="s">
        <v>10518</v>
      </c>
      <c r="NZZ1" s="7" t="s">
        <v>10519</v>
      </c>
      <c r="OAA1" s="7" t="s">
        <v>10520</v>
      </c>
      <c r="OAB1" s="7" t="s">
        <v>10521</v>
      </c>
      <c r="OAC1" s="7" t="s">
        <v>10522</v>
      </c>
      <c r="OAD1" s="7" t="s">
        <v>10523</v>
      </c>
      <c r="OAE1" s="7" t="s">
        <v>10524</v>
      </c>
      <c r="OAF1" s="7" t="s">
        <v>10525</v>
      </c>
      <c r="OAG1" s="7" t="s">
        <v>10526</v>
      </c>
      <c r="OAH1" s="7" t="s">
        <v>10527</v>
      </c>
      <c r="OAI1" s="7" t="s">
        <v>10528</v>
      </c>
      <c r="OAJ1" s="7" t="s">
        <v>10529</v>
      </c>
      <c r="OAK1" s="7" t="s">
        <v>10530</v>
      </c>
      <c r="OAL1" s="7" t="s">
        <v>10531</v>
      </c>
      <c r="OAM1" s="7" t="s">
        <v>10532</v>
      </c>
      <c r="OAN1" s="7" t="s">
        <v>10533</v>
      </c>
      <c r="OAO1" s="7" t="s">
        <v>10534</v>
      </c>
      <c r="OAP1" s="7" t="s">
        <v>10535</v>
      </c>
      <c r="OAQ1" s="7" t="s">
        <v>10536</v>
      </c>
      <c r="OAR1" s="7" t="s">
        <v>10537</v>
      </c>
      <c r="OAS1" s="7" t="s">
        <v>10538</v>
      </c>
      <c r="OAT1" s="7" t="s">
        <v>10539</v>
      </c>
      <c r="OAU1" s="7" t="s">
        <v>10540</v>
      </c>
      <c r="OAV1" s="7" t="s">
        <v>10541</v>
      </c>
      <c r="OAW1" s="7" t="s">
        <v>10542</v>
      </c>
      <c r="OAX1" s="7" t="s">
        <v>10543</v>
      </c>
      <c r="OAY1" s="7" t="s">
        <v>10544</v>
      </c>
      <c r="OAZ1" s="7" t="s">
        <v>10545</v>
      </c>
      <c r="OBA1" s="7" t="s">
        <v>10546</v>
      </c>
      <c r="OBB1" s="7" t="s">
        <v>10547</v>
      </c>
      <c r="OBC1" s="7" t="s">
        <v>10548</v>
      </c>
      <c r="OBD1" s="7" t="s">
        <v>10549</v>
      </c>
      <c r="OBE1" s="7" t="s">
        <v>10550</v>
      </c>
      <c r="OBF1" s="7" t="s">
        <v>10551</v>
      </c>
      <c r="OBG1" s="7" t="s">
        <v>10552</v>
      </c>
      <c r="OBH1" s="7" t="s">
        <v>10553</v>
      </c>
      <c r="OBI1" s="7" t="s">
        <v>10554</v>
      </c>
      <c r="OBJ1" s="7" t="s">
        <v>10555</v>
      </c>
      <c r="OBK1" s="7" t="s">
        <v>10556</v>
      </c>
      <c r="OBL1" s="7" t="s">
        <v>10557</v>
      </c>
      <c r="OBM1" s="7" t="s">
        <v>10558</v>
      </c>
      <c r="OBN1" s="7" t="s">
        <v>10559</v>
      </c>
      <c r="OBO1" s="7" t="s">
        <v>10560</v>
      </c>
      <c r="OBP1" s="7" t="s">
        <v>10561</v>
      </c>
      <c r="OBQ1" s="7" t="s">
        <v>10562</v>
      </c>
      <c r="OBR1" s="7" t="s">
        <v>10563</v>
      </c>
      <c r="OBS1" s="7" t="s">
        <v>10564</v>
      </c>
      <c r="OBT1" s="7" t="s">
        <v>10565</v>
      </c>
      <c r="OBU1" s="7" t="s">
        <v>10566</v>
      </c>
      <c r="OBV1" s="7" t="s">
        <v>10567</v>
      </c>
      <c r="OBW1" s="7" t="s">
        <v>10568</v>
      </c>
      <c r="OBX1" s="7" t="s">
        <v>10569</v>
      </c>
      <c r="OBY1" s="7" t="s">
        <v>10570</v>
      </c>
      <c r="OBZ1" s="7" t="s">
        <v>10571</v>
      </c>
      <c r="OCA1" s="7" t="s">
        <v>10572</v>
      </c>
      <c r="OCB1" s="7" t="s">
        <v>10573</v>
      </c>
      <c r="OCC1" s="7" t="s">
        <v>10574</v>
      </c>
      <c r="OCD1" s="7" t="s">
        <v>10575</v>
      </c>
      <c r="OCE1" s="7" t="s">
        <v>10576</v>
      </c>
      <c r="OCF1" s="7" t="s">
        <v>10577</v>
      </c>
      <c r="OCG1" s="7" t="s">
        <v>10578</v>
      </c>
      <c r="OCH1" s="7" t="s">
        <v>10579</v>
      </c>
      <c r="OCI1" s="7" t="s">
        <v>10580</v>
      </c>
      <c r="OCJ1" s="7" t="s">
        <v>10581</v>
      </c>
      <c r="OCK1" s="7" t="s">
        <v>10582</v>
      </c>
      <c r="OCL1" s="7" t="s">
        <v>10583</v>
      </c>
      <c r="OCM1" s="7" t="s">
        <v>10584</v>
      </c>
      <c r="OCN1" s="7" t="s">
        <v>10585</v>
      </c>
      <c r="OCO1" s="7" t="s">
        <v>10586</v>
      </c>
      <c r="OCP1" s="7" t="s">
        <v>10587</v>
      </c>
      <c r="OCQ1" s="7" t="s">
        <v>10588</v>
      </c>
      <c r="OCR1" s="7" t="s">
        <v>10589</v>
      </c>
      <c r="OCS1" s="7" t="s">
        <v>10590</v>
      </c>
      <c r="OCT1" s="7" t="s">
        <v>10591</v>
      </c>
      <c r="OCU1" s="7" t="s">
        <v>10592</v>
      </c>
      <c r="OCV1" s="7" t="s">
        <v>10593</v>
      </c>
      <c r="OCW1" s="7" t="s">
        <v>10594</v>
      </c>
      <c r="OCX1" s="7" t="s">
        <v>10595</v>
      </c>
      <c r="OCY1" s="7" t="s">
        <v>10596</v>
      </c>
      <c r="OCZ1" s="7" t="s">
        <v>10597</v>
      </c>
      <c r="ODA1" s="7" t="s">
        <v>10598</v>
      </c>
      <c r="ODB1" s="7" t="s">
        <v>10599</v>
      </c>
      <c r="ODC1" s="7" t="s">
        <v>10600</v>
      </c>
      <c r="ODD1" s="7" t="s">
        <v>10601</v>
      </c>
      <c r="ODE1" s="7" t="s">
        <v>10602</v>
      </c>
      <c r="ODF1" s="7" t="s">
        <v>10603</v>
      </c>
      <c r="ODG1" s="7" t="s">
        <v>10604</v>
      </c>
      <c r="ODH1" s="7" t="s">
        <v>10605</v>
      </c>
      <c r="ODI1" s="7" t="s">
        <v>10606</v>
      </c>
      <c r="ODJ1" s="7" t="s">
        <v>10607</v>
      </c>
      <c r="ODK1" s="7" t="s">
        <v>10608</v>
      </c>
      <c r="ODL1" s="7" t="s">
        <v>10609</v>
      </c>
      <c r="ODM1" s="7" t="s">
        <v>10610</v>
      </c>
      <c r="ODN1" s="7" t="s">
        <v>10611</v>
      </c>
      <c r="ODO1" s="7" t="s">
        <v>10612</v>
      </c>
      <c r="ODP1" s="7" t="s">
        <v>10613</v>
      </c>
      <c r="ODQ1" s="7" t="s">
        <v>10614</v>
      </c>
      <c r="ODR1" s="7" t="s">
        <v>10615</v>
      </c>
      <c r="ODS1" s="7" t="s">
        <v>10616</v>
      </c>
      <c r="ODT1" s="7" t="s">
        <v>10617</v>
      </c>
      <c r="ODU1" s="7" t="s">
        <v>10618</v>
      </c>
      <c r="ODV1" s="7" t="s">
        <v>10619</v>
      </c>
      <c r="ODW1" s="7" t="s">
        <v>10620</v>
      </c>
      <c r="ODX1" s="7" t="s">
        <v>10621</v>
      </c>
      <c r="ODY1" s="7" t="s">
        <v>10622</v>
      </c>
      <c r="ODZ1" s="7" t="s">
        <v>10623</v>
      </c>
      <c r="OEA1" s="7" t="s">
        <v>10624</v>
      </c>
      <c r="OEB1" s="7" t="s">
        <v>10625</v>
      </c>
      <c r="OEC1" s="7" t="s">
        <v>10626</v>
      </c>
      <c r="OED1" s="7" t="s">
        <v>10627</v>
      </c>
      <c r="OEE1" s="7" t="s">
        <v>10628</v>
      </c>
      <c r="OEF1" s="7" t="s">
        <v>10629</v>
      </c>
      <c r="OEG1" s="7" t="s">
        <v>10630</v>
      </c>
      <c r="OEH1" s="7" t="s">
        <v>10631</v>
      </c>
      <c r="OEI1" s="7" t="s">
        <v>10632</v>
      </c>
      <c r="OEJ1" s="7" t="s">
        <v>10633</v>
      </c>
      <c r="OEK1" s="7" t="s">
        <v>10634</v>
      </c>
      <c r="OEL1" s="7" t="s">
        <v>10635</v>
      </c>
      <c r="OEM1" s="7" t="s">
        <v>10636</v>
      </c>
      <c r="OEN1" s="7" t="s">
        <v>10637</v>
      </c>
      <c r="OEO1" s="7" t="s">
        <v>10638</v>
      </c>
      <c r="OEP1" s="7" t="s">
        <v>10639</v>
      </c>
      <c r="OEQ1" s="7" t="s">
        <v>10640</v>
      </c>
      <c r="OER1" s="7" t="s">
        <v>10641</v>
      </c>
      <c r="OES1" s="7" t="s">
        <v>10642</v>
      </c>
      <c r="OET1" s="7" t="s">
        <v>10643</v>
      </c>
      <c r="OEU1" s="7" t="s">
        <v>10644</v>
      </c>
      <c r="OEV1" s="7" t="s">
        <v>10645</v>
      </c>
      <c r="OEW1" s="7" t="s">
        <v>10646</v>
      </c>
      <c r="OEX1" s="7" t="s">
        <v>10647</v>
      </c>
      <c r="OEY1" s="7" t="s">
        <v>10648</v>
      </c>
      <c r="OEZ1" s="7" t="s">
        <v>10649</v>
      </c>
      <c r="OFA1" s="7" t="s">
        <v>10650</v>
      </c>
      <c r="OFB1" s="7" t="s">
        <v>10651</v>
      </c>
      <c r="OFC1" s="7" t="s">
        <v>10652</v>
      </c>
      <c r="OFD1" s="7" t="s">
        <v>10653</v>
      </c>
      <c r="OFE1" s="7" t="s">
        <v>10654</v>
      </c>
      <c r="OFF1" s="7" t="s">
        <v>10655</v>
      </c>
      <c r="OFG1" s="7" t="s">
        <v>10656</v>
      </c>
      <c r="OFH1" s="7" t="s">
        <v>10657</v>
      </c>
      <c r="OFI1" s="7" t="s">
        <v>10658</v>
      </c>
      <c r="OFJ1" s="7" t="s">
        <v>10659</v>
      </c>
      <c r="OFK1" s="7" t="s">
        <v>10660</v>
      </c>
      <c r="OFL1" s="7" t="s">
        <v>10661</v>
      </c>
      <c r="OFM1" s="7" t="s">
        <v>10662</v>
      </c>
      <c r="OFN1" s="7" t="s">
        <v>10663</v>
      </c>
      <c r="OFO1" s="7" t="s">
        <v>10664</v>
      </c>
      <c r="OFP1" s="7" t="s">
        <v>10665</v>
      </c>
      <c r="OFQ1" s="7" t="s">
        <v>10666</v>
      </c>
      <c r="OFR1" s="7" t="s">
        <v>10667</v>
      </c>
      <c r="OFS1" s="7" t="s">
        <v>10668</v>
      </c>
      <c r="OFT1" s="7" t="s">
        <v>10669</v>
      </c>
      <c r="OFU1" s="7" t="s">
        <v>10670</v>
      </c>
      <c r="OFV1" s="7" t="s">
        <v>10671</v>
      </c>
      <c r="OFW1" s="7" t="s">
        <v>10672</v>
      </c>
      <c r="OFX1" s="7" t="s">
        <v>10673</v>
      </c>
      <c r="OFY1" s="7" t="s">
        <v>10674</v>
      </c>
      <c r="OFZ1" s="7" t="s">
        <v>10675</v>
      </c>
      <c r="OGA1" s="7" t="s">
        <v>10676</v>
      </c>
      <c r="OGB1" s="7" t="s">
        <v>10677</v>
      </c>
      <c r="OGC1" s="7" t="s">
        <v>10678</v>
      </c>
      <c r="OGD1" s="7" t="s">
        <v>10679</v>
      </c>
      <c r="OGE1" s="7" t="s">
        <v>10680</v>
      </c>
      <c r="OGF1" s="7" t="s">
        <v>10681</v>
      </c>
      <c r="OGG1" s="7" t="s">
        <v>10682</v>
      </c>
      <c r="OGH1" s="7" t="s">
        <v>10683</v>
      </c>
      <c r="OGI1" s="7" t="s">
        <v>10684</v>
      </c>
      <c r="OGJ1" s="7" t="s">
        <v>10685</v>
      </c>
      <c r="OGK1" s="7" t="s">
        <v>10686</v>
      </c>
      <c r="OGL1" s="7" t="s">
        <v>10687</v>
      </c>
      <c r="OGM1" s="7" t="s">
        <v>10688</v>
      </c>
      <c r="OGN1" s="7" t="s">
        <v>10689</v>
      </c>
      <c r="OGO1" s="7" t="s">
        <v>10690</v>
      </c>
      <c r="OGP1" s="7" t="s">
        <v>10691</v>
      </c>
      <c r="OGQ1" s="7" t="s">
        <v>10692</v>
      </c>
      <c r="OGR1" s="7" t="s">
        <v>10693</v>
      </c>
      <c r="OGS1" s="7" t="s">
        <v>10694</v>
      </c>
      <c r="OGT1" s="7" t="s">
        <v>10695</v>
      </c>
      <c r="OGU1" s="7" t="s">
        <v>10696</v>
      </c>
      <c r="OGV1" s="7" t="s">
        <v>10697</v>
      </c>
      <c r="OGW1" s="7" t="s">
        <v>10698</v>
      </c>
      <c r="OGX1" s="7" t="s">
        <v>10699</v>
      </c>
      <c r="OGY1" s="7" t="s">
        <v>10700</v>
      </c>
      <c r="OGZ1" s="7" t="s">
        <v>10701</v>
      </c>
      <c r="OHA1" s="7" t="s">
        <v>10702</v>
      </c>
      <c r="OHB1" s="7" t="s">
        <v>10703</v>
      </c>
      <c r="OHC1" s="7" t="s">
        <v>10704</v>
      </c>
      <c r="OHD1" s="7" t="s">
        <v>10705</v>
      </c>
      <c r="OHE1" s="7" t="s">
        <v>10706</v>
      </c>
      <c r="OHF1" s="7" t="s">
        <v>10707</v>
      </c>
      <c r="OHG1" s="7" t="s">
        <v>10708</v>
      </c>
      <c r="OHH1" s="7" t="s">
        <v>10709</v>
      </c>
      <c r="OHI1" s="7" t="s">
        <v>10710</v>
      </c>
      <c r="OHJ1" s="7" t="s">
        <v>10711</v>
      </c>
      <c r="OHK1" s="7" t="s">
        <v>10712</v>
      </c>
      <c r="OHL1" s="7" t="s">
        <v>10713</v>
      </c>
      <c r="OHM1" s="7" t="s">
        <v>10714</v>
      </c>
      <c r="OHN1" s="7" t="s">
        <v>10715</v>
      </c>
      <c r="OHO1" s="7" t="s">
        <v>10716</v>
      </c>
      <c r="OHP1" s="7" t="s">
        <v>10717</v>
      </c>
      <c r="OHQ1" s="7" t="s">
        <v>10718</v>
      </c>
      <c r="OHR1" s="7" t="s">
        <v>10719</v>
      </c>
      <c r="OHS1" s="7" t="s">
        <v>10720</v>
      </c>
      <c r="OHT1" s="7" t="s">
        <v>10721</v>
      </c>
      <c r="OHU1" s="7" t="s">
        <v>10722</v>
      </c>
      <c r="OHV1" s="7" t="s">
        <v>10723</v>
      </c>
      <c r="OHW1" s="7" t="s">
        <v>10724</v>
      </c>
      <c r="OHX1" s="7" t="s">
        <v>10725</v>
      </c>
      <c r="OHY1" s="7" t="s">
        <v>10726</v>
      </c>
      <c r="OHZ1" s="7" t="s">
        <v>10727</v>
      </c>
      <c r="OIA1" s="7" t="s">
        <v>10728</v>
      </c>
      <c r="OIB1" s="7" t="s">
        <v>10729</v>
      </c>
      <c r="OIC1" s="7" t="s">
        <v>10730</v>
      </c>
      <c r="OID1" s="7" t="s">
        <v>10731</v>
      </c>
      <c r="OIE1" s="7" t="s">
        <v>10732</v>
      </c>
      <c r="OIF1" s="7" t="s">
        <v>10733</v>
      </c>
      <c r="OIG1" s="7" t="s">
        <v>10734</v>
      </c>
      <c r="OIH1" s="7" t="s">
        <v>10735</v>
      </c>
      <c r="OII1" s="7" t="s">
        <v>10736</v>
      </c>
      <c r="OIJ1" s="7" t="s">
        <v>10737</v>
      </c>
      <c r="OIK1" s="7" t="s">
        <v>10738</v>
      </c>
      <c r="OIL1" s="7" t="s">
        <v>10739</v>
      </c>
      <c r="OIM1" s="7" t="s">
        <v>10740</v>
      </c>
      <c r="OIN1" s="7" t="s">
        <v>10741</v>
      </c>
      <c r="OIO1" s="7" t="s">
        <v>10742</v>
      </c>
      <c r="OIP1" s="7" t="s">
        <v>10743</v>
      </c>
      <c r="OIQ1" s="7" t="s">
        <v>10744</v>
      </c>
      <c r="OIR1" s="7" t="s">
        <v>10745</v>
      </c>
      <c r="OIS1" s="7" t="s">
        <v>10746</v>
      </c>
      <c r="OIT1" s="7" t="s">
        <v>10747</v>
      </c>
      <c r="OIU1" s="7" t="s">
        <v>10748</v>
      </c>
      <c r="OIV1" s="7" t="s">
        <v>10749</v>
      </c>
      <c r="OIW1" s="7" t="s">
        <v>10750</v>
      </c>
      <c r="OIX1" s="7" t="s">
        <v>10751</v>
      </c>
      <c r="OIY1" s="7" t="s">
        <v>10752</v>
      </c>
      <c r="OIZ1" s="7" t="s">
        <v>10753</v>
      </c>
      <c r="OJA1" s="7" t="s">
        <v>10754</v>
      </c>
      <c r="OJB1" s="7" t="s">
        <v>10755</v>
      </c>
      <c r="OJC1" s="7" t="s">
        <v>10756</v>
      </c>
      <c r="OJD1" s="7" t="s">
        <v>10757</v>
      </c>
      <c r="OJE1" s="7" t="s">
        <v>10758</v>
      </c>
      <c r="OJF1" s="7" t="s">
        <v>10759</v>
      </c>
      <c r="OJG1" s="7" t="s">
        <v>10760</v>
      </c>
      <c r="OJH1" s="7" t="s">
        <v>10761</v>
      </c>
      <c r="OJI1" s="7" t="s">
        <v>10762</v>
      </c>
      <c r="OJJ1" s="7" t="s">
        <v>10763</v>
      </c>
      <c r="OJK1" s="7" t="s">
        <v>10764</v>
      </c>
      <c r="OJL1" s="7" t="s">
        <v>10765</v>
      </c>
      <c r="OJM1" s="7" t="s">
        <v>10766</v>
      </c>
      <c r="OJN1" s="7" t="s">
        <v>10767</v>
      </c>
      <c r="OJO1" s="7" t="s">
        <v>10768</v>
      </c>
      <c r="OJP1" s="7" t="s">
        <v>10769</v>
      </c>
      <c r="OJQ1" s="7" t="s">
        <v>10770</v>
      </c>
      <c r="OJR1" s="7" t="s">
        <v>10771</v>
      </c>
      <c r="OJS1" s="7" t="s">
        <v>10772</v>
      </c>
      <c r="OJT1" s="7" t="s">
        <v>10773</v>
      </c>
      <c r="OJU1" s="7" t="s">
        <v>10774</v>
      </c>
      <c r="OJV1" s="7" t="s">
        <v>10775</v>
      </c>
      <c r="OJW1" s="7" t="s">
        <v>10776</v>
      </c>
      <c r="OJX1" s="7" t="s">
        <v>10777</v>
      </c>
      <c r="OJY1" s="7" t="s">
        <v>10778</v>
      </c>
      <c r="OJZ1" s="7" t="s">
        <v>10779</v>
      </c>
      <c r="OKA1" s="7" t="s">
        <v>10780</v>
      </c>
      <c r="OKB1" s="7" t="s">
        <v>10781</v>
      </c>
      <c r="OKC1" s="7" t="s">
        <v>10782</v>
      </c>
      <c r="OKD1" s="7" t="s">
        <v>10783</v>
      </c>
      <c r="OKE1" s="7" t="s">
        <v>10784</v>
      </c>
      <c r="OKF1" s="7" t="s">
        <v>10785</v>
      </c>
      <c r="OKG1" s="7" t="s">
        <v>10786</v>
      </c>
      <c r="OKH1" s="7" t="s">
        <v>10787</v>
      </c>
      <c r="OKI1" s="7" t="s">
        <v>10788</v>
      </c>
      <c r="OKJ1" s="7" t="s">
        <v>10789</v>
      </c>
      <c r="OKK1" s="7" t="s">
        <v>10790</v>
      </c>
      <c r="OKL1" s="7" t="s">
        <v>10791</v>
      </c>
      <c r="OKM1" s="7" t="s">
        <v>10792</v>
      </c>
      <c r="OKN1" s="7" t="s">
        <v>10793</v>
      </c>
      <c r="OKO1" s="7" t="s">
        <v>10794</v>
      </c>
      <c r="OKP1" s="7" t="s">
        <v>10795</v>
      </c>
      <c r="OKQ1" s="7" t="s">
        <v>10796</v>
      </c>
      <c r="OKR1" s="7" t="s">
        <v>10797</v>
      </c>
      <c r="OKS1" s="7" t="s">
        <v>10798</v>
      </c>
      <c r="OKT1" s="7" t="s">
        <v>10799</v>
      </c>
      <c r="OKU1" s="7" t="s">
        <v>10800</v>
      </c>
      <c r="OKV1" s="7" t="s">
        <v>10801</v>
      </c>
      <c r="OKW1" s="7" t="s">
        <v>10802</v>
      </c>
      <c r="OKX1" s="7" t="s">
        <v>10803</v>
      </c>
      <c r="OKY1" s="7" t="s">
        <v>10804</v>
      </c>
      <c r="OKZ1" s="7" t="s">
        <v>10805</v>
      </c>
      <c r="OLA1" s="7" t="s">
        <v>10806</v>
      </c>
      <c r="OLB1" s="7" t="s">
        <v>10807</v>
      </c>
      <c r="OLC1" s="7" t="s">
        <v>10808</v>
      </c>
      <c r="OLD1" s="7" t="s">
        <v>10809</v>
      </c>
      <c r="OLE1" s="7" t="s">
        <v>10810</v>
      </c>
      <c r="OLF1" s="7" t="s">
        <v>10811</v>
      </c>
      <c r="OLG1" s="7" t="s">
        <v>10812</v>
      </c>
      <c r="OLH1" s="7" t="s">
        <v>10813</v>
      </c>
      <c r="OLI1" s="7" t="s">
        <v>10814</v>
      </c>
      <c r="OLJ1" s="7" t="s">
        <v>10815</v>
      </c>
      <c r="OLK1" s="7" t="s">
        <v>10816</v>
      </c>
      <c r="OLL1" s="7" t="s">
        <v>10817</v>
      </c>
      <c r="OLM1" s="7" t="s">
        <v>10818</v>
      </c>
      <c r="OLN1" s="7" t="s">
        <v>10819</v>
      </c>
      <c r="OLO1" s="7" t="s">
        <v>10820</v>
      </c>
      <c r="OLP1" s="7" t="s">
        <v>10821</v>
      </c>
      <c r="OLQ1" s="7" t="s">
        <v>10822</v>
      </c>
      <c r="OLR1" s="7" t="s">
        <v>10823</v>
      </c>
      <c r="OLS1" s="7" t="s">
        <v>10824</v>
      </c>
      <c r="OLT1" s="7" t="s">
        <v>10825</v>
      </c>
      <c r="OLU1" s="7" t="s">
        <v>10826</v>
      </c>
      <c r="OLV1" s="7" t="s">
        <v>10827</v>
      </c>
      <c r="OLW1" s="7" t="s">
        <v>10828</v>
      </c>
      <c r="OLX1" s="7" t="s">
        <v>10829</v>
      </c>
      <c r="OLY1" s="7" t="s">
        <v>10830</v>
      </c>
      <c r="OLZ1" s="7" t="s">
        <v>10831</v>
      </c>
      <c r="OMA1" s="7" t="s">
        <v>10832</v>
      </c>
      <c r="OMB1" s="7" t="s">
        <v>10833</v>
      </c>
      <c r="OMC1" s="7" t="s">
        <v>10834</v>
      </c>
      <c r="OMD1" s="7" t="s">
        <v>10835</v>
      </c>
      <c r="OME1" s="7" t="s">
        <v>10836</v>
      </c>
      <c r="OMF1" s="7" t="s">
        <v>10837</v>
      </c>
      <c r="OMG1" s="7" t="s">
        <v>10838</v>
      </c>
      <c r="OMH1" s="7" t="s">
        <v>10839</v>
      </c>
      <c r="OMI1" s="7" t="s">
        <v>10840</v>
      </c>
      <c r="OMJ1" s="7" t="s">
        <v>10841</v>
      </c>
      <c r="OMK1" s="7" t="s">
        <v>10842</v>
      </c>
      <c r="OML1" s="7" t="s">
        <v>10843</v>
      </c>
      <c r="OMM1" s="7" t="s">
        <v>10844</v>
      </c>
      <c r="OMN1" s="7" t="s">
        <v>10845</v>
      </c>
      <c r="OMO1" s="7" t="s">
        <v>10846</v>
      </c>
      <c r="OMP1" s="7" t="s">
        <v>10847</v>
      </c>
      <c r="OMQ1" s="7" t="s">
        <v>10848</v>
      </c>
      <c r="OMR1" s="7" t="s">
        <v>10849</v>
      </c>
      <c r="OMS1" s="7" t="s">
        <v>10850</v>
      </c>
      <c r="OMT1" s="7" t="s">
        <v>10851</v>
      </c>
      <c r="OMU1" s="7" t="s">
        <v>10852</v>
      </c>
      <c r="OMV1" s="7" t="s">
        <v>10853</v>
      </c>
      <c r="OMW1" s="7" t="s">
        <v>10854</v>
      </c>
      <c r="OMX1" s="7" t="s">
        <v>10855</v>
      </c>
      <c r="OMY1" s="7" t="s">
        <v>10856</v>
      </c>
      <c r="OMZ1" s="7" t="s">
        <v>10857</v>
      </c>
      <c r="ONA1" s="7" t="s">
        <v>10858</v>
      </c>
      <c r="ONB1" s="7" t="s">
        <v>10859</v>
      </c>
      <c r="ONC1" s="7" t="s">
        <v>10860</v>
      </c>
      <c r="OND1" s="7" t="s">
        <v>10861</v>
      </c>
      <c r="ONE1" s="7" t="s">
        <v>10862</v>
      </c>
      <c r="ONF1" s="7" t="s">
        <v>10863</v>
      </c>
      <c r="ONG1" s="7" t="s">
        <v>10864</v>
      </c>
      <c r="ONH1" s="7" t="s">
        <v>10865</v>
      </c>
      <c r="ONI1" s="7" t="s">
        <v>10866</v>
      </c>
      <c r="ONJ1" s="7" t="s">
        <v>10867</v>
      </c>
      <c r="ONK1" s="7" t="s">
        <v>10868</v>
      </c>
      <c r="ONL1" s="7" t="s">
        <v>10869</v>
      </c>
      <c r="ONM1" s="7" t="s">
        <v>10870</v>
      </c>
      <c r="ONN1" s="7" t="s">
        <v>10871</v>
      </c>
      <c r="ONO1" s="7" t="s">
        <v>10872</v>
      </c>
      <c r="ONP1" s="7" t="s">
        <v>10873</v>
      </c>
      <c r="ONQ1" s="7" t="s">
        <v>10874</v>
      </c>
      <c r="ONR1" s="7" t="s">
        <v>10875</v>
      </c>
      <c r="ONS1" s="7" t="s">
        <v>10876</v>
      </c>
      <c r="ONT1" s="7" t="s">
        <v>10877</v>
      </c>
      <c r="ONU1" s="7" t="s">
        <v>10878</v>
      </c>
      <c r="ONV1" s="7" t="s">
        <v>10879</v>
      </c>
      <c r="ONW1" s="7" t="s">
        <v>10880</v>
      </c>
      <c r="ONX1" s="7" t="s">
        <v>10881</v>
      </c>
      <c r="ONY1" s="7" t="s">
        <v>10882</v>
      </c>
      <c r="ONZ1" s="7" t="s">
        <v>10883</v>
      </c>
      <c r="OOA1" s="7" t="s">
        <v>10884</v>
      </c>
      <c r="OOB1" s="7" t="s">
        <v>10885</v>
      </c>
      <c r="OOC1" s="7" t="s">
        <v>10886</v>
      </c>
      <c r="OOD1" s="7" t="s">
        <v>10887</v>
      </c>
      <c r="OOE1" s="7" t="s">
        <v>10888</v>
      </c>
      <c r="OOF1" s="7" t="s">
        <v>10889</v>
      </c>
      <c r="OOG1" s="7" t="s">
        <v>10890</v>
      </c>
      <c r="OOH1" s="7" t="s">
        <v>10891</v>
      </c>
      <c r="OOI1" s="7" t="s">
        <v>10892</v>
      </c>
      <c r="OOJ1" s="7" t="s">
        <v>10893</v>
      </c>
      <c r="OOK1" s="7" t="s">
        <v>10894</v>
      </c>
      <c r="OOL1" s="7" t="s">
        <v>10895</v>
      </c>
      <c r="OOM1" s="7" t="s">
        <v>10896</v>
      </c>
      <c r="OON1" s="7" t="s">
        <v>10897</v>
      </c>
      <c r="OOO1" s="7" t="s">
        <v>10898</v>
      </c>
      <c r="OOP1" s="7" t="s">
        <v>10899</v>
      </c>
      <c r="OOQ1" s="7" t="s">
        <v>10900</v>
      </c>
      <c r="OOR1" s="7" t="s">
        <v>10901</v>
      </c>
      <c r="OOS1" s="7" t="s">
        <v>10902</v>
      </c>
      <c r="OOT1" s="7" t="s">
        <v>10903</v>
      </c>
      <c r="OOU1" s="7" t="s">
        <v>10904</v>
      </c>
      <c r="OOV1" s="7" t="s">
        <v>10905</v>
      </c>
      <c r="OOW1" s="7" t="s">
        <v>10906</v>
      </c>
      <c r="OOX1" s="7" t="s">
        <v>10907</v>
      </c>
      <c r="OOY1" s="7" t="s">
        <v>10908</v>
      </c>
      <c r="OOZ1" s="7" t="s">
        <v>10909</v>
      </c>
      <c r="OPA1" s="7" t="s">
        <v>10910</v>
      </c>
      <c r="OPB1" s="7" t="s">
        <v>10911</v>
      </c>
      <c r="OPC1" s="7" t="s">
        <v>10912</v>
      </c>
      <c r="OPD1" s="7" t="s">
        <v>10913</v>
      </c>
      <c r="OPE1" s="7" t="s">
        <v>10914</v>
      </c>
      <c r="OPF1" s="7" t="s">
        <v>10915</v>
      </c>
      <c r="OPG1" s="7" t="s">
        <v>10916</v>
      </c>
      <c r="OPH1" s="7" t="s">
        <v>10917</v>
      </c>
      <c r="OPI1" s="7" t="s">
        <v>10918</v>
      </c>
      <c r="OPJ1" s="7" t="s">
        <v>10919</v>
      </c>
      <c r="OPK1" s="7" t="s">
        <v>10920</v>
      </c>
      <c r="OPL1" s="7" t="s">
        <v>10921</v>
      </c>
      <c r="OPM1" s="7" t="s">
        <v>10922</v>
      </c>
      <c r="OPN1" s="7" t="s">
        <v>10923</v>
      </c>
      <c r="OPO1" s="7" t="s">
        <v>10924</v>
      </c>
      <c r="OPP1" s="7" t="s">
        <v>10925</v>
      </c>
      <c r="OPQ1" s="7" t="s">
        <v>10926</v>
      </c>
      <c r="OPR1" s="7" t="s">
        <v>10927</v>
      </c>
      <c r="OPS1" s="7" t="s">
        <v>10928</v>
      </c>
      <c r="OPT1" s="7" t="s">
        <v>10929</v>
      </c>
      <c r="OPU1" s="7" t="s">
        <v>10930</v>
      </c>
      <c r="OPV1" s="7" t="s">
        <v>10931</v>
      </c>
      <c r="OPW1" s="7" t="s">
        <v>10932</v>
      </c>
      <c r="OPX1" s="7" t="s">
        <v>10933</v>
      </c>
      <c r="OPY1" s="7" t="s">
        <v>10934</v>
      </c>
      <c r="OPZ1" s="7" t="s">
        <v>10935</v>
      </c>
      <c r="OQA1" s="7" t="s">
        <v>10936</v>
      </c>
      <c r="OQB1" s="7" t="s">
        <v>10937</v>
      </c>
      <c r="OQC1" s="7" t="s">
        <v>10938</v>
      </c>
      <c r="OQD1" s="7" t="s">
        <v>10939</v>
      </c>
      <c r="OQE1" s="7" t="s">
        <v>10940</v>
      </c>
      <c r="OQF1" s="7" t="s">
        <v>10941</v>
      </c>
      <c r="OQG1" s="7" t="s">
        <v>10942</v>
      </c>
      <c r="OQH1" s="7" t="s">
        <v>10943</v>
      </c>
      <c r="OQI1" s="7" t="s">
        <v>10944</v>
      </c>
      <c r="OQJ1" s="7" t="s">
        <v>10945</v>
      </c>
      <c r="OQK1" s="7" t="s">
        <v>10946</v>
      </c>
      <c r="OQL1" s="7" t="s">
        <v>10947</v>
      </c>
      <c r="OQM1" s="7" t="s">
        <v>10948</v>
      </c>
      <c r="OQN1" s="7" t="s">
        <v>10949</v>
      </c>
      <c r="OQO1" s="7" t="s">
        <v>10950</v>
      </c>
      <c r="OQP1" s="7" t="s">
        <v>10951</v>
      </c>
      <c r="OQQ1" s="7" t="s">
        <v>10952</v>
      </c>
      <c r="OQR1" s="7" t="s">
        <v>10953</v>
      </c>
      <c r="OQS1" s="7" t="s">
        <v>10954</v>
      </c>
      <c r="OQT1" s="7" t="s">
        <v>10955</v>
      </c>
      <c r="OQU1" s="7" t="s">
        <v>10956</v>
      </c>
      <c r="OQV1" s="7" t="s">
        <v>10957</v>
      </c>
      <c r="OQW1" s="7" t="s">
        <v>10958</v>
      </c>
      <c r="OQX1" s="7" t="s">
        <v>10959</v>
      </c>
      <c r="OQY1" s="7" t="s">
        <v>10960</v>
      </c>
      <c r="OQZ1" s="7" t="s">
        <v>10961</v>
      </c>
      <c r="ORA1" s="7" t="s">
        <v>10962</v>
      </c>
      <c r="ORB1" s="7" t="s">
        <v>10963</v>
      </c>
      <c r="ORC1" s="7" t="s">
        <v>10964</v>
      </c>
      <c r="ORD1" s="7" t="s">
        <v>10965</v>
      </c>
      <c r="ORE1" s="7" t="s">
        <v>10966</v>
      </c>
      <c r="ORF1" s="7" t="s">
        <v>10967</v>
      </c>
      <c r="ORG1" s="7" t="s">
        <v>10968</v>
      </c>
      <c r="ORH1" s="7" t="s">
        <v>10969</v>
      </c>
      <c r="ORI1" s="7" t="s">
        <v>10970</v>
      </c>
      <c r="ORJ1" s="7" t="s">
        <v>10971</v>
      </c>
      <c r="ORK1" s="7" t="s">
        <v>10972</v>
      </c>
      <c r="ORL1" s="7" t="s">
        <v>10973</v>
      </c>
      <c r="ORM1" s="7" t="s">
        <v>10974</v>
      </c>
      <c r="ORN1" s="7" t="s">
        <v>10975</v>
      </c>
      <c r="ORO1" s="7" t="s">
        <v>10976</v>
      </c>
      <c r="ORP1" s="7" t="s">
        <v>10977</v>
      </c>
      <c r="ORQ1" s="7" t="s">
        <v>10978</v>
      </c>
      <c r="ORR1" s="7" t="s">
        <v>10979</v>
      </c>
      <c r="ORS1" s="7" t="s">
        <v>10980</v>
      </c>
      <c r="ORT1" s="7" t="s">
        <v>10981</v>
      </c>
      <c r="ORU1" s="7" t="s">
        <v>10982</v>
      </c>
      <c r="ORV1" s="7" t="s">
        <v>10983</v>
      </c>
      <c r="ORW1" s="7" t="s">
        <v>10984</v>
      </c>
      <c r="ORX1" s="7" t="s">
        <v>10985</v>
      </c>
      <c r="ORY1" s="7" t="s">
        <v>10986</v>
      </c>
      <c r="ORZ1" s="7" t="s">
        <v>10987</v>
      </c>
      <c r="OSA1" s="7" t="s">
        <v>10988</v>
      </c>
      <c r="OSB1" s="7" t="s">
        <v>10989</v>
      </c>
      <c r="OSC1" s="7" t="s">
        <v>10990</v>
      </c>
      <c r="OSD1" s="7" t="s">
        <v>10991</v>
      </c>
      <c r="OSE1" s="7" t="s">
        <v>10992</v>
      </c>
      <c r="OSF1" s="7" t="s">
        <v>10993</v>
      </c>
      <c r="OSG1" s="7" t="s">
        <v>10994</v>
      </c>
      <c r="OSH1" s="7" t="s">
        <v>10995</v>
      </c>
      <c r="OSI1" s="7" t="s">
        <v>10996</v>
      </c>
      <c r="OSJ1" s="7" t="s">
        <v>10997</v>
      </c>
      <c r="OSK1" s="7" t="s">
        <v>10998</v>
      </c>
      <c r="OSL1" s="7" t="s">
        <v>10999</v>
      </c>
      <c r="OSM1" s="7" t="s">
        <v>11000</v>
      </c>
      <c r="OSN1" s="7" t="s">
        <v>11001</v>
      </c>
      <c r="OSO1" s="7" t="s">
        <v>11002</v>
      </c>
      <c r="OSP1" s="7" t="s">
        <v>11003</v>
      </c>
      <c r="OSQ1" s="7" t="s">
        <v>11004</v>
      </c>
      <c r="OSR1" s="7" t="s">
        <v>11005</v>
      </c>
      <c r="OSS1" s="7" t="s">
        <v>11006</v>
      </c>
      <c r="OST1" s="7" t="s">
        <v>11007</v>
      </c>
      <c r="OSU1" s="7" t="s">
        <v>11008</v>
      </c>
      <c r="OSV1" s="7" t="s">
        <v>11009</v>
      </c>
      <c r="OSW1" s="7" t="s">
        <v>11010</v>
      </c>
      <c r="OSX1" s="7" t="s">
        <v>11011</v>
      </c>
      <c r="OSY1" s="7" t="s">
        <v>11012</v>
      </c>
      <c r="OSZ1" s="7" t="s">
        <v>11013</v>
      </c>
      <c r="OTA1" s="7" t="s">
        <v>11014</v>
      </c>
      <c r="OTB1" s="7" t="s">
        <v>11015</v>
      </c>
      <c r="OTC1" s="7" t="s">
        <v>11016</v>
      </c>
      <c r="OTD1" s="7" t="s">
        <v>11017</v>
      </c>
      <c r="OTE1" s="7" t="s">
        <v>11018</v>
      </c>
      <c r="OTF1" s="7" t="s">
        <v>11019</v>
      </c>
      <c r="OTG1" s="7" t="s">
        <v>11020</v>
      </c>
      <c r="OTH1" s="7" t="s">
        <v>11021</v>
      </c>
      <c r="OTI1" s="7" t="s">
        <v>11022</v>
      </c>
      <c r="OTJ1" s="7" t="s">
        <v>11023</v>
      </c>
      <c r="OTK1" s="7" t="s">
        <v>11024</v>
      </c>
      <c r="OTL1" s="7" t="s">
        <v>11025</v>
      </c>
      <c r="OTM1" s="7" t="s">
        <v>11026</v>
      </c>
      <c r="OTN1" s="7" t="s">
        <v>11027</v>
      </c>
      <c r="OTO1" s="7" t="s">
        <v>11028</v>
      </c>
      <c r="OTP1" s="7" t="s">
        <v>11029</v>
      </c>
      <c r="OTQ1" s="7" t="s">
        <v>11030</v>
      </c>
      <c r="OTR1" s="7" t="s">
        <v>11031</v>
      </c>
      <c r="OTS1" s="7" t="s">
        <v>11032</v>
      </c>
      <c r="OTT1" s="7" t="s">
        <v>11033</v>
      </c>
      <c r="OTU1" s="7" t="s">
        <v>11034</v>
      </c>
      <c r="OTV1" s="7" t="s">
        <v>11035</v>
      </c>
      <c r="OTW1" s="7" t="s">
        <v>11036</v>
      </c>
      <c r="OTX1" s="7" t="s">
        <v>11037</v>
      </c>
      <c r="OTY1" s="7" t="s">
        <v>11038</v>
      </c>
      <c r="OTZ1" s="7" t="s">
        <v>11039</v>
      </c>
      <c r="OUA1" s="7" t="s">
        <v>11040</v>
      </c>
      <c r="OUB1" s="7" t="s">
        <v>11041</v>
      </c>
      <c r="OUC1" s="7" t="s">
        <v>11042</v>
      </c>
      <c r="OUD1" s="7" t="s">
        <v>11043</v>
      </c>
      <c r="OUE1" s="7" t="s">
        <v>11044</v>
      </c>
      <c r="OUF1" s="7" t="s">
        <v>11045</v>
      </c>
      <c r="OUG1" s="7" t="s">
        <v>11046</v>
      </c>
      <c r="OUH1" s="7" t="s">
        <v>11047</v>
      </c>
      <c r="OUI1" s="7" t="s">
        <v>11048</v>
      </c>
      <c r="OUJ1" s="7" t="s">
        <v>11049</v>
      </c>
      <c r="OUK1" s="7" t="s">
        <v>11050</v>
      </c>
      <c r="OUL1" s="7" t="s">
        <v>11051</v>
      </c>
      <c r="OUM1" s="7" t="s">
        <v>11052</v>
      </c>
      <c r="OUN1" s="7" t="s">
        <v>11053</v>
      </c>
      <c r="OUO1" s="7" t="s">
        <v>11054</v>
      </c>
      <c r="OUP1" s="7" t="s">
        <v>11055</v>
      </c>
      <c r="OUQ1" s="7" t="s">
        <v>11056</v>
      </c>
      <c r="OUR1" s="7" t="s">
        <v>11057</v>
      </c>
      <c r="OUS1" s="7" t="s">
        <v>11058</v>
      </c>
      <c r="OUT1" s="7" t="s">
        <v>11059</v>
      </c>
      <c r="OUU1" s="7" t="s">
        <v>11060</v>
      </c>
      <c r="OUV1" s="7" t="s">
        <v>11061</v>
      </c>
      <c r="OUW1" s="7" t="s">
        <v>11062</v>
      </c>
      <c r="OUX1" s="7" t="s">
        <v>11063</v>
      </c>
      <c r="OUY1" s="7" t="s">
        <v>11064</v>
      </c>
      <c r="OUZ1" s="7" t="s">
        <v>11065</v>
      </c>
      <c r="OVA1" s="7" t="s">
        <v>11066</v>
      </c>
      <c r="OVB1" s="7" t="s">
        <v>11067</v>
      </c>
      <c r="OVC1" s="7" t="s">
        <v>11068</v>
      </c>
      <c r="OVD1" s="7" t="s">
        <v>11069</v>
      </c>
      <c r="OVE1" s="7" t="s">
        <v>11070</v>
      </c>
      <c r="OVF1" s="7" t="s">
        <v>11071</v>
      </c>
      <c r="OVG1" s="7" t="s">
        <v>11072</v>
      </c>
      <c r="OVH1" s="7" t="s">
        <v>11073</v>
      </c>
      <c r="OVI1" s="7" t="s">
        <v>11074</v>
      </c>
      <c r="OVJ1" s="7" t="s">
        <v>11075</v>
      </c>
      <c r="OVK1" s="7" t="s">
        <v>11076</v>
      </c>
      <c r="OVL1" s="7" t="s">
        <v>11077</v>
      </c>
      <c r="OVM1" s="7" t="s">
        <v>11078</v>
      </c>
      <c r="OVN1" s="7" t="s">
        <v>11079</v>
      </c>
      <c r="OVO1" s="7" t="s">
        <v>11080</v>
      </c>
      <c r="OVP1" s="7" t="s">
        <v>11081</v>
      </c>
      <c r="OVQ1" s="7" t="s">
        <v>11082</v>
      </c>
      <c r="OVR1" s="7" t="s">
        <v>11083</v>
      </c>
      <c r="OVS1" s="7" t="s">
        <v>11084</v>
      </c>
      <c r="OVT1" s="7" t="s">
        <v>11085</v>
      </c>
      <c r="OVU1" s="7" t="s">
        <v>11086</v>
      </c>
      <c r="OVV1" s="7" t="s">
        <v>11087</v>
      </c>
      <c r="OVW1" s="7" t="s">
        <v>11088</v>
      </c>
      <c r="OVX1" s="7" t="s">
        <v>11089</v>
      </c>
      <c r="OVY1" s="7" t="s">
        <v>11090</v>
      </c>
      <c r="OVZ1" s="7" t="s">
        <v>11091</v>
      </c>
      <c r="OWA1" s="7" t="s">
        <v>11092</v>
      </c>
      <c r="OWB1" s="7" t="s">
        <v>11093</v>
      </c>
      <c r="OWC1" s="7" t="s">
        <v>11094</v>
      </c>
      <c r="OWD1" s="7" t="s">
        <v>11095</v>
      </c>
      <c r="OWE1" s="7" t="s">
        <v>11096</v>
      </c>
      <c r="OWF1" s="7" t="s">
        <v>11097</v>
      </c>
      <c r="OWG1" s="7" t="s">
        <v>11098</v>
      </c>
      <c r="OWH1" s="7" t="s">
        <v>11099</v>
      </c>
      <c r="OWI1" s="7" t="s">
        <v>11100</v>
      </c>
      <c r="OWJ1" s="7" t="s">
        <v>11101</v>
      </c>
      <c r="OWK1" s="7" t="s">
        <v>11102</v>
      </c>
      <c r="OWL1" s="7" t="s">
        <v>11103</v>
      </c>
      <c r="OWM1" s="7" t="s">
        <v>11104</v>
      </c>
      <c r="OWN1" s="7" t="s">
        <v>11105</v>
      </c>
      <c r="OWO1" s="7" t="s">
        <v>11106</v>
      </c>
      <c r="OWP1" s="7" t="s">
        <v>11107</v>
      </c>
      <c r="OWQ1" s="7" t="s">
        <v>11108</v>
      </c>
      <c r="OWR1" s="7" t="s">
        <v>11109</v>
      </c>
      <c r="OWS1" s="7" t="s">
        <v>11110</v>
      </c>
      <c r="OWT1" s="7" t="s">
        <v>11111</v>
      </c>
      <c r="OWU1" s="7" t="s">
        <v>11112</v>
      </c>
      <c r="OWV1" s="7" t="s">
        <v>11113</v>
      </c>
      <c r="OWW1" s="7" t="s">
        <v>11114</v>
      </c>
      <c r="OWX1" s="7" t="s">
        <v>11115</v>
      </c>
      <c r="OWY1" s="7" t="s">
        <v>11116</v>
      </c>
      <c r="OWZ1" s="7" t="s">
        <v>11117</v>
      </c>
      <c r="OXA1" s="7" t="s">
        <v>11118</v>
      </c>
      <c r="OXB1" s="7" t="s">
        <v>11119</v>
      </c>
      <c r="OXC1" s="7" t="s">
        <v>11120</v>
      </c>
      <c r="OXD1" s="7" t="s">
        <v>11121</v>
      </c>
      <c r="OXE1" s="7" t="s">
        <v>11122</v>
      </c>
      <c r="OXF1" s="7" t="s">
        <v>11123</v>
      </c>
      <c r="OXG1" s="7" t="s">
        <v>11124</v>
      </c>
      <c r="OXH1" s="7" t="s">
        <v>11125</v>
      </c>
      <c r="OXI1" s="7" t="s">
        <v>11126</v>
      </c>
      <c r="OXJ1" s="7" t="s">
        <v>11127</v>
      </c>
      <c r="OXK1" s="7" t="s">
        <v>11128</v>
      </c>
      <c r="OXL1" s="7" t="s">
        <v>11129</v>
      </c>
      <c r="OXM1" s="7" t="s">
        <v>11130</v>
      </c>
      <c r="OXN1" s="7" t="s">
        <v>11131</v>
      </c>
      <c r="OXO1" s="7" t="s">
        <v>11132</v>
      </c>
      <c r="OXP1" s="7" t="s">
        <v>11133</v>
      </c>
      <c r="OXQ1" s="7" t="s">
        <v>11134</v>
      </c>
      <c r="OXR1" s="7" t="s">
        <v>11135</v>
      </c>
      <c r="OXS1" s="7" t="s">
        <v>11136</v>
      </c>
      <c r="OXT1" s="7" t="s">
        <v>11137</v>
      </c>
      <c r="OXU1" s="7" t="s">
        <v>11138</v>
      </c>
      <c r="OXV1" s="7" t="s">
        <v>11139</v>
      </c>
      <c r="OXW1" s="7" t="s">
        <v>11140</v>
      </c>
      <c r="OXX1" s="7" t="s">
        <v>11141</v>
      </c>
      <c r="OXY1" s="7" t="s">
        <v>11142</v>
      </c>
      <c r="OXZ1" s="7" t="s">
        <v>11143</v>
      </c>
      <c r="OYA1" s="7" t="s">
        <v>11144</v>
      </c>
      <c r="OYB1" s="7" t="s">
        <v>11145</v>
      </c>
      <c r="OYC1" s="7" t="s">
        <v>11146</v>
      </c>
      <c r="OYD1" s="7" t="s">
        <v>11147</v>
      </c>
      <c r="OYE1" s="7" t="s">
        <v>11148</v>
      </c>
      <c r="OYF1" s="7" t="s">
        <v>11149</v>
      </c>
      <c r="OYG1" s="7" t="s">
        <v>11150</v>
      </c>
      <c r="OYH1" s="7" t="s">
        <v>11151</v>
      </c>
      <c r="OYI1" s="7" t="s">
        <v>11152</v>
      </c>
      <c r="OYJ1" s="7" t="s">
        <v>11153</v>
      </c>
      <c r="OYK1" s="7" t="s">
        <v>11154</v>
      </c>
      <c r="OYL1" s="7" t="s">
        <v>11155</v>
      </c>
      <c r="OYM1" s="7" t="s">
        <v>11156</v>
      </c>
      <c r="OYN1" s="7" t="s">
        <v>11157</v>
      </c>
      <c r="OYO1" s="7" t="s">
        <v>11158</v>
      </c>
      <c r="OYP1" s="7" t="s">
        <v>11159</v>
      </c>
      <c r="OYQ1" s="7" t="s">
        <v>11160</v>
      </c>
      <c r="OYR1" s="7" t="s">
        <v>11161</v>
      </c>
      <c r="OYS1" s="7" t="s">
        <v>11162</v>
      </c>
      <c r="OYT1" s="7" t="s">
        <v>11163</v>
      </c>
      <c r="OYU1" s="7" t="s">
        <v>11164</v>
      </c>
      <c r="OYV1" s="7" t="s">
        <v>11165</v>
      </c>
      <c r="OYW1" s="7" t="s">
        <v>11166</v>
      </c>
      <c r="OYX1" s="7" t="s">
        <v>11167</v>
      </c>
      <c r="OYY1" s="7" t="s">
        <v>11168</v>
      </c>
      <c r="OYZ1" s="7" t="s">
        <v>11169</v>
      </c>
      <c r="OZA1" s="7" t="s">
        <v>11170</v>
      </c>
      <c r="OZB1" s="7" t="s">
        <v>11171</v>
      </c>
      <c r="OZC1" s="7" t="s">
        <v>11172</v>
      </c>
      <c r="OZD1" s="7" t="s">
        <v>11173</v>
      </c>
      <c r="OZE1" s="7" t="s">
        <v>11174</v>
      </c>
      <c r="OZF1" s="7" t="s">
        <v>11175</v>
      </c>
      <c r="OZG1" s="7" t="s">
        <v>11176</v>
      </c>
      <c r="OZH1" s="7" t="s">
        <v>11177</v>
      </c>
      <c r="OZI1" s="7" t="s">
        <v>11178</v>
      </c>
      <c r="OZJ1" s="7" t="s">
        <v>11179</v>
      </c>
      <c r="OZK1" s="7" t="s">
        <v>11180</v>
      </c>
      <c r="OZL1" s="7" t="s">
        <v>11181</v>
      </c>
      <c r="OZM1" s="7" t="s">
        <v>11182</v>
      </c>
      <c r="OZN1" s="7" t="s">
        <v>11183</v>
      </c>
      <c r="OZO1" s="7" t="s">
        <v>11184</v>
      </c>
      <c r="OZP1" s="7" t="s">
        <v>11185</v>
      </c>
      <c r="OZQ1" s="7" t="s">
        <v>11186</v>
      </c>
      <c r="OZR1" s="7" t="s">
        <v>11187</v>
      </c>
      <c r="OZS1" s="7" t="s">
        <v>11188</v>
      </c>
      <c r="OZT1" s="7" t="s">
        <v>11189</v>
      </c>
      <c r="OZU1" s="7" t="s">
        <v>11190</v>
      </c>
      <c r="OZV1" s="7" t="s">
        <v>11191</v>
      </c>
      <c r="OZW1" s="7" t="s">
        <v>11192</v>
      </c>
      <c r="OZX1" s="7" t="s">
        <v>11193</v>
      </c>
      <c r="OZY1" s="7" t="s">
        <v>11194</v>
      </c>
      <c r="OZZ1" s="7" t="s">
        <v>11195</v>
      </c>
      <c r="PAA1" s="7" t="s">
        <v>11196</v>
      </c>
      <c r="PAB1" s="7" t="s">
        <v>11197</v>
      </c>
      <c r="PAC1" s="7" t="s">
        <v>11198</v>
      </c>
      <c r="PAD1" s="7" t="s">
        <v>11199</v>
      </c>
      <c r="PAE1" s="7" t="s">
        <v>11200</v>
      </c>
      <c r="PAF1" s="7" t="s">
        <v>11201</v>
      </c>
      <c r="PAG1" s="7" t="s">
        <v>11202</v>
      </c>
      <c r="PAH1" s="7" t="s">
        <v>11203</v>
      </c>
      <c r="PAI1" s="7" t="s">
        <v>11204</v>
      </c>
      <c r="PAJ1" s="7" t="s">
        <v>11205</v>
      </c>
      <c r="PAK1" s="7" t="s">
        <v>11206</v>
      </c>
      <c r="PAL1" s="7" t="s">
        <v>11207</v>
      </c>
      <c r="PAM1" s="7" t="s">
        <v>11208</v>
      </c>
      <c r="PAN1" s="7" t="s">
        <v>11209</v>
      </c>
      <c r="PAO1" s="7" t="s">
        <v>11210</v>
      </c>
      <c r="PAP1" s="7" t="s">
        <v>11211</v>
      </c>
      <c r="PAQ1" s="7" t="s">
        <v>11212</v>
      </c>
      <c r="PAR1" s="7" t="s">
        <v>11213</v>
      </c>
      <c r="PAS1" s="7" t="s">
        <v>11214</v>
      </c>
      <c r="PAT1" s="7" t="s">
        <v>11215</v>
      </c>
      <c r="PAU1" s="7" t="s">
        <v>11216</v>
      </c>
      <c r="PAV1" s="7" t="s">
        <v>11217</v>
      </c>
      <c r="PAW1" s="7" t="s">
        <v>11218</v>
      </c>
      <c r="PAX1" s="7" t="s">
        <v>11219</v>
      </c>
      <c r="PAY1" s="7" t="s">
        <v>11220</v>
      </c>
      <c r="PAZ1" s="7" t="s">
        <v>11221</v>
      </c>
      <c r="PBA1" s="7" t="s">
        <v>11222</v>
      </c>
      <c r="PBB1" s="7" t="s">
        <v>11223</v>
      </c>
      <c r="PBC1" s="7" t="s">
        <v>11224</v>
      </c>
      <c r="PBD1" s="7" t="s">
        <v>11225</v>
      </c>
      <c r="PBE1" s="7" t="s">
        <v>11226</v>
      </c>
      <c r="PBF1" s="7" t="s">
        <v>11227</v>
      </c>
      <c r="PBG1" s="7" t="s">
        <v>11228</v>
      </c>
      <c r="PBH1" s="7" t="s">
        <v>11229</v>
      </c>
      <c r="PBI1" s="7" t="s">
        <v>11230</v>
      </c>
      <c r="PBJ1" s="7" t="s">
        <v>11231</v>
      </c>
      <c r="PBK1" s="7" t="s">
        <v>11232</v>
      </c>
      <c r="PBL1" s="7" t="s">
        <v>11233</v>
      </c>
      <c r="PBM1" s="7" t="s">
        <v>11234</v>
      </c>
      <c r="PBN1" s="7" t="s">
        <v>11235</v>
      </c>
      <c r="PBO1" s="7" t="s">
        <v>11236</v>
      </c>
      <c r="PBP1" s="7" t="s">
        <v>11237</v>
      </c>
      <c r="PBQ1" s="7" t="s">
        <v>11238</v>
      </c>
      <c r="PBR1" s="7" t="s">
        <v>11239</v>
      </c>
      <c r="PBS1" s="7" t="s">
        <v>11240</v>
      </c>
      <c r="PBT1" s="7" t="s">
        <v>11241</v>
      </c>
      <c r="PBU1" s="7" t="s">
        <v>11242</v>
      </c>
      <c r="PBV1" s="7" t="s">
        <v>11243</v>
      </c>
      <c r="PBW1" s="7" t="s">
        <v>11244</v>
      </c>
      <c r="PBX1" s="7" t="s">
        <v>11245</v>
      </c>
      <c r="PBY1" s="7" t="s">
        <v>11246</v>
      </c>
      <c r="PBZ1" s="7" t="s">
        <v>11247</v>
      </c>
      <c r="PCA1" s="7" t="s">
        <v>11248</v>
      </c>
      <c r="PCB1" s="7" t="s">
        <v>11249</v>
      </c>
      <c r="PCC1" s="7" t="s">
        <v>11250</v>
      </c>
      <c r="PCD1" s="7" t="s">
        <v>11251</v>
      </c>
      <c r="PCE1" s="7" t="s">
        <v>11252</v>
      </c>
      <c r="PCF1" s="7" t="s">
        <v>11253</v>
      </c>
      <c r="PCG1" s="7" t="s">
        <v>11254</v>
      </c>
      <c r="PCH1" s="7" t="s">
        <v>11255</v>
      </c>
      <c r="PCI1" s="7" t="s">
        <v>11256</v>
      </c>
      <c r="PCJ1" s="7" t="s">
        <v>11257</v>
      </c>
      <c r="PCK1" s="7" t="s">
        <v>11258</v>
      </c>
      <c r="PCL1" s="7" t="s">
        <v>11259</v>
      </c>
      <c r="PCM1" s="7" t="s">
        <v>11260</v>
      </c>
      <c r="PCN1" s="7" t="s">
        <v>11261</v>
      </c>
      <c r="PCO1" s="7" t="s">
        <v>11262</v>
      </c>
      <c r="PCP1" s="7" t="s">
        <v>11263</v>
      </c>
      <c r="PCQ1" s="7" t="s">
        <v>11264</v>
      </c>
      <c r="PCR1" s="7" t="s">
        <v>11265</v>
      </c>
      <c r="PCS1" s="7" t="s">
        <v>11266</v>
      </c>
      <c r="PCT1" s="7" t="s">
        <v>11267</v>
      </c>
      <c r="PCU1" s="7" t="s">
        <v>11268</v>
      </c>
      <c r="PCV1" s="7" t="s">
        <v>11269</v>
      </c>
      <c r="PCW1" s="7" t="s">
        <v>11270</v>
      </c>
      <c r="PCX1" s="7" t="s">
        <v>11271</v>
      </c>
      <c r="PCY1" s="7" t="s">
        <v>11272</v>
      </c>
      <c r="PCZ1" s="7" t="s">
        <v>11273</v>
      </c>
      <c r="PDA1" s="7" t="s">
        <v>11274</v>
      </c>
      <c r="PDB1" s="7" t="s">
        <v>11275</v>
      </c>
      <c r="PDC1" s="7" t="s">
        <v>11276</v>
      </c>
      <c r="PDD1" s="7" t="s">
        <v>11277</v>
      </c>
      <c r="PDE1" s="7" t="s">
        <v>11278</v>
      </c>
      <c r="PDF1" s="7" t="s">
        <v>11279</v>
      </c>
      <c r="PDG1" s="7" t="s">
        <v>11280</v>
      </c>
      <c r="PDH1" s="7" t="s">
        <v>11281</v>
      </c>
      <c r="PDI1" s="7" t="s">
        <v>11282</v>
      </c>
      <c r="PDJ1" s="7" t="s">
        <v>11283</v>
      </c>
      <c r="PDK1" s="7" t="s">
        <v>11284</v>
      </c>
      <c r="PDL1" s="7" t="s">
        <v>11285</v>
      </c>
      <c r="PDM1" s="7" t="s">
        <v>11286</v>
      </c>
      <c r="PDN1" s="7" t="s">
        <v>11287</v>
      </c>
      <c r="PDO1" s="7" t="s">
        <v>11288</v>
      </c>
      <c r="PDP1" s="7" t="s">
        <v>11289</v>
      </c>
      <c r="PDQ1" s="7" t="s">
        <v>11290</v>
      </c>
      <c r="PDR1" s="7" t="s">
        <v>11291</v>
      </c>
      <c r="PDS1" s="7" t="s">
        <v>11292</v>
      </c>
      <c r="PDT1" s="7" t="s">
        <v>11293</v>
      </c>
      <c r="PDU1" s="7" t="s">
        <v>11294</v>
      </c>
      <c r="PDV1" s="7" t="s">
        <v>11295</v>
      </c>
      <c r="PDW1" s="7" t="s">
        <v>11296</v>
      </c>
      <c r="PDX1" s="7" t="s">
        <v>11297</v>
      </c>
      <c r="PDY1" s="7" t="s">
        <v>11298</v>
      </c>
      <c r="PDZ1" s="7" t="s">
        <v>11299</v>
      </c>
      <c r="PEA1" s="7" t="s">
        <v>11300</v>
      </c>
      <c r="PEB1" s="7" t="s">
        <v>11301</v>
      </c>
      <c r="PEC1" s="7" t="s">
        <v>11302</v>
      </c>
      <c r="PED1" s="7" t="s">
        <v>11303</v>
      </c>
      <c r="PEE1" s="7" t="s">
        <v>11304</v>
      </c>
      <c r="PEF1" s="7" t="s">
        <v>11305</v>
      </c>
      <c r="PEG1" s="7" t="s">
        <v>11306</v>
      </c>
      <c r="PEH1" s="7" t="s">
        <v>11307</v>
      </c>
      <c r="PEI1" s="7" t="s">
        <v>11308</v>
      </c>
      <c r="PEJ1" s="7" t="s">
        <v>11309</v>
      </c>
      <c r="PEK1" s="7" t="s">
        <v>11310</v>
      </c>
      <c r="PEL1" s="7" t="s">
        <v>11311</v>
      </c>
      <c r="PEM1" s="7" t="s">
        <v>11312</v>
      </c>
      <c r="PEN1" s="7" t="s">
        <v>11313</v>
      </c>
      <c r="PEO1" s="7" t="s">
        <v>11314</v>
      </c>
      <c r="PEP1" s="7" t="s">
        <v>11315</v>
      </c>
      <c r="PEQ1" s="7" t="s">
        <v>11316</v>
      </c>
      <c r="PER1" s="7" t="s">
        <v>11317</v>
      </c>
      <c r="PES1" s="7" t="s">
        <v>11318</v>
      </c>
      <c r="PET1" s="7" t="s">
        <v>11319</v>
      </c>
      <c r="PEU1" s="7" t="s">
        <v>11320</v>
      </c>
      <c r="PEV1" s="7" t="s">
        <v>11321</v>
      </c>
      <c r="PEW1" s="7" t="s">
        <v>11322</v>
      </c>
      <c r="PEX1" s="7" t="s">
        <v>11323</v>
      </c>
      <c r="PEY1" s="7" t="s">
        <v>11324</v>
      </c>
      <c r="PEZ1" s="7" t="s">
        <v>11325</v>
      </c>
      <c r="PFA1" s="7" t="s">
        <v>11326</v>
      </c>
      <c r="PFB1" s="7" t="s">
        <v>11327</v>
      </c>
      <c r="PFC1" s="7" t="s">
        <v>11328</v>
      </c>
      <c r="PFD1" s="7" t="s">
        <v>11329</v>
      </c>
      <c r="PFE1" s="7" t="s">
        <v>11330</v>
      </c>
      <c r="PFF1" s="7" t="s">
        <v>11331</v>
      </c>
      <c r="PFG1" s="7" t="s">
        <v>11332</v>
      </c>
      <c r="PFH1" s="7" t="s">
        <v>11333</v>
      </c>
      <c r="PFI1" s="7" t="s">
        <v>11334</v>
      </c>
      <c r="PFJ1" s="7" t="s">
        <v>11335</v>
      </c>
      <c r="PFK1" s="7" t="s">
        <v>11336</v>
      </c>
      <c r="PFL1" s="7" t="s">
        <v>11337</v>
      </c>
      <c r="PFM1" s="7" t="s">
        <v>11338</v>
      </c>
      <c r="PFN1" s="7" t="s">
        <v>11339</v>
      </c>
      <c r="PFO1" s="7" t="s">
        <v>11340</v>
      </c>
      <c r="PFP1" s="7" t="s">
        <v>11341</v>
      </c>
      <c r="PFQ1" s="7" t="s">
        <v>11342</v>
      </c>
      <c r="PFR1" s="7" t="s">
        <v>11343</v>
      </c>
      <c r="PFS1" s="7" t="s">
        <v>11344</v>
      </c>
      <c r="PFT1" s="7" t="s">
        <v>11345</v>
      </c>
      <c r="PFU1" s="7" t="s">
        <v>11346</v>
      </c>
      <c r="PFV1" s="7" t="s">
        <v>11347</v>
      </c>
      <c r="PFW1" s="7" t="s">
        <v>11348</v>
      </c>
      <c r="PFX1" s="7" t="s">
        <v>11349</v>
      </c>
      <c r="PFY1" s="7" t="s">
        <v>11350</v>
      </c>
      <c r="PFZ1" s="7" t="s">
        <v>11351</v>
      </c>
      <c r="PGA1" s="7" t="s">
        <v>11352</v>
      </c>
      <c r="PGB1" s="7" t="s">
        <v>11353</v>
      </c>
      <c r="PGC1" s="7" t="s">
        <v>11354</v>
      </c>
      <c r="PGD1" s="7" t="s">
        <v>11355</v>
      </c>
      <c r="PGE1" s="7" t="s">
        <v>11356</v>
      </c>
      <c r="PGF1" s="7" t="s">
        <v>11357</v>
      </c>
      <c r="PGG1" s="7" t="s">
        <v>11358</v>
      </c>
      <c r="PGH1" s="7" t="s">
        <v>11359</v>
      </c>
      <c r="PGI1" s="7" t="s">
        <v>11360</v>
      </c>
      <c r="PGJ1" s="7" t="s">
        <v>11361</v>
      </c>
      <c r="PGK1" s="7" t="s">
        <v>11362</v>
      </c>
      <c r="PGL1" s="7" t="s">
        <v>11363</v>
      </c>
      <c r="PGM1" s="7" t="s">
        <v>11364</v>
      </c>
      <c r="PGN1" s="7" t="s">
        <v>11365</v>
      </c>
      <c r="PGO1" s="7" t="s">
        <v>11366</v>
      </c>
      <c r="PGP1" s="7" t="s">
        <v>11367</v>
      </c>
      <c r="PGQ1" s="7" t="s">
        <v>11368</v>
      </c>
      <c r="PGR1" s="7" t="s">
        <v>11369</v>
      </c>
      <c r="PGS1" s="7" t="s">
        <v>11370</v>
      </c>
      <c r="PGT1" s="7" t="s">
        <v>11371</v>
      </c>
      <c r="PGU1" s="7" t="s">
        <v>11372</v>
      </c>
      <c r="PGV1" s="7" t="s">
        <v>11373</v>
      </c>
      <c r="PGW1" s="7" t="s">
        <v>11374</v>
      </c>
      <c r="PGX1" s="7" t="s">
        <v>11375</v>
      </c>
      <c r="PGY1" s="7" t="s">
        <v>11376</v>
      </c>
      <c r="PGZ1" s="7" t="s">
        <v>11377</v>
      </c>
      <c r="PHA1" s="7" t="s">
        <v>11378</v>
      </c>
      <c r="PHB1" s="7" t="s">
        <v>11379</v>
      </c>
      <c r="PHC1" s="7" t="s">
        <v>11380</v>
      </c>
      <c r="PHD1" s="7" t="s">
        <v>11381</v>
      </c>
      <c r="PHE1" s="7" t="s">
        <v>11382</v>
      </c>
      <c r="PHF1" s="7" t="s">
        <v>11383</v>
      </c>
      <c r="PHG1" s="7" t="s">
        <v>11384</v>
      </c>
      <c r="PHH1" s="7" t="s">
        <v>11385</v>
      </c>
      <c r="PHI1" s="7" t="s">
        <v>11386</v>
      </c>
      <c r="PHJ1" s="7" t="s">
        <v>11387</v>
      </c>
      <c r="PHK1" s="7" t="s">
        <v>11388</v>
      </c>
      <c r="PHL1" s="7" t="s">
        <v>11389</v>
      </c>
      <c r="PHM1" s="7" t="s">
        <v>11390</v>
      </c>
      <c r="PHN1" s="7" t="s">
        <v>11391</v>
      </c>
      <c r="PHO1" s="7" t="s">
        <v>11392</v>
      </c>
      <c r="PHP1" s="7" t="s">
        <v>11393</v>
      </c>
      <c r="PHQ1" s="7" t="s">
        <v>11394</v>
      </c>
      <c r="PHR1" s="7" t="s">
        <v>11395</v>
      </c>
      <c r="PHS1" s="7" t="s">
        <v>11396</v>
      </c>
      <c r="PHT1" s="7" t="s">
        <v>11397</v>
      </c>
      <c r="PHU1" s="7" t="s">
        <v>11398</v>
      </c>
      <c r="PHV1" s="7" t="s">
        <v>11399</v>
      </c>
      <c r="PHW1" s="7" t="s">
        <v>11400</v>
      </c>
      <c r="PHX1" s="7" t="s">
        <v>11401</v>
      </c>
      <c r="PHY1" s="7" t="s">
        <v>11402</v>
      </c>
      <c r="PHZ1" s="7" t="s">
        <v>11403</v>
      </c>
      <c r="PIA1" s="7" t="s">
        <v>11404</v>
      </c>
      <c r="PIB1" s="7" t="s">
        <v>11405</v>
      </c>
      <c r="PIC1" s="7" t="s">
        <v>11406</v>
      </c>
      <c r="PID1" s="7" t="s">
        <v>11407</v>
      </c>
      <c r="PIE1" s="7" t="s">
        <v>11408</v>
      </c>
      <c r="PIF1" s="7" t="s">
        <v>11409</v>
      </c>
      <c r="PIG1" s="7" t="s">
        <v>11410</v>
      </c>
      <c r="PIH1" s="7" t="s">
        <v>11411</v>
      </c>
      <c r="PII1" s="7" t="s">
        <v>11412</v>
      </c>
      <c r="PIJ1" s="7" t="s">
        <v>11413</v>
      </c>
      <c r="PIK1" s="7" t="s">
        <v>11414</v>
      </c>
      <c r="PIL1" s="7" t="s">
        <v>11415</v>
      </c>
      <c r="PIM1" s="7" t="s">
        <v>11416</v>
      </c>
      <c r="PIN1" s="7" t="s">
        <v>11417</v>
      </c>
      <c r="PIO1" s="7" t="s">
        <v>11418</v>
      </c>
      <c r="PIP1" s="7" t="s">
        <v>11419</v>
      </c>
      <c r="PIQ1" s="7" t="s">
        <v>11420</v>
      </c>
      <c r="PIR1" s="7" t="s">
        <v>11421</v>
      </c>
      <c r="PIS1" s="7" t="s">
        <v>11422</v>
      </c>
      <c r="PIT1" s="7" t="s">
        <v>11423</v>
      </c>
      <c r="PIU1" s="7" t="s">
        <v>11424</v>
      </c>
      <c r="PIV1" s="7" t="s">
        <v>11425</v>
      </c>
      <c r="PIW1" s="7" t="s">
        <v>11426</v>
      </c>
      <c r="PIX1" s="7" t="s">
        <v>11427</v>
      </c>
      <c r="PIY1" s="7" t="s">
        <v>11428</v>
      </c>
      <c r="PIZ1" s="7" t="s">
        <v>11429</v>
      </c>
      <c r="PJA1" s="7" t="s">
        <v>11430</v>
      </c>
      <c r="PJB1" s="7" t="s">
        <v>11431</v>
      </c>
      <c r="PJC1" s="7" t="s">
        <v>11432</v>
      </c>
      <c r="PJD1" s="7" t="s">
        <v>11433</v>
      </c>
      <c r="PJE1" s="7" t="s">
        <v>11434</v>
      </c>
      <c r="PJF1" s="7" t="s">
        <v>11435</v>
      </c>
      <c r="PJG1" s="7" t="s">
        <v>11436</v>
      </c>
      <c r="PJH1" s="7" t="s">
        <v>11437</v>
      </c>
      <c r="PJI1" s="7" t="s">
        <v>11438</v>
      </c>
      <c r="PJJ1" s="7" t="s">
        <v>11439</v>
      </c>
      <c r="PJK1" s="7" t="s">
        <v>11440</v>
      </c>
      <c r="PJL1" s="7" t="s">
        <v>11441</v>
      </c>
      <c r="PJM1" s="7" t="s">
        <v>11442</v>
      </c>
      <c r="PJN1" s="7" t="s">
        <v>11443</v>
      </c>
      <c r="PJO1" s="7" t="s">
        <v>11444</v>
      </c>
      <c r="PJP1" s="7" t="s">
        <v>11445</v>
      </c>
      <c r="PJQ1" s="7" t="s">
        <v>11446</v>
      </c>
      <c r="PJR1" s="7" t="s">
        <v>11447</v>
      </c>
      <c r="PJS1" s="7" t="s">
        <v>11448</v>
      </c>
      <c r="PJT1" s="7" t="s">
        <v>11449</v>
      </c>
      <c r="PJU1" s="7" t="s">
        <v>11450</v>
      </c>
      <c r="PJV1" s="7" t="s">
        <v>11451</v>
      </c>
      <c r="PJW1" s="7" t="s">
        <v>11452</v>
      </c>
      <c r="PJX1" s="7" t="s">
        <v>11453</v>
      </c>
      <c r="PJY1" s="7" t="s">
        <v>11454</v>
      </c>
      <c r="PJZ1" s="7" t="s">
        <v>11455</v>
      </c>
      <c r="PKA1" s="7" t="s">
        <v>11456</v>
      </c>
      <c r="PKB1" s="7" t="s">
        <v>11457</v>
      </c>
      <c r="PKC1" s="7" t="s">
        <v>11458</v>
      </c>
      <c r="PKD1" s="7" t="s">
        <v>11459</v>
      </c>
      <c r="PKE1" s="7" t="s">
        <v>11460</v>
      </c>
      <c r="PKF1" s="7" t="s">
        <v>11461</v>
      </c>
      <c r="PKG1" s="7" t="s">
        <v>11462</v>
      </c>
      <c r="PKH1" s="7" t="s">
        <v>11463</v>
      </c>
      <c r="PKI1" s="7" t="s">
        <v>11464</v>
      </c>
      <c r="PKJ1" s="7" t="s">
        <v>11465</v>
      </c>
      <c r="PKK1" s="7" t="s">
        <v>11466</v>
      </c>
      <c r="PKL1" s="7" t="s">
        <v>11467</v>
      </c>
      <c r="PKM1" s="7" t="s">
        <v>11468</v>
      </c>
      <c r="PKN1" s="7" t="s">
        <v>11469</v>
      </c>
      <c r="PKO1" s="7" t="s">
        <v>11470</v>
      </c>
      <c r="PKP1" s="7" t="s">
        <v>11471</v>
      </c>
      <c r="PKQ1" s="7" t="s">
        <v>11472</v>
      </c>
      <c r="PKR1" s="7" t="s">
        <v>11473</v>
      </c>
      <c r="PKS1" s="7" t="s">
        <v>11474</v>
      </c>
      <c r="PKT1" s="7" t="s">
        <v>11475</v>
      </c>
      <c r="PKU1" s="7" t="s">
        <v>11476</v>
      </c>
      <c r="PKV1" s="7" t="s">
        <v>11477</v>
      </c>
      <c r="PKW1" s="7" t="s">
        <v>11478</v>
      </c>
      <c r="PKX1" s="7" t="s">
        <v>11479</v>
      </c>
      <c r="PKY1" s="7" t="s">
        <v>11480</v>
      </c>
      <c r="PKZ1" s="7" t="s">
        <v>11481</v>
      </c>
      <c r="PLA1" s="7" t="s">
        <v>11482</v>
      </c>
      <c r="PLB1" s="7" t="s">
        <v>11483</v>
      </c>
      <c r="PLC1" s="7" t="s">
        <v>11484</v>
      </c>
      <c r="PLD1" s="7" t="s">
        <v>11485</v>
      </c>
      <c r="PLE1" s="7" t="s">
        <v>11486</v>
      </c>
      <c r="PLF1" s="7" t="s">
        <v>11487</v>
      </c>
      <c r="PLG1" s="7" t="s">
        <v>11488</v>
      </c>
      <c r="PLH1" s="7" t="s">
        <v>11489</v>
      </c>
      <c r="PLI1" s="7" t="s">
        <v>11490</v>
      </c>
      <c r="PLJ1" s="7" t="s">
        <v>11491</v>
      </c>
      <c r="PLK1" s="7" t="s">
        <v>11492</v>
      </c>
      <c r="PLL1" s="7" t="s">
        <v>11493</v>
      </c>
      <c r="PLM1" s="7" t="s">
        <v>11494</v>
      </c>
      <c r="PLN1" s="7" t="s">
        <v>11495</v>
      </c>
      <c r="PLO1" s="7" t="s">
        <v>11496</v>
      </c>
      <c r="PLP1" s="7" t="s">
        <v>11497</v>
      </c>
      <c r="PLQ1" s="7" t="s">
        <v>11498</v>
      </c>
      <c r="PLR1" s="7" t="s">
        <v>11499</v>
      </c>
      <c r="PLS1" s="7" t="s">
        <v>11500</v>
      </c>
      <c r="PLT1" s="7" t="s">
        <v>11501</v>
      </c>
      <c r="PLU1" s="7" t="s">
        <v>11502</v>
      </c>
      <c r="PLV1" s="7" t="s">
        <v>11503</v>
      </c>
      <c r="PLW1" s="7" t="s">
        <v>11504</v>
      </c>
      <c r="PLX1" s="7" t="s">
        <v>11505</v>
      </c>
      <c r="PLY1" s="7" t="s">
        <v>11506</v>
      </c>
      <c r="PLZ1" s="7" t="s">
        <v>11507</v>
      </c>
      <c r="PMA1" s="7" t="s">
        <v>11508</v>
      </c>
      <c r="PMB1" s="7" t="s">
        <v>11509</v>
      </c>
      <c r="PMC1" s="7" t="s">
        <v>11510</v>
      </c>
      <c r="PMD1" s="7" t="s">
        <v>11511</v>
      </c>
      <c r="PME1" s="7" t="s">
        <v>11512</v>
      </c>
      <c r="PMF1" s="7" t="s">
        <v>11513</v>
      </c>
      <c r="PMG1" s="7" t="s">
        <v>11514</v>
      </c>
      <c r="PMH1" s="7" t="s">
        <v>11515</v>
      </c>
      <c r="PMI1" s="7" t="s">
        <v>11516</v>
      </c>
      <c r="PMJ1" s="7" t="s">
        <v>11517</v>
      </c>
      <c r="PMK1" s="7" t="s">
        <v>11518</v>
      </c>
      <c r="PML1" s="7" t="s">
        <v>11519</v>
      </c>
      <c r="PMM1" s="7" t="s">
        <v>11520</v>
      </c>
      <c r="PMN1" s="7" t="s">
        <v>11521</v>
      </c>
      <c r="PMO1" s="7" t="s">
        <v>11522</v>
      </c>
      <c r="PMP1" s="7" t="s">
        <v>11523</v>
      </c>
      <c r="PMQ1" s="7" t="s">
        <v>11524</v>
      </c>
      <c r="PMR1" s="7" t="s">
        <v>11525</v>
      </c>
      <c r="PMS1" s="7" t="s">
        <v>11526</v>
      </c>
      <c r="PMT1" s="7" t="s">
        <v>11527</v>
      </c>
      <c r="PMU1" s="7" t="s">
        <v>11528</v>
      </c>
      <c r="PMV1" s="7" t="s">
        <v>11529</v>
      </c>
      <c r="PMW1" s="7" t="s">
        <v>11530</v>
      </c>
      <c r="PMX1" s="7" t="s">
        <v>11531</v>
      </c>
      <c r="PMY1" s="7" t="s">
        <v>11532</v>
      </c>
      <c r="PMZ1" s="7" t="s">
        <v>11533</v>
      </c>
      <c r="PNA1" s="7" t="s">
        <v>11534</v>
      </c>
      <c r="PNB1" s="7" t="s">
        <v>11535</v>
      </c>
      <c r="PNC1" s="7" t="s">
        <v>11536</v>
      </c>
      <c r="PND1" s="7" t="s">
        <v>11537</v>
      </c>
      <c r="PNE1" s="7" t="s">
        <v>11538</v>
      </c>
      <c r="PNF1" s="7" t="s">
        <v>11539</v>
      </c>
      <c r="PNG1" s="7" t="s">
        <v>11540</v>
      </c>
      <c r="PNH1" s="7" t="s">
        <v>11541</v>
      </c>
      <c r="PNI1" s="7" t="s">
        <v>11542</v>
      </c>
      <c r="PNJ1" s="7" t="s">
        <v>11543</v>
      </c>
      <c r="PNK1" s="7" t="s">
        <v>11544</v>
      </c>
      <c r="PNL1" s="7" t="s">
        <v>11545</v>
      </c>
      <c r="PNM1" s="7" t="s">
        <v>11546</v>
      </c>
      <c r="PNN1" s="7" t="s">
        <v>11547</v>
      </c>
      <c r="PNO1" s="7" t="s">
        <v>11548</v>
      </c>
      <c r="PNP1" s="7" t="s">
        <v>11549</v>
      </c>
      <c r="PNQ1" s="7" t="s">
        <v>11550</v>
      </c>
      <c r="PNR1" s="7" t="s">
        <v>11551</v>
      </c>
      <c r="PNS1" s="7" t="s">
        <v>11552</v>
      </c>
      <c r="PNT1" s="7" t="s">
        <v>11553</v>
      </c>
      <c r="PNU1" s="7" t="s">
        <v>11554</v>
      </c>
      <c r="PNV1" s="7" t="s">
        <v>11555</v>
      </c>
      <c r="PNW1" s="7" t="s">
        <v>11556</v>
      </c>
      <c r="PNX1" s="7" t="s">
        <v>11557</v>
      </c>
      <c r="PNY1" s="7" t="s">
        <v>11558</v>
      </c>
      <c r="PNZ1" s="7" t="s">
        <v>11559</v>
      </c>
      <c r="POA1" s="7" t="s">
        <v>11560</v>
      </c>
      <c r="POB1" s="7" t="s">
        <v>11561</v>
      </c>
      <c r="POC1" s="7" t="s">
        <v>11562</v>
      </c>
      <c r="POD1" s="7" t="s">
        <v>11563</v>
      </c>
      <c r="POE1" s="7" t="s">
        <v>11564</v>
      </c>
      <c r="POF1" s="7" t="s">
        <v>11565</v>
      </c>
      <c r="POG1" s="7" t="s">
        <v>11566</v>
      </c>
      <c r="POH1" s="7" t="s">
        <v>11567</v>
      </c>
      <c r="POI1" s="7" t="s">
        <v>11568</v>
      </c>
      <c r="POJ1" s="7" t="s">
        <v>11569</v>
      </c>
      <c r="POK1" s="7" t="s">
        <v>11570</v>
      </c>
      <c r="POL1" s="7" t="s">
        <v>11571</v>
      </c>
      <c r="POM1" s="7" t="s">
        <v>11572</v>
      </c>
      <c r="PON1" s="7" t="s">
        <v>11573</v>
      </c>
      <c r="POO1" s="7" t="s">
        <v>11574</v>
      </c>
      <c r="POP1" s="7" t="s">
        <v>11575</v>
      </c>
      <c r="POQ1" s="7" t="s">
        <v>11576</v>
      </c>
      <c r="POR1" s="7" t="s">
        <v>11577</v>
      </c>
      <c r="POS1" s="7" t="s">
        <v>11578</v>
      </c>
      <c r="POT1" s="7" t="s">
        <v>11579</v>
      </c>
      <c r="POU1" s="7" t="s">
        <v>11580</v>
      </c>
      <c r="POV1" s="7" t="s">
        <v>11581</v>
      </c>
      <c r="POW1" s="7" t="s">
        <v>11582</v>
      </c>
      <c r="POX1" s="7" t="s">
        <v>11583</v>
      </c>
      <c r="POY1" s="7" t="s">
        <v>11584</v>
      </c>
      <c r="POZ1" s="7" t="s">
        <v>11585</v>
      </c>
      <c r="PPA1" s="7" t="s">
        <v>11586</v>
      </c>
      <c r="PPB1" s="7" t="s">
        <v>11587</v>
      </c>
      <c r="PPC1" s="7" t="s">
        <v>11588</v>
      </c>
      <c r="PPD1" s="7" t="s">
        <v>11589</v>
      </c>
      <c r="PPE1" s="7" t="s">
        <v>11590</v>
      </c>
      <c r="PPF1" s="7" t="s">
        <v>11591</v>
      </c>
      <c r="PPG1" s="7" t="s">
        <v>11592</v>
      </c>
      <c r="PPH1" s="7" t="s">
        <v>11593</v>
      </c>
      <c r="PPI1" s="7" t="s">
        <v>11594</v>
      </c>
      <c r="PPJ1" s="7" t="s">
        <v>11595</v>
      </c>
      <c r="PPK1" s="7" t="s">
        <v>11596</v>
      </c>
      <c r="PPL1" s="7" t="s">
        <v>11597</v>
      </c>
      <c r="PPM1" s="7" t="s">
        <v>11598</v>
      </c>
      <c r="PPN1" s="7" t="s">
        <v>11599</v>
      </c>
      <c r="PPO1" s="7" t="s">
        <v>11600</v>
      </c>
      <c r="PPP1" s="7" t="s">
        <v>11601</v>
      </c>
      <c r="PPQ1" s="7" t="s">
        <v>11602</v>
      </c>
      <c r="PPR1" s="7" t="s">
        <v>11603</v>
      </c>
      <c r="PPS1" s="7" t="s">
        <v>11604</v>
      </c>
      <c r="PPT1" s="7" t="s">
        <v>11605</v>
      </c>
      <c r="PPU1" s="7" t="s">
        <v>11606</v>
      </c>
      <c r="PPV1" s="7" t="s">
        <v>11607</v>
      </c>
      <c r="PPW1" s="7" t="s">
        <v>11608</v>
      </c>
      <c r="PPX1" s="7" t="s">
        <v>11609</v>
      </c>
      <c r="PPY1" s="7" t="s">
        <v>11610</v>
      </c>
      <c r="PPZ1" s="7" t="s">
        <v>11611</v>
      </c>
      <c r="PQA1" s="7" t="s">
        <v>11612</v>
      </c>
      <c r="PQB1" s="7" t="s">
        <v>11613</v>
      </c>
      <c r="PQC1" s="7" t="s">
        <v>11614</v>
      </c>
      <c r="PQD1" s="7" t="s">
        <v>11615</v>
      </c>
      <c r="PQE1" s="7" t="s">
        <v>11616</v>
      </c>
      <c r="PQF1" s="7" t="s">
        <v>11617</v>
      </c>
      <c r="PQG1" s="7" t="s">
        <v>11618</v>
      </c>
      <c r="PQH1" s="7" t="s">
        <v>11619</v>
      </c>
      <c r="PQI1" s="7" t="s">
        <v>11620</v>
      </c>
      <c r="PQJ1" s="7" t="s">
        <v>11621</v>
      </c>
      <c r="PQK1" s="7" t="s">
        <v>11622</v>
      </c>
      <c r="PQL1" s="7" t="s">
        <v>11623</v>
      </c>
      <c r="PQM1" s="7" t="s">
        <v>11624</v>
      </c>
      <c r="PQN1" s="7" t="s">
        <v>11625</v>
      </c>
      <c r="PQO1" s="7" t="s">
        <v>11626</v>
      </c>
      <c r="PQP1" s="7" t="s">
        <v>11627</v>
      </c>
      <c r="PQQ1" s="7" t="s">
        <v>11628</v>
      </c>
      <c r="PQR1" s="7" t="s">
        <v>11629</v>
      </c>
      <c r="PQS1" s="7" t="s">
        <v>11630</v>
      </c>
      <c r="PQT1" s="7" t="s">
        <v>11631</v>
      </c>
      <c r="PQU1" s="7" t="s">
        <v>11632</v>
      </c>
      <c r="PQV1" s="7" t="s">
        <v>11633</v>
      </c>
      <c r="PQW1" s="7" t="s">
        <v>11634</v>
      </c>
      <c r="PQX1" s="7" t="s">
        <v>11635</v>
      </c>
      <c r="PQY1" s="7" t="s">
        <v>11636</v>
      </c>
      <c r="PQZ1" s="7" t="s">
        <v>11637</v>
      </c>
      <c r="PRA1" s="7" t="s">
        <v>11638</v>
      </c>
      <c r="PRB1" s="7" t="s">
        <v>11639</v>
      </c>
      <c r="PRC1" s="7" t="s">
        <v>11640</v>
      </c>
      <c r="PRD1" s="7" t="s">
        <v>11641</v>
      </c>
      <c r="PRE1" s="7" t="s">
        <v>11642</v>
      </c>
      <c r="PRF1" s="7" t="s">
        <v>11643</v>
      </c>
      <c r="PRG1" s="7" t="s">
        <v>11644</v>
      </c>
      <c r="PRH1" s="7" t="s">
        <v>11645</v>
      </c>
      <c r="PRI1" s="7" t="s">
        <v>11646</v>
      </c>
      <c r="PRJ1" s="7" t="s">
        <v>11647</v>
      </c>
      <c r="PRK1" s="7" t="s">
        <v>11648</v>
      </c>
      <c r="PRL1" s="7" t="s">
        <v>11649</v>
      </c>
      <c r="PRM1" s="7" t="s">
        <v>11650</v>
      </c>
      <c r="PRN1" s="7" t="s">
        <v>11651</v>
      </c>
      <c r="PRO1" s="7" t="s">
        <v>11652</v>
      </c>
      <c r="PRP1" s="7" t="s">
        <v>11653</v>
      </c>
      <c r="PRQ1" s="7" t="s">
        <v>11654</v>
      </c>
      <c r="PRR1" s="7" t="s">
        <v>11655</v>
      </c>
      <c r="PRS1" s="7" t="s">
        <v>11656</v>
      </c>
      <c r="PRT1" s="7" t="s">
        <v>11657</v>
      </c>
      <c r="PRU1" s="7" t="s">
        <v>11658</v>
      </c>
      <c r="PRV1" s="7" t="s">
        <v>11659</v>
      </c>
      <c r="PRW1" s="7" t="s">
        <v>11660</v>
      </c>
      <c r="PRX1" s="7" t="s">
        <v>11661</v>
      </c>
      <c r="PRY1" s="7" t="s">
        <v>11662</v>
      </c>
      <c r="PRZ1" s="7" t="s">
        <v>11663</v>
      </c>
      <c r="PSA1" s="7" t="s">
        <v>11664</v>
      </c>
      <c r="PSB1" s="7" t="s">
        <v>11665</v>
      </c>
      <c r="PSC1" s="7" t="s">
        <v>11666</v>
      </c>
      <c r="PSD1" s="7" t="s">
        <v>11667</v>
      </c>
      <c r="PSE1" s="7" t="s">
        <v>11668</v>
      </c>
      <c r="PSF1" s="7" t="s">
        <v>11669</v>
      </c>
      <c r="PSG1" s="7" t="s">
        <v>11670</v>
      </c>
      <c r="PSH1" s="7" t="s">
        <v>11671</v>
      </c>
      <c r="PSI1" s="7" t="s">
        <v>11672</v>
      </c>
      <c r="PSJ1" s="7" t="s">
        <v>11673</v>
      </c>
      <c r="PSK1" s="7" t="s">
        <v>11674</v>
      </c>
      <c r="PSL1" s="7" t="s">
        <v>11675</v>
      </c>
      <c r="PSM1" s="7" t="s">
        <v>11676</v>
      </c>
      <c r="PSN1" s="7" t="s">
        <v>11677</v>
      </c>
      <c r="PSO1" s="7" t="s">
        <v>11678</v>
      </c>
      <c r="PSP1" s="7" t="s">
        <v>11679</v>
      </c>
      <c r="PSQ1" s="7" t="s">
        <v>11680</v>
      </c>
      <c r="PSR1" s="7" t="s">
        <v>11681</v>
      </c>
      <c r="PSS1" s="7" t="s">
        <v>11682</v>
      </c>
      <c r="PST1" s="7" t="s">
        <v>11683</v>
      </c>
      <c r="PSU1" s="7" t="s">
        <v>11684</v>
      </c>
      <c r="PSV1" s="7" t="s">
        <v>11685</v>
      </c>
      <c r="PSW1" s="7" t="s">
        <v>11686</v>
      </c>
      <c r="PSX1" s="7" t="s">
        <v>11687</v>
      </c>
      <c r="PSY1" s="7" t="s">
        <v>11688</v>
      </c>
      <c r="PSZ1" s="7" t="s">
        <v>11689</v>
      </c>
      <c r="PTA1" s="7" t="s">
        <v>11690</v>
      </c>
      <c r="PTB1" s="7" t="s">
        <v>11691</v>
      </c>
      <c r="PTC1" s="7" t="s">
        <v>11692</v>
      </c>
      <c r="PTD1" s="7" t="s">
        <v>11693</v>
      </c>
      <c r="PTE1" s="7" t="s">
        <v>11694</v>
      </c>
      <c r="PTF1" s="7" t="s">
        <v>11695</v>
      </c>
      <c r="PTG1" s="7" t="s">
        <v>11696</v>
      </c>
      <c r="PTH1" s="7" t="s">
        <v>11697</v>
      </c>
      <c r="PTI1" s="7" t="s">
        <v>11698</v>
      </c>
      <c r="PTJ1" s="7" t="s">
        <v>11699</v>
      </c>
      <c r="PTK1" s="7" t="s">
        <v>11700</v>
      </c>
      <c r="PTL1" s="7" t="s">
        <v>11701</v>
      </c>
      <c r="PTM1" s="7" t="s">
        <v>11702</v>
      </c>
      <c r="PTN1" s="7" t="s">
        <v>11703</v>
      </c>
      <c r="PTO1" s="7" t="s">
        <v>11704</v>
      </c>
      <c r="PTP1" s="7" t="s">
        <v>11705</v>
      </c>
      <c r="PTQ1" s="7" t="s">
        <v>11706</v>
      </c>
      <c r="PTR1" s="7" t="s">
        <v>11707</v>
      </c>
      <c r="PTS1" s="7" t="s">
        <v>11708</v>
      </c>
      <c r="PTT1" s="7" t="s">
        <v>11709</v>
      </c>
      <c r="PTU1" s="7" t="s">
        <v>11710</v>
      </c>
      <c r="PTV1" s="7" t="s">
        <v>11711</v>
      </c>
      <c r="PTW1" s="7" t="s">
        <v>11712</v>
      </c>
      <c r="PTX1" s="7" t="s">
        <v>11713</v>
      </c>
      <c r="PTY1" s="7" t="s">
        <v>11714</v>
      </c>
      <c r="PTZ1" s="7" t="s">
        <v>11715</v>
      </c>
      <c r="PUA1" s="7" t="s">
        <v>11716</v>
      </c>
      <c r="PUB1" s="7" t="s">
        <v>11717</v>
      </c>
      <c r="PUC1" s="7" t="s">
        <v>11718</v>
      </c>
      <c r="PUD1" s="7" t="s">
        <v>11719</v>
      </c>
      <c r="PUE1" s="7" t="s">
        <v>11720</v>
      </c>
      <c r="PUF1" s="7" t="s">
        <v>11721</v>
      </c>
      <c r="PUG1" s="7" t="s">
        <v>11722</v>
      </c>
      <c r="PUH1" s="7" t="s">
        <v>11723</v>
      </c>
      <c r="PUI1" s="7" t="s">
        <v>11724</v>
      </c>
      <c r="PUJ1" s="7" t="s">
        <v>11725</v>
      </c>
      <c r="PUK1" s="7" t="s">
        <v>11726</v>
      </c>
      <c r="PUL1" s="7" t="s">
        <v>11727</v>
      </c>
      <c r="PUM1" s="7" t="s">
        <v>11728</v>
      </c>
      <c r="PUN1" s="7" t="s">
        <v>11729</v>
      </c>
      <c r="PUO1" s="7" t="s">
        <v>11730</v>
      </c>
      <c r="PUP1" s="7" t="s">
        <v>11731</v>
      </c>
      <c r="PUQ1" s="7" t="s">
        <v>11732</v>
      </c>
      <c r="PUR1" s="7" t="s">
        <v>11733</v>
      </c>
      <c r="PUS1" s="7" t="s">
        <v>11734</v>
      </c>
      <c r="PUT1" s="7" t="s">
        <v>11735</v>
      </c>
      <c r="PUU1" s="7" t="s">
        <v>11736</v>
      </c>
      <c r="PUV1" s="7" t="s">
        <v>11737</v>
      </c>
      <c r="PUW1" s="7" t="s">
        <v>11738</v>
      </c>
      <c r="PUX1" s="7" t="s">
        <v>11739</v>
      </c>
      <c r="PUY1" s="7" t="s">
        <v>11740</v>
      </c>
      <c r="PUZ1" s="7" t="s">
        <v>11741</v>
      </c>
      <c r="PVA1" s="7" t="s">
        <v>11742</v>
      </c>
      <c r="PVB1" s="7" t="s">
        <v>11743</v>
      </c>
      <c r="PVC1" s="7" t="s">
        <v>11744</v>
      </c>
      <c r="PVD1" s="7" t="s">
        <v>11745</v>
      </c>
      <c r="PVE1" s="7" t="s">
        <v>11746</v>
      </c>
      <c r="PVF1" s="7" t="s">
        <v>11747</v>
      </c>
      <c r="PVG1" s="7" t="s">
        <v>11748</v>
      </c>
      <c r="PVH1" s="7" t="s">
        <v>11749</v>
      </c>
      <c r="PVI1" s="7" t="s">
        <v>11750</v>
      </c>
      <c r="PVJ1" s="7" t="s">
        <v>11751</v>
      </c>
      <c r="PVK1" s="7" t="s">
        <v>11752</v>
      </c>
      <c r="PVL1" s="7" t="s">
        <v>11753</v>
      </c>
      <c r="PVM1" s="7" t="s">
        <v>11754</v>
      </c>
      <c r="PVN1" s="7" t="s">
        <v>11755</v>
      </c>
      <c r="PVO1" s="7" t="s">
        <v>11756</v>
      </c>
      <c r="PVP1" s="7" t="s">
        <v>11757</v>
      </c>
      <c r="PVQ1" s="7" t="s">
        <v>11758</v>
      </c>
      <c r="PVR1" s="7" t="s">
        <v>11759</v>
      </c>
      <c r="PVS1" s="7" t="s">
        <v>11760</v>
      </c>
      <c r="PVT1" s="7" t="s">
        <v>11761</v>
      </c>
      <c r="PVU1" s="7" t="s">
        <v>11762</v>
      </c>
      <c r="PVV1" s="7" t="s">
        <v>11763</v>
      </c>
      <c r="PVW1" s="7" t="s">
        <v>11764</v>
      </c>
      <c r="PVX1" s="7" t="s">
        <v>11765</v>
      </c>
      <c r="PVY1" s="7" t="s">
        <v>11766</v>
      </c>
      <c r="PVZ1" s="7" t="s">
        <v>11767</v>
      </c>
      <c r="PWA1" s="7" t="s">
        <v>11768</v>
      </c>
      <c r="PWB1" s="7" t="s">
        <v>11769</v>
      </c>
      <c r="PWC1" s="7" t="s">
        <v>11770</v>
      </c>
      <c r="PWD1" s="7" t="s">
        <v>11771</v>
      </c>
      <c r="PWE1" s="7" t="s">
        <v>11772</v>
      </c>
      <c r="PWF1" s="7" t="s">
        <v>11773</v>
      </c>
      <c r="PWG1" s="7" t="s">
        <v>11774</v>
      </c>
      <c r="PWH1" s="7" t="s">
        <v>11775</v>
      </c>
      <c r="PWI1" s="7" t="s">
        <v>11776</v>
      </c>
      <c r="PWJ1" s="7" t="s">
        <v>11777</v>
      </c>
      <c r="PWK1" s="7" t="s">
        <v>11778</v>
      </c>
      <c r="PWL1" s="7" t="s">
        <v>11779</v>
      </c>
      <c r="PWM1" s="7" t="s">
        <v>11780</v>
      </c>
      <c r="PWN1" s="7" t="s">
        <v>11781</v>
      </c>
      <c r="PWO1" s="7" t="s">
        <v>11782</v>
      </c>
      <c r="PWP1" s="7" t="s">
        <v>11783</v>
      </c>
      <c r="PWQ1" s="7" t="s">
        <v>11784</v>
      </c>
      <c r="PWR1" s="7" t="s">
        <v>11785</v>
      </c>
      <c r="PWS1" s="7" t="s">
        <v>11786</v>
      </c>
      <c r="PWT1" s="7" t="s">
        <v>11787</v>
      </c>
      <c r="PWU1" s="7" t="s">
        <v>11788</v>
      </c>
      <c r="PWV1" s="7" t="s">
        <v>11789</v>
      </c>
      <c r="PWW1" s="7" t="s">
        <v>11790</v>
      </c>
      <c r="PWX1" s="7" t="s">
        <v>11791</v>
      </c>
      <c r="PWY1" s="7" t="s">
        <v>11792</v>
      </c>
      <c r="PWZ1" s="7" t="s">
        <v>11793</v>
      </c>
      <c r="PXA1" s="7" t="s">
        <v>11794</v>
      </c>
      <c r="PXB1" s="7" t="s">
        <v>11795</v>
      </c>
      <c r="PXC1" s="7" t="s">
        <v>11796</v>
      </c>
      <c r="PXD1" s="7" t="s">
        <v>11797</v>
      </c>
      <c r="PXE1" s="7" t="s">
        <v>11798</v>
      </c>
      <c r="PXF1" s="7" t="s">
        <v>11799</v>
      </c>
      <c r="PXG1" s="7" t="s">
        <v>11800</v>
      </c>
      <c r="PXH1" s="7" t="s">
        <v>11801</v>
      </c>
      <c r="PXI1" s="7" t="s">
        <v>11802</v>
      </c>
      <c r="PXJ1" s="7" t="s">
        <v>11803</v>
      </c>
      <c r="PXK1" s="7" t="s">
        <v>11804</v>
      </c>
      <c r="PXL1" s="7" t="s">
        <v>11805</v>
      </c>
      <c r="PXM1" s="7" t="s">
        <v>11806</v>
      </c>
      <c r="PXN1" s="7" t="s">
        <v>11807</v>
      </c>
      <c r="PXO1" s="7" t="s">
        <v>11808</v>
      </c>
      <c r="PXP1" s="7" t="s">
        <v>11809</v>
      </c>
      <c r="PXQ1" s="7" t="s">
        <v>11810</v>
      </c>
      <c r="PXR1" s="7" t="s">
        <v>11811</v>
      </c>
      <c r="PXS1" s="7" t="s">
        <v>11812</v>
      </c>
      <c r="PXT1" s="7" t="s">
        <v>11813</v>
      </c>
      <c r="PXU1" s="7" t="s">
        <v>11814</v>
      </c>
      <c r="PXV1" s="7" t="s">
        <v>11815</v>
      </c>
      <c r="PXW1" s="7" t="s">
        <v>11816</v>
      </c>
      <c r="PXX1" s="7" t="s">
        <v>11817</v>
      </c>
      <c r="PXY1" s="7" t="s">
        <v>11818</v>
      </c>
      <c r="PXZ1" s="7" t="s">
        <v>11819</v>
      </c>
      <c r="PYA1" s="7" t="s">
        <v>11820</v>
      </c>
      <c r="PYB1" s="7" t="s">
        <v>11821</v>
      </c>
      <c r="PYC1" s="7" t="s">
        <v>11822</v>
      </c>
      <c r="PYD1" s="7" t="s">
        <v>11823</v>
      </c>
      <c r="PYE1" s="7" t="s">
        <v>11824</v>
      </c>
      <c r="PYF1" s="7" t="s">
        <v>11825</v>
      </c>
      <c r="PYG1" s="7" t="s">
        <v>11826</v>
      </c>
      <c r="PYH1" s="7" t="s">
        <v>11827</v>
      </c>
      <c r="PYI1" s="7" t="s">
        <v>11828</v>
      </c>
      <c r="PYJ1" s="7" t="s">
        <v>11829</v>
      </c>
      <c r="PYK1" s="7" t="s">
        <v>11830</v>
      </c>
      <c r="PYL1" s="7" t="s">
        <v>11831</v>
      </c>
      <c r="PYM1" s="7" t="s">
        <v>11832</v>
      </c>
      <c r="PYN1" s="7" t="s">
        <v>11833</v>
      </c>
      <c r="PYO1" s="7" t="s">
        <v>11834</v>
      </c>
      <c r="PYP1" s="7" t="s">
        <v>11835</v>
      </c>
      <c r="PYQ1" s="7" t="s">
        <v>11836</v>
      </c>
      <c r="PYR1" s="7" t="s">
        <v>11837</v>
      </c>
      <c r="PYS1" s="7" t="s">
        <v>11838</v>
      </c>
      <c r="PYT1" s="7" t="s">
        <v>11839</v>
      </c>
      <c r="PYU1" s="7" t="s">
        <v>11840</v>
      </c>
      <c r="PYV1" s="7" t="s">
        <v>11841</v>
      </c>
      <c r="PYW1" s="7" t="s">
        <v>11842</v>
      </c>
      <c r="PYX1" s="7" t="s">
        <v>11843</v>
      </c>
      <c r="PYY1" s="7" t="s">
        <v>11844</v>
      </c>
      <c r="PYZ1" s="7" t="s">
        <v>11845</v>
      </c>
      <c r="PZA1" s="7" t="s">
        <v>11846</v>
      </c>
      <c r="PZB1" s="7" t="s">
        <v>11847</v>
      </c>
      <c r="PZC1" s="7" t="s">
        <v>11848</v>
      </c>
      <c r="PZD1" s="7" t="s">
        <v>11849</v>
      </c>
      <c r="PZE1" s="7" t="s">
        <v>11850</v>
      </c>
      <c r="PZF1" s="7" t="s">
        <v>11851</v>
      </c>
      <c r="PZG1" s="7" t="s">
        <v>11852</v>
      </c>
      <c r="PZH1" s="7" t="s">
        <v>11853</v>
      </c>
      <c r="PZI1" s="7" t="s">
        <v>11854</v>
      </c>
      <c r="PZJ1" s="7" t="s">
        <v>11855</v>
      </c>
      <c r="PZK1" s="7" t="s">
        <v>11856</v>
      </c>
      <c r="PZL1" s="7" t="s">
        <v>11857</v>
      </c>
      <c r="PZM1" s="7" t="s">
        <v>11858</v>
      </c>
      <c r="PZN1" s="7" t="s">
        <v>11859</v>
      </c>
      <c r="PZO1" s="7" t="s">
        <v>11860</v>
      </c>
      <c r="PZP1" s="7" t="s">
        <v>11861</v>
      </c>
      <c r="PZQ1" s="7" t="s">
        <v>11862</v>
      </c>
      <c r="PZR1" s="7" t="s">
        <v>11863</v>
      </c>
      <c r="PZS1" s="7" t="s">
        <v>11864</v>
      </c>
      <c r="PZT1" s="7" t="s">
        <v>11865</v>
      </c>
      <c r="PZU1" s="7" t="s">
        <v>11866</v>
      </c>
      <c r="PZV1" s="7" t="s">
        <v>11867</v>
      </c>
      <c r="PZW1" s="7" t="s">
        <v>11868</v>
      </c>
      <c r="PZX1" s="7" t="s">
        <v>11869</v>
      </c>
      <c r="PZY1" s="7" t="s">
        <v>11870</v>
      </c>
      <c r="PZZ1" s="7" t="s">
        <v>11871</v>
      </c>
      <c r="QAA1" s="7" t="s">
        <v>11872</v>
      </c>
      <c r="QAB1" s="7" t="s">
        <v>11873</v>
      </c>
      <c r="QAC1" s="7" t="s">
        <v>11874</v>
      </c>
      <c r="QAD1" s="7" t="s">
        <v>11875</v>
      </c>
      <c r="QAE1" s="7" t="s">
        <v>11876</v>
      </c>
      <c r="QAF1" s="7" t="s">
        <v>11877</v>
      </c>
      <c r="QAG1" s="7" t="s">
        <v>11878</v>
      </c>
      <c r="QAH1" s="7" t="s">
        <v>11879</v>
      </c>
      <c r="QAI1" s="7" t="s">
        <v>11880</v>
      </c>
      <c r="QAJ1" s="7" t="s">
        <v>11881</v>
      </c>
      <c r="QAK1" s="7" t="s">
        <v>11882</v>
      </c>
      <c r="QAL1" s="7" t="s">
        <v>11883</v>
      </c>
      <c r="QAM1" s="7" t="s">
        <v>11884</v>
      </c>
      <c r="QAN1" s="7" t="s">
        <v>11885</v>
      </c>
      <c r="QAO1" s="7" t="s">
        <v>11886</v>
      </c>
      <c r="QAP1" s="7" t="s">
        <v>11887</v>
      </c>
      <c r="QAQ1" s="7" t="s">
        <v>11888</v>
      </c>
      <c r="QAR1" s="7" t="s">
        <v>11889</v>
      </c>
      <c r="QAS1" s="7" t="s">
        <v>11890</v>
      </c>
      <c r="QAT1" s="7" t="s">
        <v>11891</v>
      </c>
      <c r="QAU1" s="7" t="s">
        <v>11892</v>
      </c>
      <c r="QAV1" s="7" t="s">
        <v>11893</v>
      </c>
      <c r="QAW1" s="7" t="s">
        <v>11894</v>
      </c>
      <c r="QAX1" s="7" t="s">
        <v>11895</v>
      </c>
      <c r="QAY1" s="7" t="s">
        <v>11896</v>
      </c>
      <c r="QAZ1" s="7" t="s">
        <v>11897</v>
      </c>
      <c r="QBA1" s="7" t="s">
        <v>11898</v>
      </c>
      <c r="QBB1" s="7" t="s">
        <v>11899</v>
      </c>
      <c r="QBC1" s="7" t="s">
        <v>11900</v>
      </c>
      <c r="QBD1" s="7" t="s">
        <v>11901</v>
      </c>
      <c r="QBE1" s="7" t="s">
        <v>11902</v>
      </c>
      <c r="QBF1" s="7" t="s">
        <v>11903</v>
      </c>
      <c r="QBG1" s="7" t="s">
        <v>11904</v>
      </c>
      <c r="QBH1" s="7" t="s">
        <v>11905</v>
      </c>
      <c r="QBI1" s="7" t="s">
        <v>11906</v>
      </c>
      <c r="QBJ1" s="7" t="s">
        <v>11907</v>
      </c>
      <c r="QBK1" s="7" t="s">
        <v>11908</v>
      </c>
      <c r="QBL1" s="7" t="s">
        <v>11909</v>
      </c>
      <c r="QBM1" s="7" t="s">
        <v>11910</v>
      </c>
      <c r="QBN1" s="7" t="s">
        <v>11911</v>
      </c>
      <c r="QBO1" s="7" t="s">
        <v>11912</v>
      </c>
      <c r="QBP1" s="7" t="s">
        <v>11913</v>
      </c>
      <c r="QBQ1" s="7" t="s">
        <v>11914</v>
      </c>
      <c r="QBR1" s="7" t="s">
        <v>11915</v>
      </c>
      <c r="QBS1" s="7" t="s">
        <v>11916</v>
      </c>
      <c r="QBT1" s="7" t="s">
        <v>11917</v>
      </c>
      <c r="QBU1" s="7" t="s">
        <v>11918</v>
      </c>
      <c r="QBV1" s="7" t="s">
        <v>11919</v>
      </c>
      <c r="QBW1" s="7" t="s">
        <v>11920</v>
      </c>
      <c r="QBX1" s="7" t="s">
        <v>11921</v>
      </c>
      <c r="QBY1" s="7" t="s">
        <v>11922</v>
      </c>
      <c r="QBZ1" s="7" t="s">
        <v>11923</v>
      </c>
      <c r="QCA1" s="7" t="s">
        <v>11924</v>
      </c>
      <c r="QCB1" s="7" t="s">
        <v>11925</v>
      </c>
      <c r="QCC1" s="7" t="s">
        <v>11926</v>
      </c>
      <c r="QCD1" s="7" t="s">
        <v>11927</v>
      </c>
      <c r="QCE1" s="7" t="s">
        <v>11928</v>
      </c>
      <c r="QCF1" s="7" t="s">
        <v>11929</v>
      </c>
      <c r="QCG1" s="7" t="s">
        <v>11930</v>
      </c>
      <c r="QCH1" s="7" t="s">
        <v>11931</v>
      </c>
      <c r="QCI1" s="7" t="s">
        <v>11932</v>
      </c>
      <c r="QCJ1" s="7" t="s">
        <v>11933</v>
      </c>
      <c r="QCK1" s="7" t="s">
        <v>11934</v>
      </c>
      <c r="QCL1" s="7" t="s">
        <v>11935</v>
      </c>
      <c r="QCM1" s="7" t="s">
        <v>11936</v>
      </c>
      <c r="QCN1" s="7" t="s">
        <v>11937</v>
      </c>
      <c r="QCO1" s="7" t="s">
        <v>11938</v>
      </c>
      <c r="QCP1" s="7" t="s">
        <v>11939</v>
      </c>
      <c r="QCQ1" s="7" t="s">
        <v>11940</v>
      </c>
      <c r="QCR1" s="7" t="s">
        <v>11941</v>
      </c>
      <c r="QCS1" s="7" t="s">
        <v>11942</v>
      </c>
      <c r="QCT1" s="7" t="s">
        <v>11943</v>
      </c>
      <c r="QCU1" s="7" t="s">
        <v>11944</v>
      </c>
      <c r="QCV1" s="7" t="s">
        <v>11945</v>
      </c>
      <c r="QCW1" s="7" t="s">
        <v>11946</v>
      </c>
      <c r="QCX1" s="7" t="s">
        <v>11947</v>
      </c>
      <c r="QCY1" s="7" t="s">
        <v>11948</v>
      </c>
      <c r="QCZ1" s="7" t="s">
        <v>11949</v>
      </c>
      <c r="QDA1" s="7" t="s">
        <v>11950</v>
      </c>
      <c r="QDB1" s="7" t="s">
        <v>11951</v>
      </c>
      <c r="QDC1" s="7" t="s">
        <v>11952</v>
      </c>
      <c r="QDD1" s="7" t="s">
        <v>11953</v>
      </c>
      <c r="QDE1" s="7" t="s">
        <v>11954</v>
      </c>
      <c r="QDF1" s="7" t="s">
        <v>11955</v>
      </c>
      <c r="QDG1" s="7" t="s">
        <v>11956</v>
      </c>
      <c r="QDH1" s="7" t="s">
        <v>11957</v>
      </c>
      <c r="QDI1" s="7" t="s">
        <v>11958</v>
      </c>
      <c r="QDJ1" s="7" t="s">
        <v>11959</v>
      </c>
      <c r="QDK1" s="7" t="s">
        <v>11960</v>
      </c>
      <c r="QDL1" s="7" t="s">
        <v>11961</v>
      </c>
      <c r="QDM1" s="7" t="s">
        <v>11962</v>
      </c>
      <c r="QDN1" s="7" t="s">
        <v>11963</v>
      </c>
      <c r="QDO1" s="7" t="s">
        <v>11964</v>
      </c>
      <c r="QDP1" s="7" t="s">
        <v>11965</v>
      </c>
      <c r="QDQ1" s="7" t="s">
        <v>11966</v>
      </c>
      <c r="QDR1" s="7" t="s">
        <v>11967</v>
      </c>
      <c r="QDS1" s="7" t="s">
        <v>11968</v>
      </c>
      <c r="QDT1" s="7" t="s">
        <v>11969</v>
      </c>
      <c r="QDU1" s="7" t="s">
        <v>11970</v>
      </c>
      <c r="QDV1" s="7" t="s">
        <v>11971</v>
      </c>
      <c r="QDW1" s="7" t="s">
        <v>11972</v>
      </c>
      <c r="QDX1" s="7" t="s">
        <v>11973</v>
      </c>
      <c r="QDY1" s="7" t="s">
        <v>11974</v>
      </c>
      <c r="QDZ1" s="7" t="s">
        <v>11975</v>
      </c>
      <c r="QEA1" s="7" t="s">
        <v>11976</v>
      </c>
      <c r="QEB1" s="7" t="s">
        <v>11977</v>
      </c>
      <c r="QEC1" s="7" t="s">
        <v>11978</v>
      </c>
      <c r="QED1" s="7" t="s">
        <v>11979</v>
      </c>
      <c r="QEE1" s="7" t="s">
        <v>11980</v>
      </c>
      <c r="QEF1" s="7" t="s">
        <v>11981</v>
      </c>
      <c r="QEG1" s="7" t="s">
        <v>11982</v>
      </c>
      <c r="QEH1" s="7" t="s">
        <v>11983</v>
      </c>
      <c r="QEI1" s="7" t="s">
        <v>11984</v>
      </c>
      <c r="QEJ1" s="7" t="s">
        <v>11985</v>
      </c>
      <c r="QEK1" s="7" t="s">
        <v>11986</v>
      </c>
      <c r="QEL1" s="7" t="s">
        <v>11987</v>
      </c>
      <c r="QEM1" s="7" t="s">
        <v>11988</v>
      </c>
      <c r="QEN1" s="7" t="s">
        <v>11989</v>
      </c>
      <c r="QEO1" s="7" t="s">
        <v>11990</v>
      </c>
      <c r="QEP1" s="7" t="s">
        <v>11991</v>
      </c>
      <c r="QEQ1" s="7" t="s">
        <v>11992</v>
      </c>
      <c r="QER1" s="7" t="s">
        <v>11993</v>
      </c>
      <c r="QES1" s="7" t="s">
        <v>11994</v>
      </c>
      <c r="QET1" s="7" t="s">
        <v>11995</v>
      </c>
      <c r="QEU1" s="7" t="s">
        <v>11996</v>
      </c>
      <c r="QEV1" s="7" t="s">
        <v>11997</v>
      </c>
      <c r="QEW1" s="7" t="s">
        <v>11998</v>
      </c>
      <c r="QEX1" s="7" t="s">
        <v>11999</v>
      </c>
      <c r="QEY1" s="7" t="s">
        <v>12000</v>
      </c>
      <c r="QEZ1" s="7" t="s">
        <v>12001</v>
      </c>
      <c r="QFA1" s="7" t="s">
        <v>12002</v>
      </c>
      <c r="QFB1" s="7" t="s">
        <v>12003</v>
      </c>
      <c r="QFC1" s="7" t="s">
        <v>12004</v>
      </c>
      <c r="QFD1" s="7" t="s">
        <v>12005</v>
      </c>
      <c r="QFE1" s="7" t="s">
        <v>12006</v>
      </c>
      <c r="QFF1" s="7" t="s">
        <v>12007</v>
      </c>
      <c r="QFG1" s="7" t="s">
        <v>12008</v>
      </c>
      <c r="QFH1" s="7" t="s">
        <v>12009</v>
      </c>
      <c r="QFI1" s="7" t="s">
        <v>12010</v>
      </c>
      <c r="QFJ1" s="7" t="s">
        <v>12011</v>
      </c>
      <c r="QFK1" s="7" t="s">
        <v>12012</v>
      </c>
      <c r="QFL1" s="7" t="s">
        <v>12013</v>
      </c>
      <c r="QFM1" s="7" t="s">
        <v>12014</v>
      </c>
      <c r="QFN1" s="7" t="s">
        <v>12015</v>
      </c>
      <c r="QFO1" s="7" t="s">
        <v>12016</v>
      </c>
      <c r="QFP1" s="7" t="s">
        <v>12017</v>
      </c>
      <c r="QFQ1" s="7" t="s">
        <v>12018</v>
      </c>
      <c r="QFR1" s="7" t="s">
        <v>12019</v>
      </c>
      <c r="QFS1" s="7" t="s">
        <v>12020</v>
      </c>
      <c r="QFT1" s="7" t="s">
        <v>12021</v>
      </c>
      <c r="QFU1" s="7" t="s">
        <v>12022</v>
      </c>
      <c r="QFV1" s="7" t="s">
        <v>12023</v>
      </c>
      <c r="QFW1" s="7" t="s">
        <v>12024</v>
      </c>
      <c r="QFX1" s="7" t="s">
        <v>12025</v>
      </c>
      <c r="QFY1" s="7" t="s">
        <v>12026</v>
      </c>
      <c r="QFZ1" s="7" t="s">
        <v>12027</v>
      </c>
      <c r="QGA1" s="7" t="s">
        <v>12028</v>
      </c>
      <c r="QGB1" s="7" t="s">
        <v>12029</v>
      </c>
      <c r="QGC1" s="7" t="s">
        <v>12030</v>
      </c>
      <c r="QGD1" s="7" t="s">
        <v>12031</v>
      </c>
      <c r="QGE1" s="7" t="s">
        <v>12032</v>
      </c>
      <c r="QGF1" s="7" t="s">
        <v>12033</v>
      </c>
      <c r="QGG1" s="7" t="s">
        <v>12034</v>
      </c>
      <c r="QGH1" s="7" t="s">
        <v>12035</v>
      </c>
      <c r="QGI1" s="7" t="s">
        <v>12036</v>
      </c>
      <c r="QGJ1" s="7" t="s">
        <v>12037</v>
      </c>
      <c r="QGK1" s="7" t="s">
        <v>12038</v>
      </c>
      <c r="QGL1" s="7" t="s">
        <v>12039</v>
      </c>
      <c r="QGM1" s="7" t="s">
        <v>12040</v>
      </c>
      <c r="QGN1" s="7" t="s">
        <v>12041</v>
      </c>
      <c r="QGO1" s="7" t="s">
        <v>12042</v>
      </c>
      <c r="QGP1" s="7" t="s">
        <v>12043</v>
      </c>
      <c r="QGQ1" s="7" t="s">
        <v>12044</v>
      </c>
      <c r="QGR1" s="7" t="s">
        <v>12045</v>
      </c>
      <c r="QGS1" s="7" t="s">
        <v>12046</v>
      </c>
      <c r="QGT1" s="7" t="s">
        <v>12047</v>
      </c>
      <c r="QGU1" s="7" t="s">
        <v>12048</v>
      </c>
      <c r="QGV1" s="7" t="s">
        <v>12049</v>
      </c>
      <c r="QGW1" s="7" t="s">
        <v>12050</v>
      </c>
      <c r="QGX1" s="7" t="s">
        <v>12051</v>
      </c>
      <c r="QGY1" s="7" t="s">
        <v>12052</v>
      </c>
      <c r="QGZ1" s="7" t="s">
        <v>12053</v>
      </c>
      <c r="QHA1" s="7" t="s">
        <v>12054</v>
      </c>
      <c r="QHB1" s="7" t="s">
        <v>12055</v>
      </c>
      <c r="QHC1" s="7" t="s">
        <v>12056</v>
      </c>
      <c r="QHD1" s="7" t="s">
        <v>12057</v>
      </c>
      <c r="QHE1" s="7" t="s">
        <v>12058</v>
      </c>
      <c r="QHF1" s="7" t="s">
        <v>12059</v>
      </c>
      <c r="QHG1" s="7" t="s">
        <v>12060</v>
      </c>
      <c r="QHH1" s="7" t="s">
        <v>12061</v>
      </c>
      <c r="QHI1" s="7" t="s">
        <v>12062</v>
      </c>
      <c r="QHJ1" s="7" t="s">
        <v>12063</v>
      </c>
      <c r="QHK1" s="7" t="s">
        <v>12064</v>
      </c>
      <c r="QHL1" s="7" t="s">
        <v>12065</v>
      </c>
      <c r="QHM1" s="7" t="s">
        <v>12066</v>
      </c>
      <c r="QHN1" s="7" t="s">
        <v>12067</v>
      </c>
      <c r="QHO1" s="7" t="s">
        <v>12068</v>
      </c>
      <c r="QHP1" s="7" t="s">
        <v>12069</v>
      </c>
      <c r="QHQ1" s="7" t="s">
        <v>12070</v>
      </c>
      <c r="QHR1" s="7" t="s">
        <v>12071</v>
      </c>
      <c r="QHS1" s="7" t="s">
        <v>12072</v>
      </c>
      <c r="QHT1" s="7" t="s">
        <v>12073</v>
      </c>
      <c r="QHU1" s="7" t="s">
        <v>12074</v>
      </c>
      <c r="QHV1" s="7" t="s">
        <v>12075</v>
      </c>
      <c r="QHW1" s="7" t="s">
        <v>12076</v>
      </c>
      <c r="QHX1" s="7" t="s">
        <v>12077</v>
      </c>
      <c r="QHY1" s="7" t="s">
        <v>12078</v>
      </c>
      <c r="QHZ1" s="7" t="s">
        <v>12079</v>
      </c>
      <c r="QIA1" s="7" t="s">
        <v>12080</v>
      </c>
      <c r="QIB1" s="7" t="s">
        <v>12081</v>
      </c>
      <c r="QIC1" s="7" t="s">
        <v>12082</v>
      </c>
      <c r="QID1" s="7" t="s">
        <v>12083</v>
      </c>
      <c r="QIE1" s="7" t="s">
        <v>12084</v>
      </c>
      <c r="QIF1" s="7" t="s">
        <v>12085</v>
      </c>
      <c r="QIG1" s="7" t="s">
        <v>12086</v>
      </c>
      <c r="QIH1" s="7" t="s">
        <v>12087</v>
      </c>
      <c r="QII1" s="7" t="s">
        <v>12088</v>
      </c>
      <c r="QIJ1" s="7" t="s">
        <v>12089</v>
      </c>
      <c r="QIK1" s="7" t="s">
        <v>12090</v>
      </c>
      <c r="QIL1" s="7" t="s">
        <v>12091</v>
      </c>
      <c r="QIM1" s="7" t="s">
        <v>12092</v>
      </c>
      <c r="QIN1" s="7" t="s">
        <v>12093</v>
      </c>
      <c r="QIO1" s="7" t="s">
        <v>12094</v>
      </c>
      <c r="QIP1" s="7" t="s">
        <v>12095</v>
      </c>
      <c r="QIQ1" s="7" t="s">
        <v>12096</v>
      </c>
      <c r="QIR1" s="7" t="s">
        <v>12097</v>
      </c>
      <c r="QIS1" s="7" t="s">
        <v>12098</v>
      </c>
      <c r="QIT1" s="7" t="s">
        <v>12099</v>
      </c>
      <c r="QIU1" s="7" t="s">
        <v>12100</v>
      </c>
      <c r="QIV1" s="7" t="s">
        <v>12101</v>
      </c>
      <c r="QIW1" s="7" t="s">
        <v>12102</v>
      </c>
      <c r="QIX1" s="7" t="s">
        <v>12103</v>
      </c>
      <c r="QIY1" s="7" t="s">
        <v>12104</v>
      </c>
      <c r="QIZ1" s="7" t="s">
        <v>12105</v>
      </c>
      <c r="QJA1" s="7" t="s">
        <v>12106</v>
      </c>
      <c r="QJB1" s="7" t="s">
        <v>12107</v>
      </c>
      <c r="QJC1" s="7" t="s">
        <v>12108</v>
      </c>
      <c r="QJD1" s="7" t="s">
        <v>12109</v>
      </c>
      <c r="QJE1" s="7" t="s">
        <v>12110</v>
      </c>
      <c r="QJF1" s="7" t="s">
        <v>12111</v>
      </c>
      <c r="QJG1" s="7" t="s">
        <v>12112</v>
      </c>
      <c r="QJH1" s="7" t="s">
        <v>12113</v>
      </c>
      <c r="QJI1" s="7" t="s">
        <v>12114</v>
      </c>
      <c r="QJJ1" s="7" t="s">
        <v>12115</v>
      </c>
      <c r="QJK1" s="7" t="s">
        <v>12116</v>
      </c>
      <c r="QJL1" s="7" t="s">
        <v>12117</v>
      </c>
      <c r="QJM1" s="7" t="s">
        <v>12118</v>
      </c>
      <c r="QJN1" s="7" t="s">
        <v>12119</v>
      </c>
      <c r="QJO1" s="7" t="s">
        <v>12120</v>
      </c>
      <c r="QJP1" s="7" t="s">
        <v>12121</v>
      </c>
      <c r="QJQ1" s="7" t="s">
        <v>12122</v>
      </c>
      <c r="QJR1" s="7" t="s">
        <v>12123</v>
      </c>
      <c r="QJS1" s="7" t="s">
        <v>12124</v>
      </c>
      <c r="QJT1" s="7" t="s">
        <v>12125</v>
      </c>
      <c r="QJU1" s="7" t="s">
        <v>12126</v>
      </c>
      <c r="QJV1" s="7" t="s">
        <v>12127</v>
      </c>
      <c r="QJW1" s="7" t="s">
        <v>12128</v>
      </c>
      <c r="QJX1" s="7" t="s">
        <v>12129</v>
      </c>
      <c r="QJY1" s="7" t="s">
        <v>12130</v>
      </c>
      <c r="QJZ1" s="7" t="s">
        <v>12131</v>
      </c>
      <c r="QKA1" s="7" t="s">
        <v>12132</v>
      </c>
      <c r="QKB1" s="7" t="s">
        <v>12133</v>
      </c>
      <c r="QKC1" s="7" t="s">
        <v>12134</v>
      </c>
      <c r="QKD1" s="7" t="s">
        <v>12135</v>
      </c>
      <c r="QKE1" s="7" t="s">
        <v>12136</v>
      </c>
      <c r="QKF1" s="7" t="s">
        <v>12137</v>
      </c>
      <c r="QKG1" s="7" t="s">
        <v>12138</v>
      </c>
      <c r="QKH1" s="7" t="s">
        <v>12139</v>
      </c>
      <c r="QKI1" s="7" t="s">
        <v>12140</v>
      </c>
      <c r="QKJ1" s="7" t="s">
        <v>12141</v>
      </c>
      <c r="QKK1" s="7" t="s">
        <v>12142</v>
      </c>
      <c r="QKL1" s="7" t="s">
        <v>12143</v>
      </c>
      <c r="QKM1" s="7" t="s">
        <v>12144</v>
      </c>
      <c r="QKN1" s="7" t="s">
        <v>12145</v>
      </c>
      <c r="QKO1" s="7" t="s">
        <v>12146</v>
      </c>
      <c r="QKP1" s="7" t="s">
        <v>12147</v>
      </c>
      <c r="QKQ1" s="7" t="s">
        <v>12148</v>
      </c>
      <c r="QKR1" s="7" t="s">
        <v>12149</v>
      </c>
      <c r="QKS1" s="7" t="s">
        <v>12150</v>
      </c>
      <c r="QKT1" s="7" t="s">
        <v>12151</v>
      </c>
      <c r="QKU1" s="7" t="s">
        <v>12152</v>
      </c>
      <c r="QKV1" s="7" t="s">
        <v>12153</v>
      </c>
      <c r="QKW1" s="7" t="s">
        <v>12154</v>
      </c>
      <c r="QKX1" s="7" t="s">
        <v>12155</v>
      </c>
      <c r="QKY1" s="7" t="s">
        <v>12156</v>
      </c>
      <c r="QKZ1" s="7" t="s">
        <v>12157</v>
      </c>
      <c r="QLA1" s="7" t="s">
        <v>12158</v>
      </c>
      <c r="QLB1" s="7" t="s">
        <v>12159</v>
      </c>
      <c r="QLC1" s="7" t="s">
        <v>12160</v>
      </c>
      <c r="QLD1" s="7" t="s">
        <v>12161</v>
      </c>
      <c r="QLE1" s="7" t="s">
        <v>12162</v>
      </c>
      <c r="QLF1" s="7" t="s">
        <v>12163</v>
      </c>
      <c r="QLG1" s="7" t="s">
        <v>12164</v>
      </c>
      <c r="QLH1" s="7" t="s">
        <v>12165</v>
      </c>
      <c r="QLI1" s="7" t="s">
        <v>12166</v>
      </c>
      <c r="QLJ1" s="7" t="s">
        <v>12167</v>
      </c>
      <c r="QLK1" s="7" t="s">
        <v>12168</v>
      </c>
      <c r="QLL1" s="7" t="s">
        <v>12169</v>
      </c>
      <c r="QLM1" s="7" t="s">
        <v>12170</v>
      </c>
      <c r="QLN1" s="7" t="s">
        <v>12171</v>
      </c>
      <c r="QLO1" s="7" t="s">
        <v>12172</v>
      </c>
      <c r="QLP1" s="7" t="s">
        <v>12173</v>
      </c>
      <c r="QLQ1" s="7" t="s">
        <v>12174</v>
      </c>
      <c r="QLR1" s="7" t="s">
        <v>12175</v>
      </c>
      <c r="QLS1" s="7" t="s">
        <v>12176</v>
      </c>
      <c r="QLT1" s="7" t="s">
        <v>12177</v>
      </c>
      <c r="QLU1" s="7" t="s">
        <v>12178</v>
      </c>
      <c r="QLV1" s="7" t="s">
        <v>12179</v>
      </c>
      <c r="QLW1" s="7" t="s">
        <v>12180</v>
      </c>
      <c r="QLX1" s="7" t="s">
        <v>12181</v>
      </c>
      <c r="QLY1" s="7" t="s">
        <v>12182</v>
      </c>
      <c r="QLZ1" s="7" t="s">
        <v>12183</v>
      </c>
      <c r="QMA1" s="7" t="s">
        <v>12184</v>
      </c>
      <c r="QMB1" s="7" t="s">
        <v>12185</v>
      </c>
      <c r="QMC1" s="7" t="s">
        <v>12186</v>
      </c>
      <c r="QMD1" s="7" t="s">
        <v>12187</v>
      </c>
      <c r="QME1" s="7" t="s">
        <v>12188</v>
      </c>
      <c r="QMF1" s="7" t="s">
        <v>12189</v>
      </c>
      <c r="QMG1" s="7" t="s">
        <v>12190</v>
      </c>
      <c r="QMH1" s="7" t="s">
        <v>12191</v>
      </c>
      <c r="QMI1" s="7" t="s">
        <v>12192</v>
      </c>
      <c r="QMJ1" s="7" t="s">
        <v>12193</v>
      </c>
      <c r="QMK1" s="7" t="s">
        <v>12194</v>
      </c>
      <c r="QML1" s="7" t="s">
        <v>12195</v>
      </c>
      <c r="QMM1" s="7" t="s">
        <v>12196</v>
      </c>
      <c r="QMN1" s="7" t="s">
        <v>12197</v>
      </c>
      <c r="QMO1" s="7" t="s">
        <v>12198</v>
      </c>
      <c r="QMP1" s="7" t="s">
        <v>12199</v>
      </c>
      <c r="QMQ1" s="7" t="s">
        <v>12200</v>
      </c>
      <c r="QMR1" s="7" t="s">
        <v>12201</v>
      </c>
      <c r="QMS1" s="7" t="s">
        <v>12202</v>
      </c>
      <c r="QMT1" s="7" t="s">
        <v>12203</v>
      </c>
      <c r="QMU1" s="7" t="s">
        <v>12204</v>
      </c>
      <c r="QMV1" s="7" t="s">
        <v>12205</v>
      </c>
      <c r="QMW1" s="7" t="s">
        <v>12206</v>
      </c>
      <c r="QMX1" s="7" t="s">
        <v>12207</v>
      </c>
      <c r="QMY1" s="7" t="s">
        <v>12208</v>
      </c>
      <c r="QMZ1" s="7" t="s">
        <v>12209</v>
      </c>
      <c r="QNA1" s="7" t="s">
        <v>12210</v>
      </c>
      <c r="QNB1" s="7" t="s">
        <v>12211</v>
      </c>
      <c r="QNC1" s="7" t="s">
        <v>12212</v>
      </c>
      <c r="QND1" s="7" t="s">
        <v>12213</v>
      </c>
      <c r="QNE1" s="7" t="s">
        <v>12214</v>
      </c>
      <c r="QNF1" s="7" t="s">
        <v>12215</v>
      </c>
      <c r="QNG1" s="7" t="s">
        <v>12216</v>
      </c>
      <c r="QNH1" s="7" t="s">
        <v>12217</v>
      </c>
      <c r="QNI1" s="7" t="s">
        <v>12218</v>
      </c>
      <c r="QNJ1" s="7" t="s">
        <v>12219</v>
      </c>
      <c r="QNK1" s="7" t="s">
        <v>12220</v>
      </c>
      <c r="QNL1" s="7" t="s">
        <v>12221</v>
      </c>
      <c r="QNM1" s="7" t="s">
        <v>12222</v>
      </c>
      <c r="QNN1" s="7" t="s">
        <v>12223</v>
      </c>
      <c r="QNO1" s="7" t="s">
        <v>12224</v>
      </c>
      <c r="QNP1" s="7" t="s">
        <v>12225</v>
      </c>
      <c r="QNQ1" s="7" t="s">
        <v>12226</v>
      </c>
      <c r="QNR1" s="7" t="s">
        <v>12227</v>
      </c>
      <c r="QNS1" s="7" t="s">
        <v>12228</v>
      </c>
      <c r="QNT1" s="7" t="s">
        <v>12229</v>
      </c>
      <c r="QNU1" s="7" t="s">
        <v>12230</v>
      </c>
      <c r="QNV1" s="7" t="s">
        <v>12231</v>
      </c>
      <c r="QNW1" s="7" t="s">
        <v>12232</v>
      </c>
      <c r="QNX1" s="7" t="s">
        <v>12233</v>
      </c>
      <c r="QNY1" s="7" t="s">
        <v>12234</v>
      </c>
      <c r="QNZ1" s="7" t="s">
        <v>12235</v>
      </c>
      <c r="QOA1" s="7" t="s">
        <v>12236</v>
      </c>
      <c r="QOB1" s="7" t="s">
        <v>12237</v>
      </c>
      <c r="QOC1" s="7" t="s">
        <v>12238</v>
      </c>
      <c r="QOD1" s="7" t="s">
        <v>12239</v>
      </c>
      <c r="QOE1" s="7" t="s">
        <v>12240</v>
      </c>
      <c r="QOF1" s="7" t="s">
        <v>12241</v>
      </c>
      <c r="QOG1" s="7" t="s">
        <v>12242</v>
      </c>
      <c r="QOH1" s="7" t="s">
        <v>12243</v>
      </c>
      <c r="QOI1" s="7" t="s">
        <v>12244</v>
      </c>
      <c r="QOJ1" s="7" t="s">
        <v>12245</v>
      </c>
      <c r="QOK1" s="7" t="s">
        <v>12246</v>
      </c>
      <c r="QOL1" s="7" t="s">
        <v>12247</v>
      </c>
      <c r="QOM1" s="7" t="s">
        <v>12248</v>
      </c>
      <c r="QON1" s="7" t="s">
        <v>12249</v>
      </c>
      <c r="QOO1" s="7" t="s">
        <v>12250</v>
      </c>
      <c r="QOP1" s="7" t="s">
        <v>12251</v>
      </c>
      <c r="QOQ1" s="7" t="s">
        <v>12252</v>
      </c>
      <c r="QOR1" s="7" t="s">
        <v>12253</v>
      </c>
      <c r="QOS1" s="7" t="s">
        <v>12254</v>
      </c>
      <c r="QOT1" s="7" t="s">
        <v>12255</v>
      </c>
      <c r="QOU1" s="7" t="s">
        <v>12256</v>
      </c>
      <c r="QOV1" s="7" t="s">
        <v>12257</v>
      </c>
      <c r="QOW1" s="7" t="s">
        <v>12258</v>
      </c>
      <c r="QOX1" s="7" t="s">
        <v>12259</v>
      </c>
      <c r="QOY1" s="7" t="s">
        <v>12260</v>
      </c>
      <c r="QOZ1" s="7" t="s">
        <v>12261</v>
      </c>
      <c r="QPA1" s="7" t="s">
        <v>12262</v>
      </c>
      <c r="QPB1" s="7" t="s">
        <v>12263</v>
      </c>
      <c r="QPC1" s="7" t="s">
        <v>12264</v>
      </c>
      <c r="QPD1" s="7" t="s">
        <v>12265</v>
      </c>
      <c r="QPE1" s="7" t="s">
        <v>12266</v>
      </c>
      <c r="QPF1" s="7" t="s">
        <v>12267</v>
      </c>
      <c r="QPG1" s="7" t="s">
        <v>12268</v>
      </c>
      <c r="QPH1" s="7" t="s">
        <v>12269</v>
      </c>
      <c r="QPI1" s="7" t="s">
        <v>12270</v>
      </c>
      <c r="QPJ1" s="7" t="s">
        <v>12271</v>
      </c>
      <c r="QPK1" s="7" t="s">
        <v>12272</v>
      </c>
      <c r="QPL1" s="7" t="s">
        <v>12273</v>
      </c>
      <c r="QPM1" s="7" t="s">
        <v>12274</v>
      </c>
      <c r="QPN1" s="7" t="s">
        <v>12275</v>
      </c>
      <c r="QPO1" s="7" t="s">
        <v>12276</v>
      </c>
      <c r="QPP1" s="7" t="s">
        <v>12277</v>
      </c>
      <c r="QPQ1" s="7" t="s">
        <v>12278</v>
      </c>
      <c r="QPR1" s="7" t="s">
        <v>12279</v>
      </c>
      <c r="QPS1" s="7" t="s">
        <v>12280</v>
      </c>
      <c r="QPT1" s="7" t="s">
        <v>12281</v>
      </c>
      <c r="QPU1" s="7" t="s">
        <v>12282</v>
      </c>
      <c r="QPV1" s="7" t="s">
        <v>12283</v>
      </c>
      <c r="QPW1" s="7" t="s">
        <v>12284</v>
      </c>
      <c r="QPX1" s="7" t="s">
        <v>12285</v>
      </c>
      <c r="QPY1" s="7" t="s">
        <v>12286</v>
      </c>
      <c r="QPZ1" s="7" t="s">
        <v>12287</v>
      </c>
      <c r="QQA1" s="7" t="s">
        <v>12288</v>
      </c>
      <c r="QQB1" s="7" t="s">
        <v>12289</v>
      </c>
      <c r="QQC1" s="7" t="s">
        <v>12290</v>
      </c>
      <c r="QQD1" s="7" t="s">
        <v>12291</v>
      </c>
      <c r="QQE1" s="7" t="s">
        <v>12292</v>
      </c>
      <c r="QQF1" s="7" t="s">
        <v>12293</v>
      </c>
      <c r="QQG1" s="7" t="s">
        <v>12294</v>
      </c>
      <c r="QQH1" s="7" t="s">
        <v>12295</v>
      </c>
      <c r="QQI1" s="7" t="s">
        <v>12296</v>
      </c>
      <c r="QQJ1" s="7" t="s">
        <v>12297</v>
      </c>
      <c r="QQK1" s="7" t="s">
        <v>12298</v>
      </c>
      <c r="QQL1" s="7" t="s">
        <v>12299</v>
      </c>
      <c r="QQM1" s="7" t="s">
        <v>12300</v>
      </c>
      <c r="QQN1" s="7" t="s">
        <v>12301</v>
      </c>
      <c r="QQO1" s="7" t="s">
        <v>12302</v>
      </c>
      <c r="QQP1" s="7" t="s">
        <v>12303</v>
      </c>
      <c r="QQQ1" s="7" t="s">
        <v>12304</v>
      </c>
      <c r="QQR1" s="7" t="s">
        <v>12305</v>
      </c>
      <c r="QQS1" s="7" t="s">
        <v>12306</v>
      </c>
      <c r="QQT1" s="7" t="s">
        <v>12307</v>
      </c>
      <c r="QQU1" s="7" t="s">
        <v>12308</v>
      </c>
      <c r="QQV1" s="7" t="s">
        <v>12309</v>
      </c>
      <c r="QQW1" s="7" t="s">
        <v>12310</v>
      </c>
      <c r="QQX1" s="7" t="s">
        <v>12311</v>
      </c>
      <c r="QQY1" s="7" t="s">
        <v>12312</v>
      </c>
      <c r="QQZ1" s="7" t="s">
        <v>12313</v>
      </c>
      <c r="QRA1" s="7" t="s">
        <v>12314</v>
      </c>
      <c r="QRB1" s="7" t="s">
        <v>12315</v>
      </c>
      <c r="QRC1" s="7" t="s">
        <v>12316</v>
      </c>
      <c r="QRD1" s="7" t="s">
        <v>12317</v>
      </c>
      <c r="QRE1" s="7" t="s">
        <v>12318</v>
      </c>
      <c r="QRF1" s="7" t="s">
        <v>12319</v>
      </c>
      <c r="QRG1" s="7" t="s">
        <v>12320</v>
      </c>
      <c r="QRH1" s="7" t="s">
        <v>12321</v>
      </c>
      <c r="QRI1" s="7" t="s">
        <v>12322</v>
      </c>
      <c r="QRJ1" s="7" t="s">
        <v>12323</v>
      </c>
      <c r="QRK1" s="7" t="s">
        <v>12324</v>
      </c>
      <c r="QRL1" s="7" t="s">
        <v>12325</v>
      </c>
      <c r="QRM1" s="7" t="s">
        <v>12326</v>
      </c>
      <c r="QRN1" s="7" t="s">
        <v>12327</v>
      </c>
      <c r="QRO1" s="7" t="s">
        <v>12328</v>
      </c>
      <c r="QRP1" s="7" t="s">
        <v>12329</v>
      </c>
      <c r="QRQ1" s="7" t="s">
        <v>12330</v>
      </c>
      <c r="QRR1" s="7" t="s">
        <v>12331</v>
      </c>
      <c r="QRS1" s="7" t="s">
        <v>12332</v>
      </c>
      <c r="QRT1" s="7" t="s">
        <v>12333</v>
      </c>
      <c r="QRU1" s="7" t="s">
        <v>12334</v>
      </c>
      <c r="QRV1" s="7" t="s">
        <v>12335</v>
      </c>
      <c r="QRW1" s="7" t="s">
        <v>12336</v>
      </c>
      <c r="QRX1" s="7" t="s">
        <v>12337</v>
      </c>
      <c r="QRY1" s="7" t="s">
        <v>12338</v>
      </c>
      <c r="QRZ1" s="7" t="s">
        <v>12339</v>
      </c>
      <c r="QSA1" s="7" t="s">
        <v>12340</v>
      </c>
      <c r="QSB1" s="7" t="s">
        <v>12341</v>
      </c>
      <c r="QSC1" s="7" t="s">
        <v>12342</v>
      </c>
      <c r="QSD1" s="7" t="s">
        <v>12343</v>
      </c>
      <c r="QSE1" s="7" t="s">
        <v>12344</v>
      </c>
      <c r="QSF1" s="7" t="s">
        <v>12345</v>
      </c>
      <c r="QSG1" s="7" t="s">
        <v>12346</v>
      </c>
      <c r="QSH1" s="7" t="s">
        <v>12347</v>
      </c>
      <c r="QSI1" s="7" t="s">
        <v>12348</v>
      </c>
      <c r="QSJ1" s="7" t="s">
        <v>12349</v>
      </c>
      <c r="QSK1" s="7" t="s">
        <v>12350</v>
      </c>
      <c r="QSL1" s="7" t="s">
        <v>12351</v>
      </c>
      <c r="QSM1" s="7" t="s">
        <v>12352</v>
      </c>
      <c r="QSN1" s="7" t="s">
        <v>12353</v>
      </c>
      <c r="QSO1" s="7" t="s">
        <v>12354</v>
      </c>
      <c r="QSP1" s="7" t="s">
        <v>12355</v>
      </c>
      <c r="QSQ1" s="7" t="s">
        <v>12356</v>
      </c>
      <c r="QSR1" s="7" t="s">
        <v>12357</v>
      </c>
      <c r="QSS1" s="7" t="s">
        <v>12358</v>
      </c>
      <c r="QST1" s="7" t="s">
        <v>12359</v>
      </c>
      <c r="QSU1" s="7" t="s">
        <v>12360</v>
      </c>
      <c r="QSV1" s="7" t="s">
        <v>12361</v>
      </c>
      <c r="QSW1" s="7" t="s">
        <v>12362</v>
      </c>
      <c r="QSX1" s="7" t="s">
        <v>12363</v>
      </c>
      <c r="QSY1" s="7" t="s">
        <v>12364</v>
      </c>
      <c r="QSZ1" s="7" t="s">
        <v>12365</v>
      </c>
      <c r="QTA1" s="7" t="s">
        <v>12366</v>
      </c>
      <c r="QTB1" s="7" t="s">
        <v>12367</v>
      </c>
      <c r="QTC1" s="7" t="s">
        <v>12368</v>
      </c>
      <c r="QTD1" s="7" t="s">
        <v>12369</v>
      </c>
      <c r="QTE1" s="7" t="s">
        <v>12370</v>
      </c>
      <c r="QTF1" s="7" t="s">
        <v>12371</v>
      </c>
      <c r="QTG1" s="7" t="s">
        <v>12372</v>
      </c>
      <c r="QTH1" s="7" t="s">
        <v>12373</v>
      </c>
      <c r="QTI1" s="7" t="s">
        <v>12374</v>
      </c>
      <c r="QTJ1" s="7" t="s">
        <v>12375</v>
      </c>
      <c r="QTK1" s="7" t="s">
        <v>12376</v>
      </c>
      <c r="QTL1" s="7" t="s">
        <v>12377</v>
      </c>
      <c r="QTM1" s="7" t="s">
        <v>12378</v>
      </c>
      <c r="QTN1" s="7" t="s">
        <v>12379</v>
      </c>
      <c r="QTO1" s="7" t="s">
        <v>12380</v>
      </c>
      <c r="QTP1" s="7" t="s">
        <v>12381</v>
      </c>
      <c r="QTQ1" s="7" t="s">
        <v>12382</v>
      </c>
      <c r="QTR1" s="7" t="s">
        <v>12383</v>
      </c>
      <c r="QTS1" s="7" t="s">
        <v>12384</v>
      </c>
      <c r="QTT1" s="7" t="s">
        <v>12385</v>
      </c>
      <c r="QTU1" s="7" t="s">
        <v>12386</v>
      </c>
      <c r="QTV1" s="7" t="s">
        <v>12387</v>
      </c>
      <c r="QTW1" s="7" t="s">
        <v>12388</v>
      </c>
      <c r="QTX1" s="7" t="s">
        <v>12389</v>
      </c>
      <c r="QTY1" s="7" t="s">
        <v>12390</v>
      </c>
      <c r="QTZ1" s="7" t="s">
        <v>12391</v>
      </c>
      <c r="QUA1" s="7" t="s">
        <v>12392</v>
      </c>
      <c r="QUB1" s="7" t="s">
        <v>12393</v>
      </c>
      <c r="QUC1" s="7" t="s">
        <v>12394</v>
      </c>
      <c r="QUD1" s="7" t="s">
        <v>12395</v>
      </c>
      <c r="QUE1" s="7" t="s">
        <v>12396</v>
      </c>
      <c r="QUF1" s="7" t="s">
        <v>12397</v>
      </c>
      <c r="QUG1" s="7" t="s">
        <v>12398</v>
      </c>
      <c r="QUH1" s="7" t="s">
        <v>12399</v>
      </c>
      <c r="QUI1" s="7" t="s">
        <v>12400</v>
      </c>
      <c r="QUJ1" s="7" t="s">
        <v>12401</v>
      </c>
      <c r="QUK1" s="7" t="s">
        <v>12402</v>
      </c>
      <c r="QUL1" s="7" t="s">
        <v>12403</v>
      </c>
      <c r="QUM1" s="7" t="s">
        <v>12404</v>
      </c>
      <c r="QUN1" s="7" t="s">
        <v>12405</v>
      </c>
      <c r="QUO1" s="7" t="s">
        <v>12406</v>
      </c>
      <c r="QUP1" s="7" t="s">
        <v>12407</v>
      </c>
      <c r="QUQ1" s="7" t="s">
        <v>12408</v>
      </c>
      <c r="QUR1" s="7" t="s">
        <v>12409</v>
      </c>
      <c r="QUS1" s="7" t="s">
        <v>12410</v>
      </c>
      <c r="QUT1" s="7" t="s">
        <v>12411</v>
      </c>
      <c r="QUU1" s="7" t="s">
        <v>12412</v>
      </c>
      <c r="QUV1" s="7" t="s">
        <v>12413</v>
      </c>
      <c r="QUW1" s="7" t="s">
        <v>12414</v>
      </c>
      <c r="QUX1" s="7" t="s">
        <v>12415</v>
      </c>
      <c r="QUY1" s="7" t="s">
        <v>12416</v>
      </c>
      <c r="QUZ1" s="7" t="s">
        <v>12417</v>
      </c>
      <c r="QVA1" s="7" t="s">
        <v>12418</v>
      </c>
      <c r="QVB1" s="7" t="s">
        <v>12419</v>
      </c>
      <c r="QVC1" s="7" t="s">
        <v>12420</v>
      </c>
      <c r="QVD1" s="7" t="s">
        <v>12421</v>
      </c>
      <c r="QVE1" s="7" t="s">
        <v>12422</v>
      </c>
      <c r="QVF1" s="7" t="s">
        <v>12423</v>
      </c>
      <c r="QVG1" s="7" t="s">
        <v>12424</v>
      </c>
      <c r="QVH1" s="7" t="s">
        <v>12425</v>
      </c>
      <c r="QVI1" s="7" t="s">
        <v>12426</v>
      </c>
      <c r="QVJ1" s="7" t="s">
        <v>12427</v>
      </c>
      <c r="QVK1" s="7" t="s">
        <v>12428</v>
      </c>
      <c r="QVL1" s="7" t="s">
        <v>12429</v>
      </c>
      <c r="QVM1" s="7" t="s">
        <v>12430</v>
      </c>
      <c r="QVN1" s="7" t="s">
        <v>12431</v>
      </c>
      <c r="QVO1" s="7" t="s">
        <v>12432</v>
      </c>
      <c r="QVP1" s="7" t="s">
        <v>12433</v>
      </c>
      <c r="QVQ1" s="7" t="s">
        <v>12434</v>
      </c>
      <c r="QVR1" s="7" t="s">
        <v>12435</v>
      </c>
      <c r="QVS1" s="7" t="s">
        <v>12436</v>
      </c>
      <c r="QVT1" s="7" t="s">
        <v>12437</v>
      </c>
      <c r="QVU1" s="7" t="s">
        <v>12438</v>
      </c>
      <c r="QVV1" s="7" t="s">
        <v>12439</v>
      </c>
      <c r="QVW1" s="7" t="s">
        <v>12440</v>
      </c>
      <c r="QVX1" s="7" t="s">
        <v>12441</v>
      </c>
      <c r="QVY1" s="7" t="s">
        <v>12442</v>
      </c>
      <c r="QVZ1" s="7" t="s">
        <v>12443</v>
      </c>
      <c r="QWA1" s="7" t="s">
        <v>12444</v>
      </c>
      <c r="QWB1" s="7" t="s">
        <v>12445</v>
      </c>
      <c r="QWC1" s="7" t="s">
        <v>12446</v>
      </c>
      <c r="QWD1" s="7" t="s">
        <v>12447</v>
      </c>
      <c r="QWE1" s="7" t="s">
        <v>12448</v>
      </c>
      <c r="QWF1" s="7" t="s">
        <v>12449</v>
      </c>
      <c r="QWG1" s="7" t="s">
        <v>12450</v>
      </c>
      <c r="QWH1" s="7" t="s">
        <v>12451</v>
      </c>
      <c r="QWI1" s="7" t="s">
        <v>12452</v>
      </c>
      <c r="QWJ1" s="7" t="s">
        <v>12453</v>
      </c>
      <c r="QWK1" s="7" t="s">
        <v>12454</v>
      </c>
      <c r="QWL1" s="7" t="s">
        <v>12455</v>
      </c>
      <c r="QWM1" s="7" t="s">
        <v>12456</v>
      </c>
      <c r="QWN1" s="7" t="s">
        <v>12457</v>
      </c>
      <c r="QWO1" s="7" t="s">
        <v>12458</v>
      </c>
      <c r="QWP1" s="7" t="s">
        <v>12459</v>
      </c>
      <c r="QWQ1" s="7" t="s">
        <v>12460</v>
      </c>
      <c r="QWR1" s="7" t="s">
        <v>12461</v>
      </c>
      <c r="QWS1" s="7" t="s">
        <v>12462</v>
      </c>
      <c r="QWT1" s="7" t="s">
        <v>12463</v>
      </c>
      <c r="QWU1" s="7" t="s">
        <v>12464</v>
      </c>
      <c r="QWV1" s="7" t="s">
        <v>12465</v>
      </c>
      <c r="QWW1" s="7" t="s">
        <v>12466</v>
      </c>
      <c r="QWX1" s="7" t="s">
        <v>12467</v>
      </c>
      <c r="QWY1" s="7" t="s">
        <v>12468</v>
      </c>
      <c r="QWZ1" s="7" t="s">
        <v>12469</v>
      </c>
      <c r="QXA1" s="7" t="s">
        <v>12470</v>
      </c>
      <c r="QXB1" s="7" t="s">
        <v>12471</v>
      </c>
      <c r="QXC1" s="7" t="s">
        <v>12472</v>
      </c>
      <c r="QXD1" s="7" t="s">
        <v>12473</v>
      </c>
      <c r="QXE1" s="7" t="s">
        <v>12474</v>
      </c>
      <c r="QXF1" s="7" t="s">
        <v>12475</v>
      </c>
      <c r="QXG1" s="7" t="s">
        <v>12476</v>
      </c>
      <c r="QXH1" s="7" t="s">
        <v>12477</v>
      </c>
      <c r="QXI1" s="7" t="s">
        <v>12478</v>
      </c>
      <c r="QXJ1" s="7" t="s">
        <v>12479</v>
      </c>
      <c r="QXK1" s="7" t="s">
        <v>12480</v>
      </c>
      <c r="QXL1" s="7" t="s">
        <v>12481</v>
      </c>
      <c r="QXM1" s="7" t="s">
        <v>12482</v>
      </c>
      <c r="QXN1" s="7" t="s">
        <v>12483</v>
      </c>
      <c r="QXO1" s="7" t="s">
        <v>12484</v>
      </c>
      <c r="QXP1" s="7" t="s">
        <v>12485</v>
      </c>
      <c r="QXQ1" s="7" t="s">
        <v>12486</v>
      </c>
      <c r="QXR1" s="7" t="s">
        <v>12487</v>
      </c>
      <c r="QXS1" s="7" t="s">
        <v>12488</v>
      </c>
      <c r="QXT1" s="7" t="s">
        <v>12489</v>
      </c>
      <c r="QXU1" s="7" t="s">
        <v>12490</v>
      </c>
      <c r="QXV1" s="7" t="s">
        <v>12491</v>
      </c>
      <c r="QXW1" s="7" t="s">
        <v>12492</v>
      </c>
      <c r="QXX1" s="7" t="s">
        <v>12493</v>
      </c>
      <c r="QXY1" s="7" t="s">
        <v>12494</v>
      </c>
      <c r="QXZ1" s="7" t="s">
        <v>12495</v>
      </c>
      <c r="QYA1" s="7" t="s">
        <v>12496</v>
      </c>
      <c r="QYB1" s="7" t="s">
        <v>12497</v>
      </c>
      <c r="QYC1" s="7" t="s">
        <v>12498</v>
      </c>
      <c r="QYD1" s="7" t="s">
        <v>12499</v>
      </c>
      <c r="QYE1" s="7" t="s">
        <v>12500</v>
      </c>
      <c r="QYF1" s="7" t="s">
        <v>12501</v>
      </c>
      <c r="QYG1" s="7" t="s">
        <v>12502</v>
      </c>
      <c r="QYH1" s="7" t="s">
        <v>12503</v>
      </c>
      <c r="QYI1" s="7" t="s">
        <v>12504</v>
      </c>
      <c r="QYJ1" s="7" t="s">
        <v>12505</v>
      </c>
      <c r="QYK1" s="7" t="s">
        <v>12506</v>
      </c>
      <c r="QYL1" s="7" t="s">
        <v>12507</v>
      </c>
      <c r="QYM1" s="7" t="s">
        <v>12508</v>
      </c>
      <c r="QYN1" s="7" t="s">
        <v>12509</v>
      </c>
      <c r="QYO1" s="7" t="s">
        <v>12510</v>
      </c>
      <c r="QYP1" s="7" t="s">
        <v>12511</v>
      </c>
      <c r="QYQ1" s="7" t="s">
        <v>12512</v>
      </c>
      <c r="QYR1" s="7" t="s">
        <v>12513</v>
      </c>
      <c r="QYS1" s="7" t="s">
        <v>12514</v>
      </c>
      <c r="QYT1" s="7" t="s">
        <v>12515</v>
      </c>
      <c r="QYU1" s="7" t="s">
        <v>12516</v>
      </c>
      <c r="QYV1" s="7" t="s">
        <v>12517</v>
      </c>
      <c r="QYW1" s="7" t="s">
        <v>12518</v>
      </c>
      <c r="QYX1" s="7" t="s">
        <v>12519</v>
      </c>
      <c r="QYY1" s="7" t="s">
        <v>12520</v>
      </c>
      <c r="QYZ1" s="7" t="s">
        <v>12521</v>
      </c>
      <c r="QZA1" s="7" t="s">
        <v>12522</v>
      </c>
      <c r="QZB1" s="7" t="s">
        <v>12523</v>
      </c>
      <c r="QZC1" s="7" t="s">
        <v>12524</v>
      </c>
      <c r="QZD1" s="7" t="s">
        <v>12525</v>
      </c>
      <c r="QZE1" s="7" t="s">
        <v>12526</v>
      </c>
      <c r="QZF1" s="7" t="s">
        <v>12527</v>
      </c>
      <c r="QZG1" s="7" t="s">
        <v>12528</v>
      </c>
      <c r="QZH1" s="7" t="s">
        <v>12529</v>
      </c>
      <c r="QZI1" s="7" t="s">
        <v>12530</v>
      </c>
      <c r="QZJ1" s="7" t="s">
        <v>12531</v>
      </c>
      <c r="QZK1" s="7" t="s">
        <v>12532</v>
      </c>
      <c r="QZL1" s="7" t="s">
        <v>12533</v>
      </c>
      <c r="QZM1" s="7" t="s">
        <v>12534</v>
      </c>
      <c r="QZN1" s="7" t="s">
        <v>12535</v>
      </c>
      <c r="QZO1" s="7" t="s">
        <v>12536</v>
      </c>
      <c r="QZP1" s="7" t="s">
        <v>12537</v>
      </c>
      <c r="QZQ1" s="7" t="s">
        <v>12538</v>
      </c>
      <c r="QZR1" s="7" t="s">
        <v>12539</v>
      </c>
      <c r="QZS1" s="7" t="s">
        <v>12540</v>
      </c>
      <c r="QZT1" s="7" t="s">
        <v>12541</v>
      </c>
      <c r="QZU1" s="7" t="s">
        <v>12542</v>
      </c>
      <c r="QZV1" s="7" t="s">
        <v>12543</v>
      </c>
      <c r="QZW1" s="7" t="s">
        <v>12544</v>
      </c>
      <c r="QZX1" s="7" t="s">
        <v>12545</v>
      </c>
      <c r="QZY1" s="7" t="s">
        <v>12546</v>
      </c>
      <c r="QZZ1" s="7" t="s">
        <v>12547</v>
      </c>
      <c r="RAA1" s="7" t="s">
        <v>12548</v>
      </c>
      <c r="RAB1" s="7" t="s">
        <v>12549</v>
      </c>
      <c r="RAC1" s="7" t="s">
        <v>12550</v>
      </c>
      <c r="RAD1" s="7" t="s">
        <v>12551</v>
      </c>
      <c r="RAE1" s="7" t="s">
        <v>12552</v>
      </c>
      <c r="RAF1" s="7" t="s">
        <v>12553</v>
      </c>
      <c r="RAG1" s="7" t="s">
        <v>12554</v>
      </c>
      <c r="RAH1" s="7" t="s">
        <v>12555</v>
      </c>
      <c r="RAI1" s="7" t="s">
        <v>12556</v>
      </c>
      <c r="RAJ1" s="7" t="s">
        <v>12557</v>
      </c>
      <c r="RAK1" s="7" t="s">
        <v>12558</v>
      </c>
      <c r="RAL1" s="7" t="s">
        <v>12559</v>
      </c>
      <c r="RAM1" s="7" t="s">
        <v>12560</v>
      </c>
      <c r="RAN1" s="7" t="s">
        <v>12561</v>
      </c>
      <c r="RAO1" s="7" t="s">
        <v>12562</v>
      </c>
      <c r="RAP1" s="7" t="s">
        <v>12563</v>
      </c>
      <c r="RAQ1" s="7" t="s">
        <v>12564</v>
      </c>
      <c r="RAR1" s="7" t="s">
        <v>12565</v>
      </c>
      <c r="RAS1" s="7" t="s">
        <v>12566</v>
      </c>
      <c r="RAT1" s="7" t="s">
        <v>12567</v>
      </c>
      <c r="RAU1" s="7" t="s">
        <v>12568</v>
      </c>
      <c r="RAV1" s="7" t="s">
        <v>12569</v>
      </c>
      <c r="RAW1" s="7" t="s">
        <v>12570</v>
      </c>
      <c r="RAX1" s="7" t="s">
        <v>12571</v>
      </c>
      <c r="RAY1" s="7" t="s">
        <v>12572</v>
      </c>
      <c r="RAZ1" s="7" t="s">
        <v>12573</v>
      </c>
      <c r="RBA1" s="7" t="s">
        <v>12574</v>
      </c>
      <c r="RBB1" s="7" t="s">
        <v>12575</v>
      </c>
      <c r="RBC1" s="7" t="s">
        <v>12576</v>
      </c>
      <c r="RBD1" s="7" t="s">
        <v>12577</v>
      </c>
      <c r="RBE1" s="7" t="s">
        <v>12578</v>
      </c>
      <c r="RBF1" s="7" t="s">
        <v>12579</v>
      </c>
      <c r="RBG1" s="7" t="s">
        <v>12580</v>
      </c>
      <c r="RBH1" s="7" t="s">
        <v>12581</v>
      </c>
      <c r="RBI1" s="7" t="s">
        <v>12582</v>
      </c>
      <c r="RBJ1" s="7" t="s">
        <v>12583</v>
      </c>
      <c r="RBK1" s="7" t="s">
        <v>12584</v>
      </c>
      <c r="RBL1" s="7" t="s">
        <v>12585</v>
      </c>
      <c r="RBM1" s="7" t="s">
        <v>12586</v>
      </c>
      <c r="RBN1" s="7" t="s">
        <v>12587</v>
      </c>
      <c r="RBO1" s="7" t="s">
        <v>12588</v>
      </c>
      <c r="RBP1" s="7" t="s">
        <v>12589</v>
      </c>
      <c r="RBQ1" s="7" t="s">
        <v>12590</v>
      </c>
      <c r="RBR1" s="7" t="s">
        <v>12591</v>
      </c>
      <c r="RBS1" s="7" t="s">
        <v>12592</v>
      </c>
      <c r="RBT1" s="7" t="s">
        <v>12593</v>
      </c>
      <c r="RBU1" s="7" t="s">
        <v>12594</v>
      </c>
      <c r="RBV1" s="7" t="s">
        <v>12595</v>
      </c>
      <c r="RBW1" s="7" t="s">
        <v>12596</v>
      </c>
      <c r="RBX1" s="7" t="s">
        <v>12597</v>
      </c>
      <c r="RBY1" s="7" t="s">
        <v>12598</v>
      </c>
      <c r="RBZ1" s="7" t="s">
        <v>12599</v>
      </c>
      <c r="RCA1" s="7" t="s">
        <v>12600</v>
      </c>
      <c r="RCB1" s="7" t="s">
        <v>12601</v>
      </c>
      <c r="RCC1" s="7" t="s">
        <v>12602</v>
      </c>
      <c r="RCD1" s="7" t="s">
        <v>12603</v>
      </c>
      <c r="RCE1" s="7" t="s">
        <v>12604</v>
      </c>
      <c r="RCF1" s="7" t="s">
        <v>12605</v>
      </c>
      <c r="RCG1" s="7" t="s">
        <v>12606</v>
      </c>
      <c r="RCH1" s="7" t="s">
        <v>12607</v>
      </c>
      <c r="RCI1" s="7" t="s">
        <v>12608</v>
      </c>
      <c r="RCJ1" s="7" t="s">
        <v>12609</v>
      </c>
      <c r="RCK1" s="7" t="s">
        <v>12610</v>
      </c>
      <c r="RCL1" s="7" t="s">
        <v>12611</v>
      </c>
      <c r="RCM1" s="7" t="s">
        <v>12612</v>
      </c>
      <c r="RCN1" s="7" t="s">
        <v>12613</v>
      </c>
      <c r="RCO1" s="7" t="s">
        <v>12614</v>
      </c>
      <c r="RCP1" s="7" t="s">
        <v>12615</v>
      </c>
      <c r="RCQ1" s="7" t="s">
        <v>12616</v>
      </c>
      <c r="RCR1" s="7" t="s">
        <v>12617</v>
      </c>
      <c r="RCS1" s="7" t="s">
        <v>12618</v>
      </c>
      <c r="RCT1" s="7" t="s">
        <v>12619</v>
      </c>
      <c r="RCU1" s="7" t="s">
        <v>12620</v>
      </c>
      <c r="RCV1" s="7" t="s">
        <v>12621</v>
      </c>
      <c r="RCW1" s="7" t="s">
        <v>12622</v>
      </c>
      <c r="RCX1" s="7" t="s">
        <v>12623</v>
      </c>
      <c r="RCY1" s="7" t="s">
        <v>12624</v>
      </c>
      <c r="RCZ1" s="7" t="s">
        <v>12625</v>
      </c>
      <c r="RDA1" s="7" t="s">
        <v>12626</v>
      </c>
      <c r="RDB1" s="7" t="s">
        <v>12627</v>
      </c>
      <c r="RDC1" s="7" t="s">
        <v>12628</v>
      </c>
      <c r="RDD1" s="7" t="s">
        <v>12629</v>
      </c>
      <c r="RDE1" s="7" t="s">
        <v>12630</v>
      </c>
      <c r="RDF1" s="7" t="s">
        <v>12631</v>
      </c>
      <c r="RDG1" s="7" t="s">
        <v>12632</v>
      </c>
      <c r="RDH1" s="7" t="s">
        <v>12633</v>
      </c>
      <c r="RDI1" s="7" t="s">
        <v>12634</v>
      </c>
      <c r="RDJ1" s="7" t="s">
        <v>12635</v>
      </c>
      <c r="RDK1" s="7" t="s">
        <v>12636</v>
      </c>
      <c r="RDL1" s="7" t="s">
        <v>12637</v>
      </c>
      <c r="RDM1" s="7" t="s">
        <v>12638</v>
      </c>
      <c r="RDN1" s="7" t="s">
        <v>12639</v>
      </c>
      <c r="RDO1" s="7" t="s">
        <v>12640</v>
      </c>
      <c r="RDP1" s="7" t="s">
        <v>12641</v>
      </c>
      <c r="RDQ1" s="7" t="s">
        <v>12642</v>
      </c>
      <c r="RDR1" s="7" t="s">
        <v>12643</v>
      </c>
      <c r="RDS1" s="7" t="s">
        <v>12644</v>
      </c>
      <c r="RDT1" s="7" t="s">
        <v>12645</v>
      </c>
      <c r="RDU1" s="7" t="s">
        <v>12646</v>
      </c>
      <c r="RDV1" s="7" t="s">
        <v>12647</v>
      </c>
      <c r="RDW1" s="7" t="s">
        <v>12648</v>
      </c>
      <c r="RDX1" s="7" t="s">
        <v>12649</v>
      </c>
      <c r="RDY1" s="7" t="s">
        <v>12650</v>
      </c>
      <c r="RDZ1" s="7" t="s">
        <v>12651</v>
      </c>
      <c r="REA1" s="7" t="s">
        <v>12652</v>
      </c>
      <c r="REB1" s="7" t="s">
        <v>12653</v>
      </c>
      <c r="REC1" s="7" t="s">
        <v>12654</v>
      </c>
      <c r="RED1" s="7" t="s">
        <v>12655</v>
      </c>
      <c r="REE1" s="7" t="s">
        <v>12656</v>
      </c>
      <c r="REF1" s="7" t="s">
        <v>12657</v>
      </c>
      <c r="REG1" s="7" t="s">
        <v>12658</v>
      </c>
      <c r="REH1" s="7" t="s">
        <v>12659</v>
      </c>
      <c r="REI1" s="7" t="s">
        <v>12660</v>
      </c>
      <c r="REJ1" s="7" t="s">
        <v>12661</v>
      </c>
      <c r="REK1" s="7" t="s">
        <v>12662</v>
      </c>
      <c r="REL1" s="7" t="s">
        <v>12663</v>
      </c>
      <c r="REM1" s="7" t="s">
        <v>12664</v>
      </c>
      <c r="REN1" s="7" t="s">
        <v>12665</v>
      </c>
      <c r="REO1" s="7" t="s">
        <v>12666</v>
      </c>
      <c r="REP1" s="7" t="s">
        <v>12667</v>
      </c>
      <c r="REQ1" s="7" t="s">
        <v>12668</v>
      </c>
      <c r="RER1" s="7" t="s">
        <v>12669</v>
      </c>
      <c r="RES1" s="7" t="s">
        <v>12670</v>
      </c>
      <c r="RET1" s="7" t="s">
        <v>12671</v>
      </c>
      <c r="REU1" s="7" t="s">
        <v>12672</v>
      </c>
      <c r="REV1" s="7" t="s">
        <v>12673</v>
      </c>
      <c r="REW1" s="7" t="s">
        <v>12674</v>
      </c>
      <c r="REX1" s="7" t="s">
        <v>12675</v>
      </c>
      <c r="REY1" s="7" t="s">
        <v>12676</v>
      </c>
      <c r="REZ1" s="7" t="s">
        <v>12677</v>
      </c>
      <c r="RFA1" s="7" t="s">
        <v>12678</v>
      </c>
      <c r="RFB1" s="7" t="s">
        <v>12679</v>
      </c>
      <c r="RFC1" s="7" t="s">
        <v>12680</v>
      </c>
      <c r="RFD1" s="7" t="s">
        <v>12681</v>
      </c>
      <c r="RFE1" s="7" t="s">
        <v>12682</v>
      </c>
      <c r="RFF1" s="7" t="s">
        <v>12683</v>
      </c>
      <c r="RFG1" s="7" t="s">
        <v>12684</v>
      </c>
      <c r="RFH1" s="7" t="s">
        <v>12685</v>
      </c>
      <c r="RFI1" s="7" t="s">
        <v>12686</v>
      </c>
      <c r="RFJ1" s="7" t="s">
        <v>12687</v>
      </c>
      <c r="RFK1" s="7" t="s">
        <v>12688</v>
      </c>
      <c r="RFL1" s="7" t="s">
        <v>12689</v>
      </c>
      <c r="RFM1" s="7" t="s">
        <v>12690</v>
      </c>
      <c r="RFN1" s="7" t="s">
        <v>12691</v>
      </c>
      <c r="RFO1" s="7" t="s">
        <v>12692</v>
      </c>
      <c r="RFP1" s="7" t="s">
        <v>12693</v>
      </c>
      <c r="RFQ1" s="7" t="s">
        <v>12694</v>
      </c>
      <c r="RFR1" s="7" t="s">
        <v>12695</v>
      </c>
      <c r="RFS1" s="7" t="s">
        <v>12696</v>
      </c>
      <c r="RFT1" s="7" t="s">
        <v>12697</v>
      </c>
      <c r="RFU1" s="7" t="s">
        <v>12698</v>
      </c>
      <c r="RFV1" s="7" t="s">
        <v>12699</v>
      </c>
      <c r="RFW1" s="7" t="s">
        <v>12700</v>
      </c>
      <c r="RFX1" s="7" t="s">
        <v>12701</v>
      </c>
      <c r="RFY1" s="7" t="s">
        <v>12702</v>
      </c>
      <c r="RFZ1" s="7" t="s">
        <v>12703</v>
      </c>
      <c r="RGA1" s="7" t="s">
        <v>12704</v>
      </c>
      <c r="RGB1" s="7" t="s">
        <v>12705</v>
      </c>
      <c r="RGC1" s="7" t="s">
        <v>12706</v>
      </c>
      <c r="RGD1" s="7" t="s">
        <v>12707</v>
      </c>
      <c r="RGE1" s="7" t="s">
        <v>12708</v>
      </c>
      <c r="RGF1" s="7" t="s">
        <v>12709</v>
      </c>
      <c r="RGG1" s="7" t="s">
        <v>12710</v>
      </c>
      <c r="RGH1" s="7" t="s">
        <v>12711</v>
      </c>
      <c r="RGI1" s="7" t="s">
        <v>12712</v>
      </c>
      <c r="RGJ1" s="7" t="s">
        <v>12713</v>
      </c>
      <c r="RGK1" s="7" t="s">
        <v>12714</v>
      </c>
      <c r="RGL1" s="7" t="s">
        <v>12715</v>
      </c>
      <c r="RGM1" s="7" t="s">
        <v>12716</v>
      </c>
      <c r="RGN1" s="7" t="s">
        <v>12717</v>
      </c>
      <c r="RGO1" s="7" t="s">
        <v>12718</v>
      </c>
      <c r="RGP1" s="7" t="s">
        <v>12719</v>
      </c>
      <c r="RGQ1" s="7" t="s">
        <v>12720</v>
      </c>
      <c r="RGR1" s="7" t="s">
        <v>12721</v>
      </c>
      <c r="RGS1" s="7" t="s">
        <v>12722</v>
      </c>
      <c r="RGT1" s="7" t="s">
        <v>12723</v>
      </c>
      <c r="RGU1" s="7" t="s">
        <v>12724</v>
      </c>
      <c r="RGV1" s="7" t="s">
        <v>12725</v>
      </c>
      <c r="RGW1" s="7" t="s">
        <v>12726</v>
      </c>
      <c r="RGX1" s="7" t="s">
        <v>12727</v>
      </c>
      <c r="RGY1" s="7" t="s">
        <v>12728</v>
      </c>
      <c r="RGZ1" s="7" t="s">
        <v>12729</v>
      </c>
      <c r="RHA1" s="7" t="s">
        <v>12730</v>
      </c>
      <c r="RHB1" s="7" t="s">
        <v>12731</v>
      </c>
      <c r="RHC1" s="7" t="s">
        <v>12732</v>
      </c>
      <c r="RHD1" s="7" t="s">
        <v>12733</v>
      </c>
      <c r="RHE1" s="7" t="s">
        <v>12734</v>
      </c>
      <c r="RHF1" s="7" t="s">
        <v>12735</v>
      </c>
      <c r="RHG1" s="7" t="s">
        <v>12736</v>
      </c>
      <c r="RHH1" s="7" t="s">
        <v>12737</v>
      </c>
      <c r="RHI1" s="7" t="s">
        <v>12738</v>
      </c>
      <c r="RHJ1" s="7" t="s">
        <v>12739</v>
      </c>
      <c r="RHK1" s="7" t="s">
        <v>12740</v>
      </c>
      <c r="RHL1" s="7" t="s">
        <v>12741</v>
      </c>
      <c r="RHM1" s="7" t="s">
        <v>12742</v>
      </c>
      <c r="RHN1" s="7" t="s">
        <v>12743</v>
      </c>
      <c r="RHO1" s="7" t="s">
        <v>12744</v>
      </c>
      <c r="RHP1" s="7" t="s">
        <v>12745</v>
      </c>
      <c r="RHQ1" s="7" t="s">
        <v>12746</v>
      </c>
      <c r="RHR1" s="7" t="s">
        <v>12747</v>
      </c>
      <c r="RHS1" s="7" t="s">
        <v>12748</v>
      </c>
      <c r="RHT1" s="7" t="s">
        <v>12749</v>
      </c>
      <c r="RHU1" s="7" t="s">
        <v>12750</v>
      </c>
      <c r="RHV1" s="7" t="s">
        <v>12751</v>
      </c>
      <c r="RHW1" s="7" t="s">
        <v>12752</v>
      </c>
      <c r="RHX1" s="7" t="s">
        <v>12753</v>
      </c>
      <c r="RHY1" s="7" t="s">
        <v>12754</v>
      </c>
      <c r="RHZ1" s="7" t="s">
        <v>12755</v>
      </c>
      <c r="RIA1" s="7" t="s">
        <v>12756</v>
      </c>
      <c r="RIB1" s="7" t="s">
        <v>12757</v>
      </c>
      <c r="RIC1" s="7" t="s">
        <v>12758</v>
      </c>
      <c r="RID1" s="7" t="s">
        <v>12759</v>
      </c>
      <c r="RIE1" s="7" t="s">
        <v>12760</v>
      </c>
      <c r="RIF1" s="7" t="s">
        <v>12761</v>
      </c>
      <c r="RIG1" s="7" t="s">
        <v>12762</v>
      </c>
      <c r="RIH1" s="7" t="s">
        <v>12763</v>
      </c>
      <c r="RII1" s="7" t="s">
        <v>12764</v>
      </c>
      <c r="RIJ1" s="7" t="s">
        <v>12765</v>
      </c>
      <c r="RIK1" s="7" t="s">
        <v>12766</v>
      </c>
      <c r="RIL1" s="7" t="s">
        <v>12767</v>
      </c>
      <c r="RIM1" s="7" t="s">
        <v>12768</v>
      </c>
      <c r="RIN1" s="7" t="s">
        <v>12769</v>
      </c>
      <c r="RIO1" s="7" t="s">
        <v>12770</v>
      </c>
      <c r="RIP1" s="7" t="s">
        <v>12771</v>
      </c>
      <c r="RIQ1" s="7" t="s">
        <v>12772</v>
      </c>
      <c r="RIR1" s="7" t="s">
        <v>12773</v>
      </c>
      <c r="RIS1" s="7" t="s">
        <v>12774</v>
      </c>
      <c r="RIT1" s="7" t="s">
        <v>12775</v>
      </c>
      <c r="RIU1" s="7" t="s">
        <v>12776</v>
      </c>
      <c r="RIV1" s="7" t="s">
        <v>12777</v>
      </c>
      <c r="RIW1" s="7" t="s">
        <v>12778</v>
      </c>
      <c r="RIX1" s="7" t="s">
        <v>12779</v>
      </c>
      <c r="RIY1" s="7" t="s">
        <v>12780</v>
      </c>
      <c r="RIZ1" s="7" t="s">
        <v>12781</v>
      </c>
      <c r="RJA1" s="7" t="s">
        <v>12782</v>
      </c>
      <c r="RJB1" s="7" t="s">
        <v>12783</v>
      </c>
      <c r="RJC1" s="7" t="s">
        <v>12784</v>
      </c>
      <c r="RJD1" s="7" t="s">
        <v>12785</v>
      </c>
      <c r="RJE1" s="7" t="s">
        <v>12786</v>
      </c>
      <c r="RJF1" s="7" t="s">
        <v>12787</v>
      </c>
      <c r="RJG1" s="7" t="s">
        <v>12788</v>
      </c>
      <c r="RJH1" s="7" t="s">
        <v>12789</v>
      </c>
      <c r="RJI1" s="7" t="s">
        <v>12790</v>
      </c>
      <c r="RJJ1" s="7" t="s">
        <v>12791</v>
      </c>
      <c r="RJK1" s="7" t="s">
        <v>12792</v>
      </c>
      <c r="RJL1" s="7" t="s">
        <v>12793</v>
      </c>
      <c r="RJM1" s="7" t="s">
        <v>12794</v>
      </c>
      <c r="RJN1" s="7" t="s">
        <v>12795</v>
      </c>
      <c r="RJO1" s="7" t="s">
        <v>12796</v>
      </c>
      <c r="RJP1" s="7" t="s">
        <v>12797</v>
      </c>
      <c r="RJQ1" s="7" t="s">
        <v>12798</v>
      </c>
      <c r="RJR1" s="7" t="s">
        <v>12799</v>
      </c>
      <c r="RJS1" s="7" t="s">
        <v>12800</v>
      </c>
      <c r="RJT1" s="7" t="s">
        <v>12801</v>
      </c>
      <c r="RJU1" s="7" t="s">
        <v>12802</v>
      </c>
      <c r="RJV1" s="7" t="s">
        <v>12803</v>
      </c>
      <c r="RJW1" s="7" t="s">
        <v>12804</v>
      </c>
      <c r="RJX1" s="7" t="s">
        <v>12805</v>
      </c>
      <c r="RJY1" s="7" t="s">
        <v>12806</v>
      </c>
      <c r="RJZ1" s="7" t="s">
        <v>12807</v>
      </c>
      <c r="RKA1" s="7" t="s">
        <v>12808</v>
      </c>
      <c r="RKB1" s="7" t="s">
        <v>12809</v>
      </c>
      <c r="RKC1" s="7" t="s">
        <v>12810</v>
      </c>
      <c r="RKD1" s="7" t="s">
        <v>12811</v>
      </c>
      <c r="RKE1" s="7" t="s">
        <v>12812</v>
      </c>
      <c r="RKF1" s="7" t="s">
        <v>12813</v>
      </c>
      <c r="RKG1" s="7" t="s">
        <v>12814</v>
      </c>
      <c r="RKH1" s="7" t="s">
        <v>12815</v>
      </c>
      <c r="RKI1" s="7" t="s">
        <v>12816</v>
      </c>
      <c r="RKJ1" s="7" t="s">
        <v>12817</v>
      </c>
      <c r="RKK1" s="7" t="s">
        <v>12818</v>
      </c>
      <c r="RKL1" s="7" t="s">
        <v>12819</v>
      </c>
      <c r="RKM1" s="7" t="s">
        <v>12820</v>
      </c>
      <c r="RKN1" s="7" t="s">
        <v>12821</v>
      </c>
      <c r="RKO1" s="7" t="s">
        <v>12822</v>
      </c>
      <c r="RKP1" s="7" t="s">
        <v>12823</v>
      </c>
      <c r="RKQ1" s="7" t="s">
        <v>12824</v>
      </c>
      <c r="RKR1" s="7" t="s">
        <v>12825</v>
      </c>
      <c r="RKS1" s="7" t="s">
        <v>12826</v>
      </c>
      <c r="RKT1" s="7" t="s">
        <v>12827</v>
      </c>
      <c r="RKU1" s="7" t="s">
        <v>12828</v>
      </c>
      <c r="RKV1" s="7" t="s">
        <v>12829</v>
      </c>
      <c r="RKW1" s="7" t="s">
        <v>12830</v>
      </c>
      <c r="RKX1" s="7" t="s">
        <v>12831</v>
      </c>
      <c r="RKY1" s="7" t="s">
        <v>12832</v>
      </c>
      <c r="RKZ1" s="7" t="s">
        <v>12833</v>
      </c>
      <c r="RLA1" s="7" t="s">
        <v>12834</v>
      </c>
      <c r="RLB1" s="7" t="s">
        <v>12835</v>
      </c>
      <c r="RLC1" s="7" t="s">
        <v>12836</v>
      </c>
      <c r="RLD1" s="7" t="s">
        <v>12837</v>
      </c>
      <c r="RLE1" s="7" t="s">
        <v>12838</v>
      </c>
      <c r="RLF1" s="7" t="s">
        <v>12839</v>
      </c>
      <c r="RLG1" s="7" t="s">
        <v>12840</v>
      </c>
      <c r="RLH1" s="7" t="s">
        <v>12841</v>
      </c>
      <c r="RLI1" s="7" t="s">
        <v>12842</v>
      </c>
      <c r="RLJ1" s="7" t="s">
        <v>12843</v>
      </c>
      <c r="RLK1" s="7" t="s">
        <v>12844</v>
      </c>
      <c r="RLL1" s="7" t="s">
        <v>12845</v>
      </c>
      <c r="RLM1" s="7" t="s">
        <v>12846</v>
      </c>
      <c r="RLN1" s="7" t="s">
        <v>12847</v>
      </c>
      <c r="RLO1" s="7" t="s">
        <v>12848</v>
      </c>
      <c r="RLP1" s="7" t="s">
        <v>12849</v>
      </c>
      <c r="RLQ1" s="7" t="s">
        <v>12850</v>
      </c>
      <c r="RLR1" s="7" t="s">
        <v>12851</v>
      </c>
      <c r="RLS1" s="7" t="s">
        <v>12852</v>
      </c>
      <c r="RLT1" s="7" t="s">
        <v>12853</v>
      </c>
      <c r="RLU1" s="7" t="s">
        <v>12854</v>
      </c>
      <c r="RLV1" s="7" t="s">
        <v>12855</v>
      </c>
      <c r="RLW1" s="7" t="s">
        <v>12856</v>
      </c>
      <c r="RLX1" s="7" t="s">
        <v>12857</v>
      </c>
      <c r="RLY1" s="7" t="s">
        <v>12858</v>
      </c>
      <c r="RLZ1" s="7" t="s">
        <v>12859</v>
      </c>
      <c r="RMA1" s="7" t="s">
        <v>12860</v>
      </c>
      <c r="RMB1" s="7" t="s">
        <v>12861</v>
      </c>
      <c r="RMC1" s="7" t="s">
        <v>12862</v>
      </c>
      <c r="RMD1" s="7" t="s">
        <v>12863</v>
      </c>
      <c r="RME1" s="7" t="s">
        <v>12864</v>
      </c>
      <c r="RMF1" s="7" t="s">
        <v>12865</v>
      </c>
      <c r="RMG1" s="7" t="s">
        <v>12866</v>
      </c>
      <c r="RMH1" s="7" t="s">
        <v>12867</v>
      </c>
      <c r="RMI1" s="7" t="s">
        <v>12868</v>
      </c>
      <c r="RMJ1" s="7" t="s">
        <v>12869</v>
      </c>
      <c r="RMK1" s="7" t="s">
        <v>12870</v>
      </c>
      <c r="RML1" s="7" t="s">
        <v>12871</v>
      </c>
      <c r="RMM1" s="7" t="s">
        <v>12872</v>
      </c>
      <c r="RMN1" s="7" t="s">
        <v>12873</v>
      </c>
      <c r="RMO1" s="7" t="s">
        <v>12874</v>
      </c>
      <c r="RMP1" s="7" t="s">
        <v>12875</v>
      </c>
      <c r="RMQ1" s="7" t="s">
        <v>12876</v>
      </c>
      <c r="RMR1" s="7" t="s">
        <v>12877</v>
      </c>
      <c r="RMS1" s="7" t="s">
        <v>12878</v>
      </c>
      <c r="RMT1" s="7" t="s">
        <v>12879</v>
      </c>
      <c r="RMU1" s="7" t="s">
        <v>12880</v>
      </c>
      <c r="RMV1" s="7" t="s">
        <v>12881</v>
      </c>
      <c r="RMW1" s="7" t="s">
        <v>12882</v>
      </c>
      <c r="RMX1" s="7" t="s">
        <v>12883</v>
      </c>
      <c r="RMY1" s="7" t="s">
        <v>12884</v>
      </c>
      <c r="RMZ1" s="7" t="s">
        <v>12885</v>
      </c>
      <c r="RNA1" s="7" t="s">
        <v>12886</v>
      </c>
      <c r="RNB1" s="7" t="s">
        <v>12887</v>
      </c>
      <c r="RNC1" s="7" t="s">
        <v>12888</v>
      </c>
      <c r="RND1" s="7" t="s">
        <v>12889</v>
      </c>
      <c r="RNE1" s="7" t="s">
        <v>12890</v>
      </c>
      <c r="RNF1" s="7" t="s">
        <v>12891</v>
      </c>
      <c r="RNG1" s="7" t="s">
        <v>12892</v>
      </c>
      <c r="RNH1" s="7" t="s">
        <v>12893</v>
      </c>
      <c r="RNI1" s="7" t="s">
        <v>12894</v>
      </c>
      <c r="RNJ1" s="7" t="s">
        <v>12895</v>
      </c>
      <c r="RNK1" s="7" t="s">
        <v>12896</v>
      </c>
      <c r="RNL1" s="7" t="s">
        <v>12897</v>
      </c>
      <c r="RNM1" s="7" t="s">
        <v>12898</v>
      </c>
      <c r="RNN1" s="7" t="s">
        <v>12899</v>
      </c>
      <c r="RNO1" s="7" t="s">
        <v>12900</v>
      </c>
      <c r="RNP1" s="7" t="s">
        <v>12901</v>
      </c>
      <c r="RNQ1" s="7" t="s">
        <v>12902</v>
      </c>
      <c r="RNR1" s="7" t="s">
        <v>12903</v>
      </c>
      <c r="RNS1" s="7" t="s">
        <v>12904</v>
      </c>
      <c r="RNT1" s="7" t="s">
        <v>12905</v>
      </c>
      <c r="RNU1" s="7" t="s">
        <v>12906</v>
      </c>
      <c r="RNV1" s="7" t="s">
        <v>12907</v>
      </c>
      <c r="RNW1" s="7" t="s">
        <v>12908</v>
      </c>
      <c r="RNX1" s="7" t="s">
        <v>12909</v>
      </c>
      <c r="RNY1" s="7" t="s">
        <v>12910</v>
      </c>
      <c r="RNZ1" s="7" t="s">
        <v>12911</v>
      </c>
      <c r="ROA1" s="7" t="s">
        <v>12912</v>
      </c>
      <c r="ROB1" s="7" t="s">
        <v>12913</v>
      </c>
      <c r="ROC1" s="7" t="s">
        <v>12914</v>
      </c>
      <c r="ROD1" s="7" t="s">
        <v>12915</v>
      </c>
      <c r="ROE1" s="7" t="s">
        <v>12916</v>
      </c>
      <c r="ROF1" s="7" t="s">
        <v>12917</v>
      </c>
      <c r="ROG1" s="7" t="s">
        <v>12918</v>
      </c>
      <c r="ROH1" s="7" t="s">
        <v>12919</v>
      </c>
      <c r="ROI1" s="7" t="s">
        <v>12920</v>
      </c>
      <c r="ROJ1" s="7" t="s">
        <v>12921</v>
      </c>
      <c r="ROK1" s="7" t="s">
        <v>12922</v>
      </c>
      <c r="ROL1" s="7" t="s">
        <v>12923</v>
      </c>
      <c r="ROM1" s="7" t="s">
        <v>12924</v>
      </c>
      <c r="RON1" s="7" t="s">
        <v>12925</v>
      </c>
      <c r="ROO1" s="7" t="s">
        <v>12926</v>
      </c>
      <c r="ROP1" s="7" t="s">
        <v>12927</v>
      </c>
      <c r="ROQ1" s="7" t="s">
        <v>12928</v>
      </c>
      <c r="ROR1" s="7" t="s">
        <v>12929</v>
      </c>
      <c r="ROS1" s="7" t="s">
        <v>12930</v>
      </c>
      <c r="ROT1" s="7" t="s">
        <v>12931</v>
      </c>
      <c r="ROU1" s="7" t="s">
        <v>12932</v>
      </c>
      <c r="ROV1" s="7" t="s">
        <v>12933</v>
      </c>
      <c r="ROW1" s="7" t="s">
        <v>12934</v>
      </c>
      <c r="ROX1" s="7" t="s">
        <v>12935</v>
      </c>
      <c r="ROY1" s="7" t="s">
        <v>12936</v>
      </c>
      <c r="ROZ1" s="7" t="s">
        <v>12937</v>
      </c>
      <c r="RPA1" s="7" t="s">
        <v>12938</v>
      </c>
      <c r="RPB1" s="7" t="s">
        <v>12939</v>
      </c>
      <c r="RPC1" s="7" t="s">
        <v>12940</v>
      </c>
      <c r="RPD1" s="7" t="s">
        <v>12941</v>
      </c>
      <c r="RPE1" s="7" t="s">
        <v>12942</v>
      </c>
      <c r="RPF1" s="7" t="s">
        <v>12943</v>
      </c>
      <c r="RPG1" s="7" t="s">
        <v>12944</v>
      </c>
      <c r="RPH1" s="7" t="s">
        <v>12945</v>
      </c>
      <c r="RPI1" s="7" t="s">
        <v>12946</v>
      </c>
      <c r="RPJ1" s="7" t="s">
        <v>12947</v>
      </c>
      <c r="RPK1" s="7" t="s">
        <v>12948</v>
      </c>
      <c r="RPL1" s="7" t="s">
        <v>12949</v>
      </c>
      <c r="RPM1" s="7" t="s">
        <v>12950</v>
      </c>
      <c r="RPN1" s="7" t="s">
        <v>12951</v>
      </c>
      <c r="RPO1" s="7" t="s">
        <v>12952</v>
      </c>
      <c r="RPP1" s="7" t="s">
        <v>12953</v>
      </c>
      <c r="RPQ1" s="7" t="s">
        <v>12954</v>
      </c>
      <c r="RPR1" s="7" t="s">
        <v>12955</v>
      </c>
      <c r="RPS1" s="7" t="s">
        <v>12956</v>
      </c>
      <c r="RPT1" s="7" t="s">
        <v>12957</v>
      </c>
      <c r="RPU1" s="7" t="s">
        <v>12958</v>
      </c>
      <c r="RPV1" s="7" t="s">
        <v>12959</v>
      </c>
      <c r="RPW1" s="7" t="s">
        <v>12960</v>
      </c>
      <c r="RPX1" s="7" t="s">
        <v>12961</v>
      </c>
      <c r="RPY1" s="7" t="s">
        <v>12962</v>
      </c>
      <c r="RPZ1" s="7" t="s">
        <v>12963</v>
      </c>
      <c r="RQA1" s="7" t="s">
        <v>12964</v>
      </c>
      <c r="RQB1" s="7" t="s">
        <v>12965</v>
      </c>
      <c r="RQC1" s="7" t="s">
        <v>12966</v>
      </c>
      <c r="RQD1" s="7" t="s">
        <v>12967</v>
      </c>
      <c r="RQE1" s="7" t="s">
        <v>12968</v>
      </c>
      <c r="RQF1" s="7" t="s">
        <v>12969</v>
      </c>
      <c r="RQG1" s="7" t="s">
        <v>12970</v>
      </c>
      <c r="RQH1" s="7" t="s">
        <v>12971</v>
      </c>
      <c r="RQI1" s="7" t="s">
        <v>12972</v>
      </c>
      <c r="RQJ1" s="7" t="s">
        <v>12973</v>
      </c>
      <c r="RQK1" s="7" t="s">
        <v>12974</v>
      </c>
      <c r="RQL1" s="7" t="s">
        <v>12975</v>
      </c>
      <c r="RQM1" s="7" t="s">
        <v>12976</v>
      </c>
      <c r="RQN1" s="7" t="s">
        <v>12977</v>
      </c>
      <c r="RQO1" s="7" t="s">
        <v>12978</v>
      </c>
      <c r="RQP1" s="7" t="s">
        <v>12979</v>
      </c>
      <c r="RQQ1" s="7" t="s">
        <v>12980</v>
      </c>
      <c r="RQR1" s="7" t="s">
        <v>12981</v>
      </c>
      <c r="RQS1" s="7" t="s">
        <v>12982</v>
      </c>
      <c r="RQT1" s="7" t="s">
        <v>12983</v>
      </c>
      <c r="RQU1" s="7" t="s">
        <v>12984</v>
      </c>
      <c r="RQV1" s="7" t="s">
        <v>12985</v>
      </c>
      <c r="RQW1" s="7" t="s">
        <v>12986</v>
      </c>
      <c r="RQX1" s="7" t="s">
        <v>12987</v>
      </c>
      <c r="RQY1" s="7" t="s">
        <v>12988</v>
      </c>
      <c r="RQZ1" s="7" t="s">
        <v>12989</v>
      </c>
      <c r="RRA1" s="7" t="s">
        <v>12990</v>
      </c>
      <c r="RRB1" s="7" t="s">
        <v>12991</v>
      </c>
      <c r="RRC1" s="7" t="s">
        <v>12992</v>
      </c>
      <c r="RRD1" s="7" t="s">
        <v>12993</v>
      </c>
      <c r="RRE1" s="7" t="s">
        <v>12994</v>
      </c>
      <c r="RRF1" s="7" t="s">
        <v>12995</v>
      </c>
      <c r="RRG1" s="7" t="s">
        <v>12996</v>
      </c>
      <c r="RRH1" s="7" t="s">
        <v>12997</v>
      </c>
      <c r="RRI1" s="7" t="s">
        <v>12998</v>
      </c>
      <c r="RRJ1" s="7" t="s">
        <v>12999</v>
      </c>
      <c r="RRK1" s="7" t="s">
        <v>13000</v>
      </c>
      <c r="RRL1" s="7" t="s">
        <v>13001</v>
      </c>
      <c r="RRM1" s="7" t="s">
        <v>13002</v>
      </c>
      <c r="RRN1" s="7" t="s">
        <v>13003</v>
      </c>
      <c r="RRO1" s="7" t="s">
        <v>13004</v>
      </c>
      <c r="RRP1" s="7" t="s">
        <v>13005</v>
      </c>
      <c r="RRQ1" s="7" t="s">
        <v>13006</v>
      </c>
      <c r="RRR1" s="7" t="s">
        <v>13007</v>
      </c>
      <c r="RRS1" s="7" t="s">
        <v>13008</v>
      </c>
      <c r="RRT1" s="7" t="s">
        <v>13009</v>
      </c>
      <c r="RRU1" s="7" t="s">
        <v>13010</v>
      </c>
      <c r="RRV1" s="7" t="s">
        <v>13011</v>
      </c>
      <c r="RRW1" s="7" t="s">
        <v>13012</v>
      </c>
      <c r="RRX1" s="7" t="s">
        <v>13013</v>
      </c>
      <c r="RRY1" s="7" t="s">
        <v>13014</v>
      </c>
      <c r="RRZ1" s="7" t="s">
        <v>13015</v>
      </c>
      <c r="RSA1" s="7" t="s">
        <v>13016</v>
      </c>
      <c r="RSB1" s="7" t="s">
        <v>13017</v>
      </c>
      <c r="RSC1" s="7" t="s">
        <v>13018</v>
      </c>
      <c r="RSD1" s="7" t="s">
        <v>13019</v>
      </c>
      <c r="RSE1" s="7" t="s">
        <v>13020</v>
      </c>
      <c r="RSF1" s="7" t="s">
        <v>13021</v>
      </c>
      <c r="RSG1" s="7" t="s">
        <v>13022</v>
      </c>
      <c r="RSH1" s="7" t="s">
        <v>13023</v>
      </c>
      <c r="RSI1" s="7" t="s">
        <v>13024</v>
      </c>
      <c r="RSJ1" s="7" t="s">
        <v>13025</v>
      </c>
      <c r="RSK1" s="7" t="s">
        <v>13026</v>
      </c>
      <c r="RSL1" s="7" t="s">
        <v>13027</v>
      </c>
      <c r="RSM1" s="7" t="s">
        <v>13028</v>
      </c>
      <c r="RSN1" s="7" t="s">
        <v>13029</v>
      </c>
      <c r="RSO1" s="7" t="s">
        <v>13030</v>
      </c>
      <c r="RSP1" s="7" t="s">
        <v>13031</v>
      </c>
      <c r="RSQ1" s="7" t="s">
        <v>13032</v>
      </c>
      <c r="RSR1" s="7" t="s">
        <v>13033</v>
      </c>
      <c r="RSS1" s="7" t="s">
        <v>13034</v>
      </c>
      <c r="RST1" s="7" t="s">
        <v>13035</v>
      </c>
      <c r="RSU1" s="7" t="s">
        <v>13036</v>
      </c>
      <c r="RSV1" s="7" t="s">
        <v>13037</v>
      </c>
      <c r="RSW1" s="7" t="s">
        <v>13038</v>
      </c>
      <c r="RSX1" s="7" t="s">
        <v>13039</v>
      </c>
      <c r="RSY1" s="7" t="s">
        <v>13040</v>
      </c>
      <c r="RSZ1" s="7" t="s">
        <v>13041</v>
      </c>
      <c r="RTA1" s="7" t="s">
        <v>13042</v>
      </c>
      <c r="RTB1" s="7" t="s">
        <v>13043</v>
      </c>
      <c r="RTC1" s="7" t="s">
        <v>13044</v>
      </c>
      <c r="RTD1" s="7" t="s">
        <v>13045</v>
      </c>
      <c r="RTE1" s="7" t="s">
        <v>13046</v>
      </c>
      <c r="RTF1" s="7" t="s">
        <v>13047</v>
      </c>
      <c r="RTG1" s="7" t="s">
        <v>13048</v>
      </c>
      <c r="RTH1" s="7" t="s">
        <v>13049</v>
      </c>
      <c r="RTI1" s="7" t="s">
        <v>13050</v>
      </c>
      <c r="RTJ1" s="7" t="s">
        <v>13051</v>
      </c>
      <c r="RTK1" s="7" t="s">
        <v>13052</v>
      </c>
      <c r="RTL1" s="7" t="s">
        <v>13053</v>
      </c>
      <c r="RTM1" s="7" t="s">
        <v>13054</v>
      </c>
      <c r="RTN1" s="7" t="s">
        <v>13055</v>
      </c>
      <c r="RTO1" s="7" t="s">
        <v>13056</v>
      </c>
      <c r="RTP1" s="7" t="s">
        <v>13057</v>
      </c>
      <c r="RTQ1" s="7" t="s">
        <v>13058</v>
      </c>
      <c r="RTR1" s="7" t="s">
        <v>13059</v>
      </c>
      <c r="RTS1" s="7" t="s">
        <v>13060</v>
      </c>
      <c r="RTT1" s="7" t="s">
        <v>13061</v>
      </c>
      <c r="RTU1" s="7" t="s">
        <v>13062</v>
      </c>
      <c r="RTV1" s="7" t="s">
        <v>13063</v>
      </c>
      <c r="RTW1" s="7" t="s">
        <v>13064</v>
      </c>
      <c r="RTX1" s="7" t="s">
        <v>13065</v>
      </c>
      <c r="RTY1" s="7" t="s">
        <v>13066</v>
      </c>
      <c r="RTZ1" s="7" t="s">
        <v>13067</v>
      </c>
      <c r="RUA1" s="7" t="s">
        <v>13068</v>
      </c>
      <c r="RUB1" s="7" t="s">
        <v>13069</v>
      </c>
      <c r="RUC1" s="7" t="s">
        <v>13070</v>
      </c>
      <c r="RUD1" s="7" t="s">
        <v>13071</v>
      </c>
      <c r="RUE1" s="7" t="s">
        <v>13072</v>
      </c>
      <c r="RUF1" s="7" t="s">
        <v>13073</v>
      </c>
      <c r="RUG1" s="7" t="s">
        <v>13074</v>
      </c>
      <c r="RUH1" s="7" t="s">
        <v>13075</v>
      </c>
      <c r="RUI1" s="7" t="s">
        <v>13076</v>
      </c>
      <c r="RUJ1" s="7" t="s">
        <v>13077</v>
      </c>
      <c r="RUK1" s="7" t="s">
        <v>13078</v>
      </c>
      <c r="RUL1" s="7" t="s">
        <v>13079</v>
      </c>
      <c r="RUM1" s="7" t="s">
        <v>13080</v>
      </c>
      <c r="RUN1" s="7" t="s">
        <v>13081</v>
      </c>
      <c r="RUO1" s="7" t="s">
        <v>13082</v>
      </c>
      <c r="RUP1" s="7" t="s">
        <v>13083</v>
      </c>
      <c r="RUQ1" s="7" t="s">
        <v>13084</v>
      </c>
      <c r="RUR1" s="7" t="s">
        <v>13085</v>
      </c>
      <c r="RUS1" s="7" t="s">
        <v>13086</v>
      </c>
      <c r="RUT1" s="7" t="s">
        <v>13087</v>
      </c>
      <c r="RUU1" s="7" t="s">
        <v>13088</v>
      </c>
      <c r="RUV1" s="7" t="s">
        <v>13089</v>
      </c>
      <c r="RUW1" s="7" t="s">
        <v>13090</v>
      </c>
      <c r="RUX1" s="7" t="s">
        <v>13091</v>
      </c>
      <c r="RUY1" s="7" t="s">
        <v>13092</v>
      </c>
      <c r="RUZ1" s="7" t="s">
        <v>13093</v>
      </c>
      <c r="RVA1" s="7" t="s">
        <v>13094</v>
      </c>
      <c r="RVB1" s="7" t="s">
        <v>13095</v>
      </c>
      <c r="RVC1" s="7" t="s">
        <v>13096</v>
      </c>
      <c r="RVD1" s="7" t="s">
        <v>13097</v>
      </c>
      <c r="RVE1" s="7" t="s">
        <v>13098</v>
      </c>
      <c r="RVF1" s="7" t="s">
        <v>13099</v>
      </c>
      <c r="RVG1" s="7" t="s">
        <v>13100</v>
      </c>
      <c r="RVH1" s="7" t="s">
        <v>13101</v>
      </c>
      <c r="RVI1" s="7" t="s">
        <v>13102</v>
      </c>
      <c r="RVJ1" s="7" t="s">
        <v>13103</v>
      </c>
      <c r="RVK1" s="7" t="s">
        <v>13104</v>
      </c>
      <c r="RVL1" s="7" t="s">
        <v>13105</v>
      </c>
      <c r="RVM1" s="7" t="s">
        <v>13106</v>
      </c>
      <c r="RVN1" s="7" t="s">
        <v>13107</v>
      </c>
      <c r="RVO1" s="7" t="s">
        <v>13108</v>
      </c>
      <c r="RVP1" s="7" t="s">
        <v>13109</v>
      </c>
      <c r="RVQ1" s="7" t="s">
        <v>13110</v>
      </c>
      <c r="RVR1" s="7" t="s">
        <v>13111</v>
      </c>
      <c r="RVS1" s="7" t="s">
        <v>13112</v>
      </c>
      <c r="RVT1" s="7" t="s">
        <v>13113</v>
      </c>
      <c r="RVU1" s="7" t="s">
        <v>13114</v>
      </c>
      <c r="RVV1" s="7" t="s">
        <v>13115</v>
      </c>
      <c r="RVW1" s="7" t="s">
        <v>13116</v>
      </c>
      <c r="RVX1" s="7" t="s">
        <v>13117</v>
      </c>
      <c r="RVY1" s="7" t="s">
        <v>13118</v>
      </c>
      <c r="RVZ1" s="7" t="s">
        <v>13119</v>
      </c>
      <c r="RWA1" s="7" t="s">
        <v>13120</v>
      </c>
      <c r="RWB1" s="7" t="s">
        <v>13121</v>
      </c>
      <c r="RWC1" s="7" t="s">
        <v>13122</v>
      </c>
      <c r="RWD1" s="7" t="s">
        <v>13123</v>
      </c>
      <c r="RWE1" s="7" t="s">
        <v>13124</v>
      </c>
      <c r="RWF1" s="7" t="s">
        <v>13125</v>
      </c>
      <c r="RWG1" s="7" t="s">
        <v>13126</v>
      </c>
      <c r="RWH1" s="7" t="s">
        <v>13127</v>
      </c>
      <c r="RWI1" s="7" t="s">
        <v>13128</v>
      </c>
      <c r="RWJ1" s="7" t="s">
        <v>13129</v>
      </c>
      <c r="RWK1" s="7" t="s">
        <v>13130</v>
      </c>
      <c r="RWL1" s="7" t="s">
        <v>13131</v>
      </c>
      <c r="RWM1" s="7" t="s">
        <v>13132</v>
      </c>
      <c r="RWN1" s="7" t="s">
        <v>13133</v>
      </c>
      <c r="RWO1" s="7" t="s">
        <v>13134</v>
      </c>
      <c r="RWP1" s="7" t="s">
        <v>13135</v>
      </c>
      <c r="RWQ1" s="7" t="s">
        <v>13136</v>
      </c>
      <c r="RWR1" s="7" t="s">
        <v>13137</v>
      </c>
      <c r="RWS1" s="7" t="s">
        <v>13138</v>
      </c>
      <c r="RWT1" s="7" t="s">
        <v>13139</v>
      </c>
      <c r="RWU1" s="7" t="s">
        <v>13140</v>
      </c>
      <c r="RWV1" s="7" t="s">
        <v>13141</v>
      </c>
      <c r="RWW1" s="7" t="s">
        <v>13142</v>
      </c>
      <c r="RWX1" s="7" t="s">
        <v>13143</v>
      </c>
      <c r="RWY1" s="7" t="s">
        <v>13144</v>
      </c>
      <c r="RWZ1" s="7" t="s">
        <v>13145</v>
      </c>
      <c r="RXA1" s="7" t="s">
        <v>13146</v>
      </c>
      <c r="RXB1" s="7" t="s">
        <v>13147</v>
      </c>
      <c r="RXC1" s="7" t="s">
        <v>13148</v>
      </c>
      <c r="RXD1" s="7" t="s">
        <v>13149</v>
      </c>
      <c r="RXE1" s="7" t="s">
        <v>13150</v>
      </c>
      <c r="RXF1" s="7" t="s">
        <v>13151</v>
      </c>
      <c r="RXG1" s="7" t="s">
        <v>13152</v>
      </c>
      <c r="RXH1" s="7" t="s">
        <v>13153</v>
      </c>
      <c r="RXI1" s="7" t="s">
        <v>13154</v>
      </c>
      <c r="RXJ1" s="7" t="s">
        <v>13155</v>
      </c>
      <c r="RXK1" s="7" t="s">
        <v>13156</v>
      </c>
      <c r="RXL1" s="7" t="s">
        <v>13157</v>
      </c>
      <c r="RXM1" s="7" t="s">
        <v>13158</v>
      </c>
      <c r="RXN1" s="7" t="s">
        <v>13159</v>
      </c>
      <c r="RXO1" s="7" t="s">
        <v>13160</v>
      </c>
      <c r="RXP1" s="7" t="s">
        <v>13161</v>
      </c>
      <c r="RXQ1" s="7" t="s">
        <v>13162</v>
      </c>
      <c r="RXR1" s="7" t="s">
        <v>13163</v>
      </c>
      <c r="RXS1" s="7" t="s">
        <v>13164</v>
      </c>
      <c r="RXT1" s="7" t="s">
        <v>13165</v>
      </c>
      <c r="RXU1" s="7" t="s">
        <v>13166</v>
      </c>
      <c r="RXV1" s="7" t="s">
        <v>13167</v>
      </c>
      <c r="RXW1" s="7" t="s">
        <v>13168</v>
      </c>
      <c r="RXX1" s="7" t="s">
        <v>13169</v>
      </c>
      <c r="RXY1" s="7" t="s">
        <v>13170</v>
      </c>
      <c r="RXZ1" s="7" t="s">
        <v>13171</v>
      </c>
      <c r="RYA1" s="7" t="s">
        <v>13172</v>
      </c>
      <c r="RYB1" s="7" t="s">
        <v>13173</v>
      </c>
      <c r="RYC1" s="7" t="s">
        <v>13174</v>
      </c>
      <c r="RYD1" s="7" t="s">
        <v>13175</v>
      </c>
      <c r="RYE1" s="7" t="s">
        <v>13176</v>
      </c>
      <c r="RYF1" s="7" t="s">
        <v>13177</v>
      </c>
      <c r="RYG1" s="7" t="s">
        <v>13178</v>
      </c>
      <c r="RYH1" s="7" t="s">
        <v>13179</v>
      </c>
      <c r="RYI1" s="7" t="s">
        <v>13180</v>
      </c>
      <c r="RYJ1" s="7" t="s">
        <v>13181</v>
      </c>
      <c r="RYK1" s="7" t="s">
        <v>13182</v>
      </c>
      <c r="RYL1" s="7" t="s">
        <v>13183</v>
      </c>
      <c r="RYM1" s="7" t="s">
        <v>13184</v>
      </c>
      <c r="RYN1" s="7" t="s">
        <v>13185</v>
      </c>
      <c r="RYO1" s="7" t="s">
        <v>13186</v>
      </c>
      <c r="RYP1" s="7" t="s">
        <v>13187</v>
      </c>
      <c r="RYQ1" s="7" t="s">
        <v>13188</v>
      </c>
      <c r="RYR1" s="7" t="s">
        <v>13189</v>
      </c>
      <c r="RYS1" s="7" t="s">
        <v>13190</v>
      </c>
      <c r="RYT1" s="7" t="s">
        <v>13191</v>
      </c>
      <c r="RYU1" s="7" t="s">
        <v>13192</v>
      </c>
      <c r="RYV1" s="7" t="s">
        <v>13193</v>
      </c>
      <c r="RYW1" s="7" t="s">
        <v>13194</v>
      </c>
      <c r="RYX1" s="7" t="s">
        <v>13195</v>
      </c>
      <c r="RYY1" s="7" t="s">
        <v>13196</v>
      </c>
      <c r="RYZ1" s="7" t="s">
        <v>13197</v>
      </c>
      <c r="RZA1" s="7" t="s">
        <v>13198</v>
      </c>
      <c r="RZB1" s="7" t="s">
        <v>13199</v>
      </c>
      <c r="RZC1" s="7" t="s">
        <v>13200</v>
      </c>
      <c r="RZD1" s="7" t="s">
        <v>13201</v>
      </c>
      <c r="RZE1" s="7" t="s">
        <v>13202</v>
      </c>
      <c r="RZF1" s="7" t="s">
        <v>13203</v>
      </c>
      <c r="RZG1" s="7" t="s">
        <v>13204</v>
      </c>
      <c r="RZH1" s="7" t="s">
        <v>13205</v>
      </c>
      <c r="RZI1" s="7" t="s">
        <v>13206</v>
      </c>
      <c r="RZJ1" s="7" t="s">
        <v>13207</v>
      </c>
      <c r="RZK1" s="7" t="s">
        <v>13208</v>
      </c>
      <c r="RZL1" s="7" t="s">
        <v>13209</v>
      </c>
      <c r="RZM1" s="7" t="s">
        <v>13210</v>
      </c>
      <c r="RZN1" s="7" t="s">
        <v>13211</v>
      </c>
      <c r="RZO1" s="7" t="s">
        <v>13212</v>
      </c>
      <c r="RZP1" s="7" t="s">
        <v>13213</v>
      </c>
      <c r="RZQ1" s="7" t="s">
        <v>13214</v>
      </c>
      <c r="RZR1" s="7" t="s">
        <v>13215</v>
      </c>
      <c r="RZS1" s="7" t="s">
        <v>13216</v>
      </c>
      <c r="RZT1" s="7" t="s">
        <v>13217</v>
      </c>
      <c r="RZU1" s="7" t="s">
        <v>13218</v>
      </c>
      <c r="RZV1" s="7" t="s">
        <v>13219</v>
      </c>
      <c r="RZW1" s="7" t="s">
        <v>13220</v>
      </c>
      <c r="RZX1" s="7" t="s">
        <v>13221</v>
      </c>
      <c r="RZY1" s="7" t="s">
        <v>13222</v>
      </c>
      <c r="RZZ1" s="7" t="s">
        <v>13223</v>
      </c>
      <c r="SAA1" s="7" t="s">
        <v>13224</v>
      </c>
      <c r="SAB1" s="7" t="s">
        <v>13225</v>
      </c>
      <c r="SAC1" s="7" t="s">
        <v>13226</v>
      </c>
      <c r="SAD1" s="7" t="s">
        <v>13227</v>
      </c>
      <c r="SAE1" s="7" t="s">
        <v>13228</v>
      </c>
      <c r="SAF1" s="7" t="s">
        <v>13229</v>
      </c>
      <c r="SAG1" s="7" t="s">
        <v>13230</v>
      </c>
      <c r="SAH1" s="7" t="s">
        <v>13231</v>
      </c>
      <c r="SAI1" s="7" t="s">
        <v>13232</v>
      </c>
      <c r="SAJ1" s="7" t="s">
        <v>13233</v>
      </c>
      <c r="SAK1" s="7" t="s">
        <v>13234</v>
      </c>
      <c r="SAL1" s="7" t="s">
        <v>13235</v>
      </c>
      <c r="SAM1" s="7" t="s">
        <v>13236</v>
      </c>
      <c r="SAN1" s="7" t="s">
        <v>13237</v>
      </c>
      <c r="SAO1" s="7" t="s">
        <v>13238</v>
      </c>
      <c r="SAP1" s="7" t="s">
        <v>13239</v>
      </c>
      <c r="SAQ1" s="7" t="s">
        <v>13240</v>
      </c>
      <c r="SAR1" s="7" t="s">
        <v>13241</v>
      </c>
      <c r="SAS1" s="7" t="s">
        <v>13242</v>
      </c>
      <c r="SAT1" s="7" t="s">
        <v>13243</v>
      </c>
      <c r="SAU1" s="7" t="s">
        <v>13244</v>
      </c>
      <c r="SAV1" s="7" t="s">
        <v>13245</v>
      </c>
      <c r="SAW1" s="7" t="s">
        <v>13246</v>
      </c>
      <c r="SAX1" s="7" t="s">
        <v>13247</v>
      </c>
      <c r="SAY1" s="7" t="s">
        <v>13248</v>
      </c>
      <c r="SAZ1" s="7" t="s">
        <v>13249</v>
      </c>
      <c r="SBA1" s="7" t="s">
        <v>13250</v>
      </c>
      <c r="SBB1" s="7" t="s">
        <v>13251</v>
      </c>
      <c r="SBC1" s="7" t="s">
        <v>13252</v>
      </c>
      <c r="SBD1" s="7" t="s">
        <v>13253</v>
      </c>
      <c r="SBE1" s="7" t="s">
        <v>13254</v>
      </c>
      <c r="SBF1" s="7" t="s">
        <v>13255</v>
      </c>
      <c r="SBG1" s="7" t="s">
        <v>13256</v>
      </c>
      <c r="SBH1" s="7" t="s">
        <v>13257</v>
      </c>
      <c r="SBI1" s="7" t="s">
        <v>13258</v>
      </c>
      <c r="SBJ1" s="7" t="s">
        <v>13259</v>
      </c>
      <c r="SBK1" s="7" t="s">
        <v>13260</v>
      </c>
      <c r="SBL1" s="7" t="s">
        <v>13261</v>
      </c>
      <c r="SBM1" s="7" t="s">
        <v>13262</v>
      </c>
      <c r="SBN1" s="7" t="s">
        <v>13263</v>
      </c>
      <c r="SBO1" s="7" t="s">
        <v>13264</v>
      </c>
      <c r="SBP1" s="7" t="s">
        <v>13265</v>
      </c>
      <c r="SBQ1" s="7" t="s">
        <v>13266</v>
      </c>
      <c r="SBR1" s="7" t="s">
        <v>13267</v>
      </c>
      <c r="SBS1" s="7" t="s">
        <v>13268</v>
      </c>
      <c r="SBT1" s="7" t="s">
        <v>13269</v>
      </c>
      <c r="SBU1" s="7" t="s">
        <v>13270</v>
      </c>
      <c r="SBV1" s="7" t="s">
        <v>13271</v>
      </c>
      <c r="SBW1" s="7" t="s">
        <v>13272</v>
      </c>
      <c r="SBX1" s="7" t="s">
        <v>13273</v>
      </c>
      <c r="SBY1" s="7" t="s">
        <v>13274</v>
      </c>
      <c r="SBZ1" s="7" t="s">
        <v>13275</v>
      </c>
      <c r="SCA1" s="7" t="s">
        <v>13276</v>
      </c>
      <c r="SCB1" s="7" t="s">
        <v>13277</v>
      </c>
      <c r="SCC1" s="7" t="s">
        <v>13278</v>
      </c>
      <c r="SCD1" s="7" t="s">
        <v>13279</v>
      </c>
      <c r="SCE1" s="7" t="s">
        <v>13280</v>
      </c>
      <c r="SCF1" s="7" t="s">
        <v>13281</v>
      </c>
      <c r="SCG1" s="7" t="s">
        <v>13282</v>
      </c>
      <c r="SCH1" s="7" t="s">
        <v>13283</v>
      </c>
      <c r="SCI1" s="7" t="s">
        <v>13284</v>
      </c>
      <c r="SCJ1" s="7" t="s">
        <v>13285</v>
      </c>
      <c r="SCK1" s="7" t="s">
        <v>13286</v>
      </c>
      <c r="SCL1" s="7" t="s">
        <v>13287</v>
      </c>
      <c r="SCM1" s="7" t="s">
        <v>13288</v>
      </c>
      <c r="SCN1" s="7" t="s">
        <v>13289</v>
      </c>
      <c r="SCO1" s="7" t="s">
        <v>13290</v>
      </c>
      <c r="SCP1" s="7" t="s">
        <v>13291</v>
      </c>
      <c r="SCQ1" s="7" t="s">
        <v>13292</v>
      </c>
      <c r="SCR1" s="7" t="s">
        <v>13293</v>
      </c>
      <c r="SCS1" s="7" t="s">
        <v>13294</v>
      </c>
      <c r="SCT1" s="7" t="s">
        <v>13295</v>
      </c>
      <c r="SCU1" s="7" t="s">
        <v>13296</v>
      </c>
      <c r="SCV1" s="7" t="s">
        <v>13297</v>
      </c>
      <c r="SCW1" s="7" t="s">
        <v>13298</v>
      </c>
      <c r="SCX1" s="7" t="s">
        <v>13299</v>
      </c>
      <c r="SCY1" s="7" t="s">
        <v>13300</v>
      </c>
      <c r="SCZ1" s="7" t="s">
        <v>13301</v>
      </c>
      <c r="SDA1" s="7" t="s">
        <v>13302</v>
      </c>
      <c r="SDB1" s="7" t="s">
        <v>13303</v>
      </c>
      <c r="SDC1" s="7" t="s">
        <v>13304</v>
      </c>
      <c r="SDD1" s="7" t="s">
        <v>13305</v>
      </c>
      <c r="SDE1" s="7" t="s">
        <v>13306</v>
      </c>
      <c r="SDF1" s="7" t="s">
        <v>13307</v>
      </c>
      <c r="SDG1" s="7" t="s">
        <v>13308</v>
      </c>
      <c r="SDH1" s="7" t="s">
        <v>13309</v>
      </c>
      <c r="SDI1" s="7" t="s">
        <v>13310</v>
      </c>
      <c r="SDJ1" s="7" t="s">
        <v>13311</v>
      </c>
      <c r="SDK1" s="7" t="s">
        <v>13312</v>
      </c>
      <c r="SDL1" s="7" t="s">
        <v>13313</v>
      </c>
      <c r="SDM1" s="7" t="s">
        <v>13314</v>
      </c>
      <c r="SDN1" s="7" t="s">
        <v>13315</v>
      </c>
      <c r="SDO1" s="7" t="s">
        <v>13316</v>
      </c>
      <c r="SDP1" s="7" t="s">
        <v>13317</v>
      </c>
      <c r="SDQ1" s="7" t="s">
        <v>13318</v>
      </c>
      <c r="SDR1" s="7" t="s">
        <v>13319</v>
      </c>
      <c r="SDS1" s="7" t="s">
        <v>13320</v>
      </c>
      <c r="SDT1" s="7" t="s">
        <v>13321</v>
      </c>
      <c r="SDU1" s="7" t="s">
        <v>13322</v>
      </c>
      <c r="SDV1" s="7" t="s">
        <v>13323</v>
      </c>
      <c r="SDW1" s="7" t="s">
        <v>13324</v>
      </c>
      <c r="SDX1" s="7" t="s">
        <v>13325</v>
      </c>
      <c r="SDY1" s="7" t="s">
        <v>13326</v>
      </c>
      <c r="SDZ1" s="7" t="s">
        <v>13327</v>
      </c>
      <c r="SEA1" s="7" t="s">
        <v>13328</v>
      </c>
      <c r="SEB1" s="7" t="s">
        <v>13329</v>
      </c>
      <c r="SEC1" s="7" t="s">
        <v>13330</v>
      </c>
      <c r="SED1" s="7" t="s">
        <v>13331</v>
      </c>
      <c r="SEE1" s="7" t="s">
        <v>13332</v>
      </c>
      <c r="SEF1" s="7" t="s">
        <v>13333</v>
      </c>
      <c r="SEG1" s="7" t="s">
        <v>13334</v>
      </c>
      <c r="SEH1" s="7" t="s">
        <v>13335</v>
      </c>
      <c r="SEI1" s="7" t="s">
        <v>13336</v>
      </c>
      <c r="SEJ1" s="7" t="s">
        <v>13337</v>
      </c>
      <c r="SEK1" s="7" t="s">
        <v>13338</v>
      </c>
      <c r="SEL1" s="7" t="s">
        <v>13339</v>
      </c>
      <c r="SEM1" s="7" t="s">
        <v>13340</v>
      </c>
      <c r="SEN1" s="7" t="s">
        <v>13341</v>
      </c>
      <c r="SEO1" s="7" t="s">
        <v>13342</v>
      </c>
      <c r="SEP1" s="7" t="s">
        <v>13343</v>
      </c>
      <c r="SEQ1" s="7" t="s">
        <v>13344</v>
      </c>
      <c r="SER1" s="7" t="s">
        <v>13345</v>
      </c>
      <c r="SES1" s="7" t="s">
        <v>13346</v>
      </c>
      <c r="SET1" s="7" t="s">
        <v>13347</v>
      </c>
      <c r="SEU1" s="7" t="s">
        <v>13348</v>
      </c>
      <c r="SEV1" s="7" t="s">
        <v>13349</v>
      </c>
      <c r="SEW1" s="7" t="s">
        <v>13350</v>
      </c>
      <c r="SEX1" s="7" t="s">
        <v>13351</v>
      </c>
      <c r="SEY1" s="7" t="s">
        <v>13352</v>
      </c>
      <c r="SEZ1" s="7" t="s">
        <v>13353</v>
      </c>
      <c r="SFA1" s="7" t="s">
        <v>13354</v>
      </c>
      <c r="SFB1" s="7" t="s">
        <v>13355</v>
      </c>
      <c r="SFC1" s="7" t="s">
        <v>13356</v>
      </c>
      <c r="SFD1" s="7" t="s">
        <v>13357</v>
      </c>
      <c r="SFE1" s="7" t="s">
        <v>13358</v>
      </c>
      <c r="SFF1" s="7" t="s">
        <v>13359</v>
      </c>
      <c r="SFG1" s="7" t="s">
        <v>13360</v>
      </c>
      <c r="SFH1" s="7" t="s">
        <v>13361</v>
      </c>
      <c r="SFI1" s="7" t="s">
        <v>13362</v>
      </c>
      <c r="SFJ1" s="7" t="s">
        <v>13363</v>
      </c>
      <c r="SFK1" s="7" t="s">
        <v>13364</v>
      </c>
      <c r="SFL1" s="7" t="s">
        <v>13365</v>
      </c>
      <c r="SFM1" s="7" t="s">
        <v>13366</v>
      </c>
      <c r="SFN1" s="7" t="s">
        <v>13367</v>
      </c>
      <c r="SFO1" s="7" t="s">
        <v>13368</v>
      </c>
      <c r="SFP1" s="7" t="s">
        <v>13369</v>
      </c>
      <c r="SFQ1" s="7" t="s">
        <v>13370</v>
      </c>
      <c r="SFR1" s="7" t="s">
        <v>13371</v>
      </c>
      <c r="SFS1" s="7" t="s">
        <v>13372</v>
      </c>
      <c r="SFT1" s="7" t="s">
        <v>13373</v>
      </c>
      <c r="SFU1" s="7" t="s">
        <v>13374</v>
      </c>
      <c r="SFV1" s="7" t="s">
        <v>13375</v>
      </c>
      <c r="SFW1" s="7" t="s">
        <v>13376</v>
      </c>
      <c r="SFX1" s="7" t="s">
        <v>13377</v>
      </c>
      <c r="SFY1" s="7" t="s">
        <v>13378</v>
      </c>
      <c r="SFZ1" s="7" t="s">
        <v>13379</v>
      </c>
      <c r="SGA1" s="7" t="s">
        <v>13380</v>
      </c>
      <c r="SGB1" s="7" t="s">
        <v>13381</v>
      </c>
      <c r="SGC1" s="7" t="s">
        <v>13382</v>
      </c>
      <c r="SGD1" s="7" t="s">
        <v>13383</v>
      </c>
      <c r="SGE1" s="7" t="s">
        <v>13384</v>
      </c>
      <c r="SGF1" s="7" t="s">
        <v>13385</v>
      </c>
      <c r="SGG1" s="7" t="s">
        <v>13386</v>
      </c>
      <c r="SGH1" s="7" t="s">
        <v>13387</v>
      </c>
      <c r="SGI1" s="7" t="s">
        <v>13388</v>
      </c>
      <c r="SGJ1" s="7" t="s">
        <v>13389</v>
      </c>
      <c r="SGK1" s="7" t="s">
        <v>13390</v>
      </c>
      <c r="SGL1" s="7" t="s">
        <v>13391</v>
      </c>
      <c r="SGM1" s="7" t="s">
        <v>13392</v>
      </c>
      <c r="SGN1" s="7" t="s">
        <v>13393</v>
      </c>
      <c r="SGO1" s="7" t="s">
        <v>13394</v>
      </c>
      <c r="SGP1" s="7" t="s">
        <v>13395</v>
      </c>
      <c r="SGQ1" s="7" t="s">
        <v>13396</v>
      </c>
      <c r="SGR1" s="7" t="s">
        <v>13397</v>
      </c>
      <c r="SGS1" s="7" t="s">
        <v>13398</v>
      </c>
      <c r="SGT1" s="7" t="s">
        <v>13399</v>
      </c>
      <c r="SGU1" s="7" t="s">
        <v>13400</v>
      </c>
      <c r="SGV1" s="7" t="s">
        <v>13401</v>
      </c>
      <c r="SGW1" s="7" t="s">
        <v>13402</v>
      </c>
      <c r="SGX1" s="7" t="s">
        <v>13403</v>
      </c>
      <c r="SGY1" s="7" t="s">
        <v>13404</v>
      </c>
      <c r="SGZ1" s="7" t="s">
        <v>13405</v>
      </c>
      <c r="SHA1" s="7" t="s">
        <v>13406</v>
      </c>
      <c r="SHB1" s="7" t="s">
        <v>13407</v>
      </c>
      <c r="SHC1" s="7" t="s">
        <v>13408</v>
      </c>
      <c r="SHD1" s="7" t="s">
        <v>13409</v>
      </c>
      <c r="SHE1" s="7" t="s">
        <v>13410</v>
      </c>
      <c r="SHF1" s="7" t="s">
        <v>13411</v>
      </c>
      <c r="SHG1" s="7" t="s">
        <v>13412</v>
      </c>
      <c r="SHH1" s="7" t="s">
        <v>13413</v>
      </c>
      <c r="SHI1" s="7" t="s">
        <v>13414</v>
      </c>
      <c r="SHJ1" s="7" t="s">
        <v>13415</v>
      </c>
      <c r="SHK1" s="7" t="s">
        <v>13416</v>
      </c>
      <c r="SHL1" s="7" t="s">
        <v>13417</v>
      </c>
      <c r="SHM1" s="7" t="s">
        <v>13418</v>
      </c>
      <c r="SHN1" s="7" t="s">
        <v>13419</v>
      </c>
      <c r="SHO1" s="7" t="s">
        <v>13420</v>
      </c>
      <c r="SHP1" s="7" t="s">
        <v>13421</v>
      </c>
      <c r="SHQ1" s="7" t="s">
        <v>13422</v>
      </c>
      <c r="SHR1" s="7" t="s">
        <v>13423</v>
      </c>
      <c r="SHS1" s="7" t="s">
        <v>13424</v>
      </c>
      <c r="SHT1" s="7" t="s">
        <v>13425</v>
      </c>
      <c r="SHU1" s="7" t="s">
        <v>13426</v>
      </c>
      <c r="SHV1" s="7" t="s">
        <v>13427</v>
      </c>
      <c r="SHW1" s="7" t="s">
        <v>13428</v>
      </c>
      <c r="SHX1" s="7" t="s">
        <v>13429</v>
      </c>
      <c r="SHY1" s="7" t="s">
        <v>13430</v>
      </c>
      <c r="SHZ1" s="7" t="s">
        <v>13431</v>
      </c>
      <c r="SIA1" s="7" t="s">
        <v>13432</v>
      </c>
      <c r="SIB1" s="7" t="s">
        <v>13433</v>
      </c>
      <c r="SIC1" s="7" t="s">
        <v>13434</v>
      </c>
      <c r="SID1" s="7" t="s">
        <v>13435</v>
      </c>
      <c r="SIE1" s="7" t="s">
        <v>13436</v>
      </c>
      <c r="SIF1" s="7" t="s">
        <v>13437</v>
      </c>
      <c r="SIG1" s="7" t="s">
        <v>13438</v>
      </c>
      <c r="SIH1" s="7" t="s">
        <v>13439</v>
      </c>
      <c r="SII1" s="7" t="s">
        <v>13440</v>
      </c>
      <c r="SIJ1" s="7" t="s">
        <v>13441</v>
      </c>
      <c r="SIK1" s="7" t="s">
        <v>13442</v>
      </c>
      <c r="SIL1" s="7" t="s">
        <v>13443</v>
      </c>
      <c r="SIM1" s="7" t="s">
        <v>13444</v>
      </c>
      <c r="SIN1" s="7" t="s">
        <v>13445</v>
      </c>
      <c r="SIO1" s="7" t="s">
        <v>13446</v>
      </c>
      <c r="SIP1" s="7" t="s">
        <v>13447</v>
      </c>
      <c r="SIQ1" s="7" t="s">
        <v>13448</v>
      </c>
      <c r="SIR1" s="7" t="s">
        <v>13449</v>
      </c>
      <c r="SIS1" s="7" t="s">
        <v>13450</v>
      </c>
      <c r="SIT1" s="7" t="s">
        <v>13451</v>
      </c>
      <c r="SIU1" s="7" t="s">
        <v>13452</v>
      </c>
      <c r="SIV1" s="7" t="s">
        <v>13453</v>
      </c>
      <c r="SIW1" s="7" t="s">
        <v>13454</v>
      </c>
      <c r="SIX1" s="7" t="s">
        <v>13455</v>
      </c>
      <c r="SIY1" s="7" t="s">
        <v>13456</v>
      </c>
      <c r="SIZ1" s="7" t="s">
        <v>13457</v>
      </c>
      <c r="SJA1" s="7" t="s">
        <v>13458</v>
      </c>
      <c r="SJB1" s="7" t="s">
        <v>13459</v>
      </c>
      <c r="SJC1" s="7" t="s">
        <v>13460</v>
      </c>
      <c r="SJD1" s="7" t="s">
        <v>13461</v>
      </c>
      <c r="SJE1" s="7" t="s">
        <v>13462</v>
      </c>
      <c r="SJF1" s="7" t="s">
        <v>13463</v>
      </c>
      <c r="SJG1" s="7" t="s">
        <v>13464</v>
      </c>
      <c r="SJH1" s="7" t="s">
        <v>13465</v>
      </c>
      <c r="SJI1" s="7" t="s">
        <v>13466</v>
      </c>
      <c r="SJJ1" s="7" t="s">
        <v>13467</v>
      </c>
      <c r="SJK1" s="7" t="s">
        <v>13468</v>
      </c>
      <c r="SJL1" s="7" t="s">
        <v>13469</v>
      </c>
      <c r="SJM1" s="7" t="s">
        <v>13470</v>
      </c>
      <c r="SJN1" s="7" t="s">
        <v>13471</v>
      </c>
      <c r="SJO1" s="7" t="s">
        <v>13472</v>
      </c>
      <c r="SJP1" s="7" t="s">
        <v>13473</v>
      </c>
      <c r="SJQ1" s="7" t="s">
        <v>13474</v>
      </c>
      <c r="SJR1" s="7" t="s">
        <v>13475</v>
      </c>
      <c r="SJS1" s="7" t="s">
        <v>13476</v>
      </c>
      <c r="SJT1" s="7" t="s">
        <v>13477</v>
      </c>
      <c r="SJU1" s="7" t="s">
        <v>13478</v>
      </c>
      <c r="SJV1" s="7" t="s">
        <v>13479</v>
      </c>
      <c r="SJW1" s="7" t="s">
        <v>13480</v>
      </c>
      <c r="SJX1" s="7" t="s">
        <v>13481</v>
      </c>
      <c r="SJY1" s="7" t="s">
        <v>13482</v>
      </c>
      <c r="SJZ1" s="7" t="s">
        <v>13483</v>
      </c>
      <c r="SKA1" s="7" t="s">
        <v>13484</v>
      </c>
      <c r="SKB1" s="7" t="s">
        <v>13485</v>
      </c>
      <c r="SKC1" s="7" t="s">
        <v>13486</v>
      </c>
      <c r="SKD1" s="7" t="s">
        <v>13487</v>
      </c>
      <c r="SKE1" s="7" t="s">
        <v>13488</v>
      </c>
      <c r="SKF1" s="7" t="s">
        <v>13489</v>
      </c>
      <c r="SKG1" s="7" t="s">
        <v>13490</v>
      </c>
      <c r="SKH1" s="7" t="s">
        <v>13491</v>
      </c>
      <c r="SKI1" s="7" t="s">
        <v>13492</v>
      </c>
      <c r="SKJ1" s="7" t="s">
        <v>13493</v>
      </c>
      <c r="SKK1" s="7" t="s">
        <v>13494</v>
      </c>
      <c r="SKL1" s="7" t="s">
        <v>13495</v>
      </c>
      <c r="SKM1" s="7" t="s">
        <v>13496</v>
      </c>
      <c r="SKN1" s="7" t="s">
        <v>13497</v>
      </c>
      <c r="SKO1" s="7" t="s">
        <v>13498</v>
      </c>
      <c r="SKP1" s="7" t="s">
        <v>13499</v>
      </c>
      <c r="SKQ1" s="7" t="s">
        <v>13500</v>
      </c>
      <c r="SKR1" s="7" t="s">
        <v>13501</v>
      </c>
      <c r="SKS1" s="7" t="s">
        <v>13502</v>
      </c>
      <c r="SKT1" s="7" t="s">
        <v>13503</v>
      </c>
      <c r="SKU1" s="7" t="s">
        <v>13504</v>
      </c>
      <c r="SKV1" s="7" t="s">
        <v>13505</v>
      </c>
      <c r="SKW1" s="7" t="s">
        <v>13506</v>
      </c>
      <c r="SKX1" s="7" t="s">
        <v>13507</v>
      </c>
      <c r="SKY1" s="7" t="s">
        <v>13508</v>
      </c>
      <c r="SKZ1" s="7" t="s">
        <v>13509</v>
      </c>
      <c r="SLA1" s="7" t="s">
        <v>13510</v>
      </c>
      <c r="SLB1" s="7" t="s">
        <v>13511</v>
      </c>
      <c r="SLC1" s="7" t="s">
        <v>13512</v>
      </c>
      <c r="SLD1" s="7" t="s">
        <v>13513</v>
      </c>
      <c r="SLE1" s="7" t="s">
        <v>13514</v>
      </c>
      <c r="SLF1" s="7" t="s">
        <v>13515</v>
      </c>
      <c r="SLG1" s="7" t="s">
        <v>13516</v>
      </c>
      <c r="SLH1" s="7" t="s">
        <v>13517</v>
      </c>
      <c r="SLI1" s="7" t="s">
        <v>13518</v>
      </c>
      <c r="SLJ1" s="7" t="s">
        <v>13519</v>
      </c>
      <c r="SLK1" s="7" t="s">
        <v>13520</v>
      </c>
      <c r="SLL1" s="7" t="s">
        <v>13521</v>
      </c>
      <c r="SLM1" s="7" t="s">
        <v>13522</v>
      </c>
      <c r="SLN1" s="7" t="s">
        <v>13523</v>
      </c>
      <c r="SLO1" s="7" t="s">
        <v>13524</v>
      </c>
      <c r="SLP1" s="7" t="s">
        <v>13525</v>
      </c>
      <c r="SLQ1" s="7" t="s">
        <v>13526</v>
      </c>
      <c r="SLR1" s="7" t="s">
        <v>13527</v>
      </c>
      <c r="SLS1" s="7" t="s">
        <v>13528</v>
      </c>
      <c r="SLT1" s="7" t="s">
        <v>13529</v>
      </c>
      <c r="SLU1" s="7" t="s">
        <v>13530</v>
      </c>
      <c r="SLV1" s="7" t="s">
        <v>13531</v>
      </c>
      <c r="SLW1" s="7" t="s">
        <v>13532</v>
      </c>
      <c r="SLX1" s="7" t="s">
        <v>13533</v>
      </c>
      <c r="SLY1" s="7" t="s">
        <v>13534</v>
      </c>
      <c r="SLZ1" s="7" t="s">
        <v>13535</v>
      </c>
      <c r="SMA1" s="7" t="s">
        <v>13536</v>
      </c>
      <c r="SMB1" s="7" t="s">
        <v>13537</v>
      </c>
      <c r="SMC1" s="7" t="s">
        <v>13538</v>
      </c>
      <c r="SMD1" s="7" t="s">
        <v>13539</v>
      </c>
      <c r="SME1" s="7" t="s">
        <v>13540</v>
      </c>
      <c r="SMF1" s="7" t="s">
        <v>13541</v>
      </c>
      <c r="SMG1" s="7" t="s">
        <v>13542</v>
      </c>
      <c r="SMH1" s="7" t="s">
        <v>13543</v>
      </c>
      <c r="SMI1" s="7" t="s">
        <v>13544</v>
      </c>
      <c r="SMJ1" s="7" t="s">
        <v>13545</v>
      </c>
      <c r="SMK1" s="7" t="s">
        <v>13546</v>
      </c>
      <c r="SML1" s="7" t="s">
        <v>13547</v>
      </c>
      <c r="SMM1" s="7" t="s">
        <v>13548</v>
      </c>
      <c r="SMN1" s="7" t="s">
        <v>13549</v>
      </c>
      <c r="SMO1" s="7" t="s">
        <v>13550</v>
      </c>
      <c r="SMP1" s="7" t="s">
        <v>13551</v>
      </c>
      <c r="SMQ1" s="7" t="s">
        <v>13552</v>
      </c>
      <c r="SMR1" s="7" t="s">
        <v>13553</v>
      </c>
      <c r="SMS1" s="7" t="s">
        <v>13554</v>
      </c>
      <c r="SMT1" s="7" t="s">
        <v>13555</v>
      </c>
      <c r="SMU1" s="7" t="s">
        <v>13556</v>
      </c>
      <c r="SMV1" s="7" t="s">
        <v>13557</v>
      </c>
      <c r="SMW1" s="7" t="s">
        <v>13558</v>
      </c>
      <c r="SMX1" s="7" t="s">
        <v>13559</v>
      </c>
      <c r="SMY1" s="7" t="s">
        <v>13560</v>
      </c>
      <c r="SMZ1" s="7" t="s">
        <v>13561</v>
      </c>
      <c r="SNA1" s="7" t="s">
        <v>13562</v>
      </c>
      <c r="SNB1" s="7" t="s">
        <v>13563</v>
      </c>
      <c r="SNC1" s="7" t="s">
        <v>13564</v>
      </c>
      <c r="SND1" s="7" t="s">
        <v>13565</v>
      </c>
      <c r="SNE1" s="7" t="s">
        <v>13566</v>
      </c>
      <c r="SNF1" s="7" t="s">
        <v>13567</v>
      </c>
      <c r="SNG1" s="7" t="s">
        <v>13568</v>
      </c>
      <c r="SNH1" s="7" t="s">
        <v>13569</v>
      </c>
      <c r="SNI1" s="7" t="s">
        <v>13570</v>
      </c>
      <c r="SNJ1" s="7" t="s">
        <v>13571</v>
      </c>
      <c r="SNK1" s="7" t="s">
        <v>13572</v>
      </c>
      <c r="SNL1" s="7" t="s">
        <v>13573</v>
      </c>
      <c r="SNM1" s="7" t="s">
        <v>13574</v>
      </c>
      <c r="SNN1" s="7" t="s">
        <v>13575</v>
      </c>
      <c r="SNO1" s="7" t="s">
        <v>13576</v>
      </c>
      <c r="SNP1" s="7" t="s">
        <v>13577</v>
      </c>
      <c r="SNQ1" s="7" t="s">
        <v>13578</v>
      </c>
      <c r="SNR1" s="7" t="s">
        <v>13579</v>
      </c>
      <c r="SNS1" s="7" t="s">
        <v>13580</v>
      </c>
      <c r="SNT1" s="7" t="s">
        <v>13581</v>
      </c>
      <c r="SNU1" s="7" t="s">
        <v>13582</v>
      </c>
      <c r="SNV1" s="7" t="s">
        <v>13583</v>
      </c>
      <c r="SNW1" s="7" t="s">
        <v>13584</v>
      </c>
      <c r="SNX1" s="7" t="s">
        <v>13585</v>
      </c>
      <c r="SNY1" s="7" t="s">
        <v>13586</v>
      </c>
      <c r="SNZ1" s="7" t="s">
        <v>13587</v>
      </c>
      <c r="SOA1" s="7" t="s">
        <v>13588</v>
      </c>
      <c r="SOB1" s="7" t="s">
        <v>13589</v>
      </c>
      <c r="SOC1" s="7" t="s">
        <v>13590</v>
      </c>
      <c r="SOD1" s="7" t="s">
        <v>13591</v>
      </c>
      <c r="SOE1" s="7" t="s">
        <v>13592</v>
      </c>
      <c r="SOF1" s="7" t="s">
        <v>13593</v>
      </c>
      <c r="SOG1" s="7" t="s">
        <v>13594</v>
      </c>
      <c r="SOH1" s="7" t="s">
        <v>13595</v>
      </c>
      <c r="SOI1" s="7" t="s">
        <v>13596</v>
      </c>
      <c r="SOJ1" s="7" t="s">
        <v>13597</v>
      </c>
      <c r="SOK1" s="7" t="s">
        <v>13598</v>
      </c>
      <c r="SOL1" s="7" t="s">
        <v>13599</v>
      </c>
      <c r="SOM1" s="7" t="s">
        <v>13600</v>
      </c>
      <c r="SON1" s="7" t="s">
        <v>13601</v>
      </c>
      <c r="SOO1" s="7" t="s">
        <v>13602</v>
      </c>
      <c r="SOP1" s="7" t="s">
        <v>13603</v>
      </c>
      <c r="SOQ1" s="7" t="s">
        <v>13604</v>
      </c>
      <c r="SOR1" s="7" t="s">
        <v>13605</v>
      </c>
      <c r="SOS1" s="7" t="s">
        <v>13606</v>
      </c>
      <c r="SOT1" s="7" t="s">
        <v>13607</v>
      </c>
      <c r="SOU1" s="7" t="s">
        <v>13608</v>
      </c>
      <c r="SOV1" s="7" t="s">
        <v>13609</v>
      </c>
      <c r="SOW1" s="7" t="s">
        <v>13610</v>
      </c>
      <c r="SOX1" s="7" t="s">
        <v>13611</v>
      </c>
      <c r="SOY1" s="7" t="s">
        <v>13612</v>
      </c>
      <c r="SOZ1" s="7" t="s">
        <v>13613</v>
      </c>
      <c r="SPA1" s="7" t="s">
        <v>13614</v>
      </c>
      <c r="SPB1" s="7" t="s">
        <v>13615</v>
      </c>
      <c r="SPC1" s="7" t="s">
        <v>13616</v>
      </c>
      <c r="SPD1" s="7" t="s">
        <v>13617</v>
      </c>
      <c r="SPE1" s="7" t="s">
        <v>13618</v>
      </c>
      <c r="SPF1" s="7" t="s">
        <v>13619</v>
      </c>
      <c r="SPG1" s="7" t="s">
        <v>13620</v>
      </c>
      <c r="SPH1" s="7" t="s">
        <v>13621</v>
      </c>
      <c r="SPI1" s="7" t="s">
        <v>13622</v>
      </c>
      <c r="SPJ1" s="7" t="s">
        <v>13623</v>
      </c>
      <c r="SPK1" s="7" t="s">
        <v>13624</v>
      </c>
      <c r="SPL1" s="7" t="s">
        <v>13625</v>
      </c>
      <c r="SPM1" s="7" t="s">
        <v>13626</v>
      </c>
      <c r="SPN1" s="7" t="s">
        <v>13627</v>
      </c>
      <c r="SPO1" s="7" t="s">
        <v>13628</v>
      </c>
      <c r="SPP1" s="7" t="s">
        <v>13629</v>
      </c>
      <c r="SPQ1" s="7" t="s">
        <v>13630</v>
      </c>
      <c r="SPR1" s="7" t="s">
        <v>13631</v>
      </c>
      <c r="SPS1" s="7" t="s">
        <v>13632</v>
      </c>
      <c r="SPT1" s="7" t="s">
        <v>13633</v>
      </c>
      <c r="SPU1" s="7" t="s">
        <v>13634</v>
      </c>
      <c r="SPV1" s="7" t="s">
        <v>13635</v>
      </c>
      <c r="SPW1" s="7" t="s">
        <v>13636</v>
      </c>
      <c r="SPX1" s="7" t="s">
        <v>13637</v>
      </c>
      <c r="SPY1" s="7" t="s">
        <v>13638</v>
      </c>
      <c r="SPZ1" s="7" t="s">
        <v>13639</v>
      </c>
      <c r="SQA1" s="7" t="s">
        <v>13640</v>
      </c>
      <c r="SQB1" s="7" t="s">
        <v>13641</v>
      </c>
      <c r="SQC1" s="7" t="s">
        <v>13642</v>
      </c>
      <c r="SQD1" s="7" t="s">
        <v>13643</v>
      </c>
      <c r="SQE1" s="7" t="s">
        <v>13644</v>
      </c>
      <c r="SQF1" s="7" t="s">
        <v>13645</v>
      </c>
      <c r="SQG1" s="7" t="s">
        <v>13646</v>
      </c>
      <c r="SQH1" s="7" t="s">
        <v>13647</v>
      </c>
      <c r="SQI1" s="7" t="s">
        <v>13648</v>
      </c>
      <c r="SQJ1" s="7" t="s">
        <v>13649</v>
      </c>
      <c r="SQK1" s="7" t="s">
        <v>13650</v>
      </c>
      <c r="SQL1" s="7" t="s">
        <v>13651</v>
      </c>
      <c r="SQM1" s="7" t="s">
        <v>13652</v>
      </c>
      <c r="SQN1" s="7" t="s">
        <v>13653</v>
      </c>
      <c r="SQO1" s="7" t="s">
        <v>13654</v>
      </c>
      <c r="SQP1" s="7" t="s">
        <v>13655</v>
      </c>
      <c r="SQQ1" s="7" t="s">
        <v>13656</v>
      </c>
      <c r="SQR1" s="7" t="s">
        <v>13657</v>
      </c>
      <c r="SQS1" s="7" t="s">
        <v>13658</v>
      </c>
      <c r="SQT1" s="7" t="s">
        <v>13659</v>
      </c>
      <c r="SQU1" s="7" t="s">
        <v>13660</v>
      </c>
      <c r="SQV1" s="7" t="s">
        <v>13661</v>
      </c>
      <c r="SQW1" s="7" t="s">
        <v>13662</v>
      </c>
      <c r="SQX1" s="7" t="s">
        <v>13663</v>
      </c>
      <c r="SQY1" s="7" t="s">
        <v>13664</v>
      </c>
      <c r="SQZ1" s="7" t="s">
        <v>13665</v>
      </c>
      <c r="SRA1" s="7" t="s">
        <v>13666</v>
      </c>
      <c r="SRB1" s="7" t="s">
        <v>13667</v>
      </c>
      <c r="SRC1" s="7" t="s">
        <v>13668</v>
      </c>
      <c r="SRD1" s="7" t="s">
        <v>13669</v>
      </c>
      <c r="SRE1" s="7" t="s">
        <v>13670</v>
      </c>
      <c r="SRF1" s="7" t="s">
        <v>13671</v>
      </c>
      <c r="SRG1" s="7" t="s">
        <v>13672</v>
      </c>
      <c r="SRH1" s="7" t="s">
        <v>13673</v>
      </c>
      <c r="SRI1" s="7" t="s">
        <v>13674</v>
      </c>
      <c r="SRJ1" s="7" t="s">
        <v>13675</v>
      </c>
      <c r="SRK1" s="7" t="s">
        <v>13676</v>
      </c>
      <c r="SRL1" s="7" t="s">
        <v>13677</v>
      </c>
      <c r="SRM1" s="7" t="s">
        <v>13678</v>
      </c>
      <c r="SRN1" s="7" t="s">
        <v>13679</v>
      </c>
      <c r="SRO1" s="7" t="s">
        <v>13680</v>
      </c>
      <c r="SRP1" s="7" t="s">
        <v>13681</v>
      </c>
      <c r="SRQ1" s="7" t="s">
        <v>13682</v>
      </c>
      <c r="SRR1" s="7" t="s">
        <v>13683</v>
      </c>
      <c r="SRS1" s="7" t="s">
        <v>13684</v>
      </c>
      <c r="SRT1" s="7" t="s">
        <v>13685</v>
      </c>
      <c r="SRU1" s="7" t="s">
        <v>13686</v>
      </c>
      <c r="SRV1" s="7" t="s">
        <v>13687</v>
      </c>
      <c r="SRW1" s="7" t="s">
        <v>13688</v>
      </c>
      <c r="SRX1" s="7" t="s">
        <v>13689</v>
      </c>
      <c r="SRY1" s="7" t="s">
        <v>13690</v>
      </c>
      <c r="SRZ1" s="7" t="s">
        <v>13691</v>
      </c>
      <c r="SSA1" s="7" t="s">
        <v>13692</v>
      </c>
      <c r="SSB1" s="7" t="s">
        <v>13693</v>
      </c>
      <c r="SSC1" s="7" t="s">
        <v>13694</v>
      </c>
      <c r="SSD1" s="7" t="s">
        <v>13695</v>
      </c>
      <c r="SSE1" s="7" t="s">
        <v>13696</v>
      </c>
      <c r="SSF1" s="7" t="s">
        <v>13697</v>
      </c>
      <c r="SSG1" s="7" t="s">
        <v>13698</v>
      </c>
      <c r="SSH1" s="7" t="s">
        <v>13699</v>
      </c>
      <c r="SSI1" s="7" t="s">
        <v>13700</v>
      </c>
      <c r="SSJ1" s="7" t="s">
        <v>13701</v>
      </c>
      <c r="SSK1" s="7" t="s">
        <v>13702</v>
      </c>
      <c r="SSL1" s="7" t="s">
        <v>13703</v>
      </c>
      <c r="SSM1" s="7" t="s">
        <v>13704</v>
      </c>
      <c r="SSN1" s="7" t="s">
        <v>13705</v>
      </c>
      <c r="SSO1" s="7" t="s">
        <v>13706</v>
      </c>
      <c r="SSP1" s="7" t="s">
        <v>13707</v>
      </c>
      <c r="SSQ1" s="7" t="s">
        <v>13708</v>
      </c>
      <c r="SSR1" s="7" t="s">
        <v>13709</v>
      </c>
      <c r="SSS1" s="7" t="s">
        <v>13710</v>
      </c>
      <c r="SST1" s="7" t="s">
        <v>13711</v>
      </c>
      <c r="SSU1" s="7" t="s">
        <v>13712</v>
      </c>
      <c r="SSV1" s="7" t="s">
        <v>13713</v>
      </c>
      <c r="SSW1" s="7" t="s">
        <v>13714</v>
      </c>
      <c r="SSX1" s="7" t="s">
        <v>13715</v>
      </c>
      <c r="SSY1" s="7" t="s">
        <v>13716</v>
      </c>
      <c r="SSZ1" s="7" t="s">
        <v>13717</v>
      </c>
      <c r="STA1" s="7" t="s">
        <v>13718</v>
      </c>
      <c r="STB1" s="7" t="s">
        <v>13719</v>
      </c>
      <c r="STC1" s="7" t="s">
        <v>13720</v>
      </c>
      <c r="STD1" s="7" t="s">
        <v>13721</v>
      </c>
      <c r="STE1" s="7" t="s">
        <v>13722</v>
      </c>
      <c r="STF1" s="7" t="s">
        <v>13723</v>
      </c>
      <c r="STG1" s="7" t="s">
        <v>13724</v>
      </c>
      <c r="STH1" s="7" t="s">
        <v>13725</v>
      </c>
      <c r="STI1" s="7" t="s">
        <v>13726</v>
      </c>
      <c r="STJ1" s="7" t="s">
        <v>13727</v>
      </c>
      <c r="STK1" s="7" t="s">
        <v>13728</v>
      </c>
      <c r="STL1" s="7" t="s">
        <v>13729</v>
      </c>
      <c r="STM1" s="7" t="s">
        <v>13730</v>
      </c>
      <c r="STN1" s="7" t="s">
        <v>13731</v>
      </c>
      <c r="STO1" s="7" t="s">
        <v>13732</v>
      </c>
      <c r="STP1" s="7" t="s">
        <v>13733</v>
      </c>
      <c r="STQ1" s="7" t="s">
        <v>13734</v>
      </c>
      <c r="STR1" s="7" t="s">
        <v>13735</v>
      </c>
      <c r="STS1" s="7" t="s">
        <v>13736</v>
      </c>
      <c r="STT1" s="7" t="s">
        <v>13737</v>
      </c>
      <c r="STU1" s="7" t="s">
        <v>13738</v>
      </c>
      <c r="STV1" s="7" t="s">
        <v>13739</v>
      </c>
      <c r="STW1" s="7" t="s">
        <v>13740</v>
      </c>
      <c r="STX1" s="7" t="s">
        <v>13741</v>
      </c>
      <c r="STY1" s="7" t="s">
        <v>13742</v>
      </c>
      <c r="STZ1" s="7" t="s">
        <v>13743</v>
      </c>
      <c r="SUA1" s="7" t="s">
        <v>13744</v>
      </c>
      <c r="SUB1" s="7" t="s">
        <v>13745</v>
      </c>
      <c r="SUC1" s="7" t="s">
        <v>13746</v>
      </c>
      <c r="SUD1" s="7" t="s">
        <v>13747</v>
      </c>
      <c r="SUE1" s="7" t="s">
        <v>13748</v>
      </c>
      <c r="SUF1" s="7" t="s">
        <v>13749</v>
      </c>
      <c r="SUG1" s="7" t="s">
        <v>13750</v>
      </c>
      <c r="SUH1" s="7" t="s">
        <v>13751</v>
      </c>
      <c r="SUI1" s="7" t="s">
        <v>13752</v>
      </c>
      <c r="SUJ1" s="7" t="s">
        <v>13753</v>
      </c>
      <c r="SUK1" s="7" t="s">
        <v>13754</v>
      </c>
      <c r="SUL1" s="7" t="s">
        <v>13755</v>
      </c>
      <c r="SUM1" s="7" t="s">
        <v>13756</v>
      </c>
      <c r="SUN1" s="7" t="s">
        <v>13757</v>
      </c>
      <c r="SUO1" s="7" t="s">
        <v>13758</v>
      </c>
      <c r="SUP1" s="7" t="s">
        <v>13759</v>
      </c>
      <c r="SUQ1" s="7" t="s">
        <v>13760</v>
      </c>
      <c r="SUR1" s="7" t="s">
        <v>13761</v>
      </c>
      <c r="SUS1" s="7" t="s">
        <v>13762</v>
      </c>
      <c r="SUT1" s="7" t="s">
        <v>13763</v>
      </c>
      <c r="SUU1" s="7" t="s">
        <v>13764</v>
      </c>
      <c r="SUV1" s="7" t="s">
        <v>13765</v>
      </c>
      <c r="SUW1" s="7" t="s">
        <v>13766</v>
      </c>
      <c r="SUX1" s="7" t="s">
        <v>13767</v>
      </c>
      <c r="SUY1" s="7" t="s">
        <v>13768</v>
      </c>
      <c r="SUZ1" s="7" t="s">
        <v>13769</v>
      </c>
      <c r="SVA1" s="7" t="s">
        <v>13770</v>
      </c>
      <c r="SVB1" s="7" t="s">
        <v>13771</v>
      </c>
      <c r="SVC1" s="7" t="s">
        <v>13772</v>
      </c>
      <c r="SVD1" s="7" t="s">
        <v>13773</v>
      </c>
      <c r="SVE1" s="7" t="s">
        <v>13774</v>
      </c>
      <c r="SVF1" s="7" t="s">
        <v>13775</v>
      </c>
      <c r="SVG1" s="7" t="s">
        <v>13776</v>
      </c>
      <c r="SVH1" s="7" t="s">
        <v>13777</v>
      </c>
      <c r="SVI1" s="7" t="s">
        <v>13778</v>
      </c>
      <c r="SVJ1" s="7" t="s">
        <v>13779</v>
      </c>
      <c r="SVK1" s="7" t="s">
        <v>13780</v>
      </c>
      <c r="SVL1" s="7" t="s">
        <v>13781</v>
      </c>
      <c r="SVM1" s="7" t="s">
        <v>13782</v>
      </c>
      <c r="SVN1" s="7" t="s">
        <v>13783</v>
      </c>
      <c r="SVO1" s="7" t="s">
        <v>13784</v>
      </c>
      <c r="SVP1" s="7" t="s">
        <v>13785</v>
      </c>
      <c r="SVQ1" s="7" t="s">
        <v>13786</v>
      </c>
      <c r="SVR1" s="7" t="s">
        <v>13787</v>
      </c>
      <c r="SVS1" s="7" t="s">
        <v>13788</v>
      </c>
      <c r="SVT1" s="7" t="s">
        <v>13789</v>
      </c>
      <c r="SVU1" s="7" t="s">
        <v>13790</v>
      </c>
      <c r="SVV1" s="7" t="s">
        <v>13791</v>
      </c>
      <c r="SVW1" s="7" t="s">
        <v>13792</v>
      </c>
      <c r="SVX1" s="7" t="s">
        <v>13793</v>
      </c>
      <c r="SVY1" s="7" t="s">
        <v>13794</v>
      </c>
      <c r="SVZ1" s="7" t="s">
        <v>13795</v>
      </c>
      <c r="SWA1" s="7" t="s">
        <v>13796</v>
      </c>
      <c r="SWB1" s="7" t="s">
        <v>13797</v>
      </c>
      <c r="SWC1" s="7" t="s">
        <v>13798</v>
      </c>
      <c r="SWD1" s="7" t="s">
        <v>13799</v>
      </c>
      <c r="SWE1" s="7" t="s">
        <v>13800</v>
      </c>
      <c r="SWF1" s="7" t="s">
        <v>13801</v>
      </c>
      <c r="SWG1" s="7" t="s">
        <v>13802</v>
      </c>
      <c r="SWH1" s="7" t="s">
        <v>13803</v>
      </c>
      <c r="SWI1" s="7" t="s">
        <v>13804</v>
      </c>
      <c r="SWJ1" s="7" t="s">
        <v>13805</v>
      </c>
      <c r="SWK1" s="7" t="s">
        <v>13806</v>
      </c>
      <c r="SWL1" s="7" t="s">
        <v>13807</v>
      </c>
      <c r="SWM1" s="7" t="s">
        <v>13808</v>
      </c>
      <c r="SWN1" s="7" t="s">
        <v>13809</v>
      </c>
      <c r="SWO1" s="7" t="s">
        <v>13810</v>
      </c>
      <c r="SWP1" s="7" t="s">
        <v>13811</v>
      </c>
      <c r="SWQ1" s="7" t="s">
        <v>13812</v>
      </c>
      <c r="SWR1" s="7" t="s">
        <v>13813</v>
      </c>
      <c r="SWS1" s="7" t="s">
        <v>13814</v>
      </c>
      <c r="SWT1" s="7" t="s">
        <v>13815</v>
      </c>
      <c r="SWU1" s="7" t="s">
        <v>13816</v>
      </c>
      <c r="SWV1" s="7" t="s">
        <v>13817</v>
      </c>
      <c r="SWW1" s="7" t="s">
        <v>13818</v>
      </c>
      <c r="SWX1" s="7" t="s">
        <v>13819</v>
      </c>
      <c r="SWY1" s="7" t="s">
        <v>13820</v>
      </c>
      <c r="SWZ1" s="7" t="s">
        <v>13821</v>
      </c>
      <c r="SXA1" s="7" t="s">
        <v>13822</v>
      </c>
      <c r="SXB1" s="7" t="s">
        <v>13823</v>
      </c>
      <c r="SXC1" s="7" t="s">
        <v>13824</v>
      </c>
      <c r="SXD1" s="7" t="s">
        <v>13825</v>
      </c>
      <c r="SXE1" s="7" t="s">
        <v>13826</v>
      </c>
      <c r="SXF1" s="7" t="s">
        <v>13827</v>
      </c>
      <c r="SXG1" s="7" t="s">
        <v>13828</v>
      </c>
      <c r="SXH1" s="7" t="s">
        <v>13829</v>
      </c>
      <c r="SXI1" s="7" t="s">
        <v>13830</v>
      </c>
      <c r="SXJ1" s="7" t="s">
        <v>13831</v>
      </c>
      <c r="SXK1" s="7" t="s">
        <v>13832</v>
      </c>
      <c r="SXL1" s="7" t="s">
        <v>13833</v>
      </c>
      <c r="SXM1" s="7" t="s">
        <v>13834</v>
      </c>
      <c r="SXN1" s="7" t="s">
        <v>13835</v>
      </c>
      <c r="SXO1" s="7" t="s">
        <v>13836</v>
      </c>
      <c r="SXP1" s="7" t="s">
        <v>13837</v>
      </c>
      <c r="SXQ1" s="7" t="s">
        <v>13838</v>
      </c>
      <c r="SXR1" s="7" t="s">
        <v>13839</v>
      </c>
      <c r="SXS1" s="7" t="s">
        <v>13840</v>
      </c>
      <c r="SXT1" s="7" t="s">
        <v>13841</v>
      </c>
      <c r="SXU1" s="7" t="s">
        <v>13842</v>
      </c>
      <c r="SXV1" s="7" t="s">
        <v>13843</v>
      </c>
      <c r="SXW1" s="7" t="s">
        <v>13844</v>
      </c>
      <c r="SXX1" s="7" t="s">
        <v>13845</v>
      </c>
      <c r="SXY1" s="7" t="s">
        <v>13846</v>
      </c>
      <c r="SXZ1" s="7" t="s">
        <v>13847</v>
      </c>
      <c r="SYA1" s="7" t="s">
        <v>13848</v>
      </c>
      <c r="SYB1" s="7" t="s">
        <v>13849</v>
      </c>
      <c r="SYC1" s="7" t="s">
        <v>13850</v>
      </c>
      <c r="SYD1" s="7" t="s">
        <v>13851</v>
      </c>
      <c r="SYE1" s="7" t="s">
        <v>13852</v>
      </c>
      <c r="SYF1" s="7" t="s">
        <v>13853</v>
      </c>
      <c r="SYG1" s="7" t="s">
        <v>13854</v>
      </c>
      <c r="SYH1" s="7" t="s">
        <v>13855</v>
      </c>
      <c r="SYI1" s="7" t="s">
        <v>13856</v>
      </c>
      <c r="SYJ1" s="7" t="s">
        <v>13857</v>
      </c>
      <c r="SYK1" s="7" t="s">
        <v>13858</v>
      </c>
      <c r="SYL1" s="7" t="s">
        <v>13859</v>
      </c>
      <c r="SYM1" s="7" t="s">
        <v>13860</v>
      </c>
      <c r="SYN1" s="7" t="s">
        <v>13861</v>
      </c>
      <c r="SYO1" s="7" t="s">
        <v>13862</v>
      </c>
      <c r="SYP1" s="7" t="s">
        <v>13863</v>
      </c>
      <c r="SYQ1" s="7" t="s">
        <v>13864</v>
      </c>
      <c r="SYR1" s="7" t="s">
        <v>13865</v>
      </c>
      <c r="SYS1" s="7" t="s">
        <v>13866</v>
      </c>
      <c r="SYT1" s="7" t="s">
        <v>13867</v>
      </c>
      <c r="SYU1" s="7" t="s">
        <v>13868</v>
      </c>
      <c r="SYV1" s="7" t="s">
        <v>13869</v>
      </c>
      <c r="SYW1" s="7" t="s">
        <v>13870</v>
      </c>
      <c r="SYX1" s="7" t="s">
        <v>13871</v>
      </c>
      <c r="SYY1" s="7" t="s">
        <v>13872</v>
      </c>
      <c r="SYZ1" s="7" t="s">
        <v>13873</v>
      </c>
      <c r="SZA1" s="7" t="s">
        <v>13874</v>
      </c>
      <c r="SZB1" s="7" t="s">
        <v>13875</v>
      </c>
      <c r="SZC1" s="7" t="s">
        <v>13876</v>
      </c>
      <c r="SZD1" s="7" t="s">
        <v>13877</v>
      </c>
      <c r="SZE1" s="7" t="s">
        <v>13878</v>
      </c>
      <c r="SZF1" s="7" t="s">
        <v>13879</v>
      </c>
      <c r="SZG1" s="7" t="s">
        <v>13880</v>
      </c>
      <c r="SZH1" s="7" t="s">
        <v>13881</v>
      </c>
      <c r="SZI1" s="7" t="s">
        <v>13882</v>
      </c>
      <c r="SZJ1" s="7" t="s">
        <v>13883</v>
      </c>
      <c r="SZK1" s="7" t="s">
        <v>13884</v>
      </c>
      <c r="SZL1" s="7" t="s">
        <v>13885</v>
      </c>
      <c r="SZM1" s="7" t="s">
        <v>13886</v>
      </c>
      <c r="SZN1" s="7" t="s">
        <v>13887</v>
      </c>
      <c r="SZO1" s="7" t="s">
        <v>13888</v>
      </c>
      <c r="SZP1" s="7" t="s">
        <v>13889</v>
      </c>
      <c r="SZQ1" s="7" t="s">
        <v>13890</v>
      </c>
      <c r="SZR1" s="7" t="s">
        <v>13891</v>
      </c>
      <c r="SZS1" s="7" t="s">
        <v>13892</v>
      </c>
      <c r="SZT1" s="7" t="s">
        <v>13893</v>
      </c>
      <c r="SZU1" s="7" t="s">
        <v>13894</v>
      </c>
      <c r="SZV1" s="7" t="s">
        <v>13895</v>
      </c>
      <c r="SZW1" s="7" t="s">
        <v>13896</v>
      </c>
      <c r="SZX1" s="7" t="s">
        <v>13897</v>
      </c>
      <c r="SZY1" s="7" t="s">
        <v>13898</v>
      </c>
      <c r="SZZ1" s="7" t="s">
        <v>13899</v>
      </c>
      <c r="TAA1" s="7" t="s">
        <v>13900</v>
      </c>
      <c r="TAB1" s="7" t="s">
        <v>13901</v>
      </c>
      <c r="TAC1" s="7" t="s">
        <v>13902</v>
      </c>
      <c r="TAD1" s="7" t="s">
        <v>13903</v>
      </c>
      <c r="TAE1" s="7" t="s">
        <v>13904</v>
      </c>
      <c r="TAF1" s="7" t="s">
        <v>13905</v>
      </c>
      <c r="TAG1" s="7" t="s">
        <v>13906</v>
      </c>
      <c r="TAH1" s="7" t="s">
        <v>13907</v>
      </c>
      <c r="TAI1" s="7" t="s">
        <v>13908</v>
      </c>
      <c r="TAJ1" s="7" t="s">
        <v>13909</v>
      </c>
      <c r="TAK1" s="7" t="s">
        <v>13910</v>
      </c>
      <c r="TAL1" s="7" t="s">
        <v>13911</v>
      </c>
      <c r="TAM1" s="7" t="s">
        <v>13912</v>
      </c>
      <c r="TAN1" s="7" t="s">
        <v>13913</v>
      </c>
      <c r="TAO1" s="7" t="s">
        <v>13914</v>
      </c>
      <c r="TAP1" s="7" t="s">
        <v>13915</v>
      </c>
      <c r="TAQ1" s="7" t="s">
        <v>13916</v>
      </c>
      <c r="TAR1" s="7" t="s">
        <v>13917</v>
      </c>
      <c r="TAS1" s="7" t="s">
        <v>13918</v>
      </c>
      <c r="TAT1" s="7" t="s">
        <v>13919</v>
      </c>
      <c r="TAU1" s="7" t="s">
        <v>13920</v>
      </c>
      <c r="TAV1" s="7" t="s">
        <v>13921</v>
      </c>
      <c r="TAW1" s="7" t="s">
        <v>13922</v>
      </c>
      <c r="TAX1" s="7" t="s">
        <v>13923</v>
      </c>
      <c r="TAY1" s="7" t="s">
        <v>13924</v>
      </c>
      <c r="TAZ1" s="7" t="s">
        <v>13925</v>
      </c>
      <c r="TBA1" s="7" t="s">
        <v>13926</v>
      </c>
      <c r="TBB1" s="7" t="s">
        <v>13927</v>
      </c>
      <c r="TBC1" s="7" t="s">
        <v>13928</v>
      </c>
      <c r="TBD1" s="7" t="s">
        <v>13929</v>
      </c>
      <c r="TBE1" s="7" t="s">
        <v>13930</v>
      </c>
      <c r="TBF1" s="7" t="s">
        <v>13931</v>
      </c>
      <c r="TBG1" s="7" t="s">
        <v>13932</v>
      </c>
      <c r="TBH1" s="7" t="s">
        <v>13933</v>
      </c>
      <c r="TBI1" s="7" t="s">
        <v>13934</v>
      </c>
      <c r="TBJ1" s="7" t="s">
        <v>13935</v>
      </c>
      <c r="TBK1" s="7" t="s">
        <v>13936</v>
      </c>
      <c r="TBL1" s="7" t="s">
        <v>13937</v>
      </c>
      <c r="TBM1" s="7" t="s">
        <v>13938</v>
      </c>
      <c r="TBN1" s="7" t="s">
        <v>13939</v>
      </c>
      <c r="TBO1" s="7" t="s">
        <v>13940</v>
      </c>
      <c r="TBP1" s="7" t="s">
        <v>13941</v>
      </c>
      <c r="TBQ1" s="7" t="s">
        <v>13942</v>
      </c>
      <c r="TBR1" s="7" t="s">
        <v>13943</v>
      </c>
      <c r="TBS1" s="7" t="s">
        <v>13944</v>
      </c>
      <c r="TBT1" s="7" t="s">
        <v>13945</v>
      </c>
      <c r="TBU1" s="7" t="s">
        <v>13946</v>
      </c>
      <c r="TBV1" s="7" t="s">
        <v>13947</v>
      </c>
      <c r="TBW1" s="7" t="s">
        <v>13948</v>
      </c>
      <c r="TBX1" s="7" t="s">
        <v>13949</v>
      </c>
      <c r="TBY1" s="7" t="s">
        <v>13950</v>
      </c>
      <c r="TBZ1" s="7" t="s">
        <v>13951</v>
      </c>
      <c r="TCA1" s="7" t="s">
        <v>13952</v>
      </c>
      <c r="TCB1" s="7" t="s">
        <v>13953</v>
      </c>
      <c r="TCC1" s="7" t="s">
        <v>13954</v>
      </c>
      <c r="TCD1" s="7" t="s">
        <v>13955</v>
      </c>
      <c r="TCE1" s="7" t="s">
        <v>13956</v>
      </c>
      <c r="TCF1" s="7" t="s">
        <v>13957</v>
      </c>
      <c r="TCG1" s="7" t="s">
        <v>13958</v>
      </c>
      <c r="TCH1" s="7" t="s">
        <v>13959</v>
      </c>
      <c r="TCI1" s="7" t="s">
        <v>13960</v>
      </c>
      <c r="TCJ1" s="7" t="s">
        <v>13961</v>
      </c>
      <c r="TCK1" s="7" t="s">
        <v>13962</v>
      </c>
      <c r="TCL1" s="7" t="s">
        <v>13963</v>
      </c>
      <c r="TCM1" s="7" t="s">
        <v>13964</v>
      </c>
      <c r="TCN1" s="7" t="s">
        <v>13965</v>
      </c>
      <c r="TCO1" s="7" t="s">
        <v>13966</v>
      </c>
      <c r="TCP1" s="7" t="s">
        <v>13967</v>
      </c>
      <c r="TCQ1" s="7" t="s">
        <v>13968</v>
      </c>
      <c r="TCR1" s="7" t="s">
        <v>13969</v>
      </c>
      <c r="TCS1" s="7" t="s">
        <v>13970</v>
      </c>
      <c r="TCT1" s="7" t="s">
        <v>13971</v>
      </c>
      <c r="TCU1" s="7" t="s">
        <v>13972</v>
      </c>
      <c r="TCV1" s="7" t="s">
        <v>13973</v>
      </c>
      <c r="TCW1" s="7" t="s">
        <v>13974</v>
      </c>
      <c r="TCX1" s="7" t="s">
        <v>13975</v>
      </c>
      <c r="TCY1" s="7" t="s">
        <v>13976</v>
      </c>
      <c r="TCZ1" s="7" t="s">
        <v>13977</v>
      </c>
      <c r="TDA1" s="7" t="s">
        <v>13978</v>
      </c>
      <c r="TDB1" s="7" t="s">
        <v>13979</v>
      </c>
      <c r="TDC1" s="7" t="s">
        <v>13980</v>
      </c>
      <c r="TDD1" s="7" t="s">
        <v>13981</v>
      </c>
      <c r="TDE1" s="7" t="s">
        <v>13982</v>
      </c>
      <c r="TDF1" s="7" t="s">
        <v>13983</v>
      </c>
      <c r="TDG1" s="7" t="s">
        <v>13984</v>
      </c>
      <c r="TDH1" s="7" t="s">
        <v>13985</v>
      </c>
      <c r="TDI1" s="7" t="s">
        <v>13986</v>
      </c>
      <c r="TDJ1" s="7" t="s">
        <v>13987</v>
      </c>
      <c r="TDK1" s="7" t="s">
        <v>13988</v>
      </c>
      <c r="TDL1" s="7" t="s">
        <v>13989</v>
      </c>
      <c r="TDM1" s="7" t="s">
        <v>13990</v>
      </c>
      <c r="TDN1" s="7" t="s">
        <v>13991</v>
      </c>
      <c r="TDO1" s="7" t="s">
        <v>13992</v>
      </c>
      <c r="TDP1" s="7" t="s">
        <v>13993</v>
      </c>
      <c r="TDQ1" s="7" t="s">
        <v>13994</v>
      </c>
      <c r="TDR1" s="7" t="s">
        <v>13995</v>
      </c>
      <c r="TDS1" s="7" t="s">
        <v>13996</v>
      </c>
      <c r="TDT1" s="7" t="s">
        <v>13997</v>
      </c>
      <c r="TDU1" s="7" t="s">
        <v>13998</v>
      </c>
      <c r="TDV1" s="7" t="s">
        <v>13999</v>
      </c>
      <c r="TDW1" s="7" t="s">
        <v>14000</v>
      </c>
      <c r="TDX1" s="7" t="s">
        <v>14001</v>
      </c>
      <c r="TDY1" s="7" t="s">
        <v>14002</v>
      </c>
      <c r="TDZ1" s="7" t="s">
        <v>14003</v>
      </c>
      <c r="TEA1" s="7" t="s">
        <v>14004</v>
      </c>
      <c r="TEB1" s="7" t="s">
        <v>14005</v>
      </c>
      <c r="TEC1" s="7" t="s">
        <v>14006</v>
      </c>
      <c r="TED1" s="7" t="s">
        <v>14007</v>
      </c>
      <c r="TEE1" s="7" t="s">
        <v>14008</v>
      </c>
      <c r="TEF1" s="7" t="s">
        <v>14009</v>
      </c>
      <c r="TEG1" s="7" t="s">
        <v>14010</v>
      </c>
      <c r="TEH1" s="7" t="s">
        <v>14011</v>
      </c>
      <c r="TEI1" s="7" t="s">
        <v>14012</v>
      </c>
      <c r="TEJ1" s="7" t="s">
        <v>14013</v>
      </c>
      <c r="TEK1" s="7" t="s">
        <v>14014</v>
      </c>
      <c r="TEL1" s="7" t="s">
        <v>14015</v>
      </c>
      <c r="TEM1" s="7" t="s">
        <v>14016</v>
      </c>
      <c r="TEN1" s="7" t="s">
        <v>14017</v>
      </c>
      <c r="TEO1" s="7" t="s">
        <v>14018</v>
      </c>
      <c r="TEP1" s="7" t="s">
        <v>14019</v>
      </c>
      <c r="TEQ1" s="7" t="s">
        <v>14020</v>
      </c>
      <c r="TER1" s="7" t="s">
        <v>14021</v>
      </c>
      <c r="TES1" s="7" t="s">
        <v>14022</v>
      </c>
      <c r="TET1" s="7" t="s">
        <v>14023</v>
      </c>
      <c r="TEU1" s="7" t="s">
        <v>14024</v>
      </c>
      <c r="TEV1" s="7" t="s">
        <v>14025</v>
      </c>
      <c r="TEW1" s="7" t="s">
        <v>14026</v>
      </c>
      <c r="TEX1" s="7" t="s">
        <v>14027</v>
      </c>
      <c r="TEY1" s="7" t="s">
        <v>14028</v>
      </c>
      <c r="TEZ1" s="7" t="s">
        <v>14029</v>
      </c>
      <c r="TFA1" s="7" t="s">
        <v>14030</v>
      </c>
      <c r="TFB1" s="7" t="s">
        <v>14031</v>
      </c>
      <c r="TFC1" s="7" t="s">
        <v>14032</v>
      </c>
      <c r="TFD1" s="7" t="s">
        <v>14033</v>
      </c>
      <c r="TFE1" s="7" t="s">
        <v>14034</v>
      </c>
      <c r="TFF1" s="7" t="s">
        <v>14035</v>
      </c>
      <c r="TFG1" s="7" t="s">
        <v>14036</v>
      </c>
      <c r="TFH1" s="7" t="s">
        <v>14037</v>
      </c>
      <c r="TFI1" s="7" t="s">
        <v>14038</v>
      </c>
      <c r="TFJ1" s="7" t="s">
        <v>14039</v>
      </c>
      <c r="TFK1" s="7" t="s">
        <v>14040</v>
      </c>
      <c r="TFL1" s="7" t="s">
        <v>14041</v>
      </c>
      <c r="TFM1" s="7" t="s">
        <v>14042</v>
      </c>
      <c r="TFN1" s="7" t="s">
        <v>14043</v>
      </c>
      <c r="TFO1" s="7" t="s">
        <v>14044</v>
      </c>
      <c r="TFP1" s="7" t="s">
        <v>14045</v>
      </c>
      <c r="TFQ1" s="7" t="s">
        <v>14046</v>
      </c>
      <c r="TFR1" s="7" t="s">
        <v>14047</v>
      </c>
      <c r="TFS1" s="7" t="s">
        <v>14048</v>
      </c>
      <c r="TFT1" s="7" t="s">
        <v>14049</v>
      </c>
      <c r="TFU1" s="7" t="s">
        <v>14050</v>
      </c>
      <c r="TFV1" s="7" t="s">
        <v>14051</v>
      </c>
      <c r="TFW1" s="7" t="s">
        <v>14052</v>
      </c>
      <c r="TFX1" s="7" t="s">
        <v>14053</v>
      </c>
      <c r="TFY1" s="7" t="s">
        <v>14054</v>
      </c>
      <c r="TFZ1" s="7" t="s">
        <v>14055</v>
      </c>
      <c r="TGA1" s="7" t="s">
        <v>14056</v>
      </c>
      <c r="TGB1" s="7" t="s">
        <v>14057</v>
      </c>
      <c r="TGC1" s="7" t="s">
        <v>14058</v>
      </c>
      <c r="TGD1" s="7" t="s">
        <v>14059</v>
      </c>
      <c r="TGE1" s="7" t="s">
        <v>14060</v>
      </c>
      <c r="TGF1" s="7" t="s">
        <v>14061</v>
      </c>
      <c r="TGG1" s="7" t="s">
        <v>14062</v>
      </c>
      <c r="TGH1" s="7" t="s">
        <v>14063</v>
      </c>
      <c r="TGI1" s="7" t="s">
        <v>14064</v>
      </c>
      <c r="TGJ1" s="7" t="s">
        <v>14065</v>
      </c>
      <c r="TGK1" s="7" t="s">
        <v>14066</v>
      </c>
      <c r="TGL1" s="7" t="s">
        <v>14067</v>
      </c>
      <c r="TGM1" s="7" t="s">
        <v>14068</v>
      </c>
      <c r="TGN1" s="7" t="s">
        <v>14069</v>
      </c>
      <c r="TGO1" s="7" t="s">
        <v>14070</v>
      </c>
      <c r="TGP1" s="7" t="s">
        <v>14071</v>
      </c>
      <c r="TGQ1" s="7" t="s">
        <v>14072</v>
      </c>
      <c r="TGR1" s="7" t="s">
        <v>14073</v>
      </c>
      <c r="TGS1" s="7" t="s">
        <v>14074</v>
      </c>
      <c r="TGT1" s="7" t="s">
        <v>14075</v>
      </c>
      <c r="TGU1" s="7" t="s">
        <v>14076</v>
      </c>
      <c r="TGV1" s="7" t="s">
        <v>14077</v>
      </c>
      <c r="TGW1" s="7" t="s">
        <v>14078</v>
      </c>
      <c r="TGX1" s="7" t="s">
        <v>14079</v>
      </c>
      <c r="TGY1" s="7" t="s">
        <v>14080</v>
      </c>
      <c r="TGZ1" s="7" t="s">
        <v>14081</v>
      </c>
      <c r="THA1" s="7" t="s">
        <v>14082</v>
      </c>
      <c r="THB1" s="7" t="s">
        <v>14083</v>
      </c>
      <c r="THC1" s="7" t="s">
        <v>14084</v>
      </c>
      <c r="THD1" s="7" t="s">
        <v>14085</v>
      </c>
      <c r="THE1" s="7" t="s">
        <v>14086</v>
      </c>
      <c r="THF1" s="7" t="s">
        <v>14087</v>
      </c>
      <c r="THG1" s="7" t="s">
        <v>14088</v>
      </c>
      <c r="THH1" s="7" t="s">
        <v>14089</v>
      </c>
      <c r="THI1" s="7" t="s">
        <v>14090</v>
      </c>
      <c r="THJ1" s="7" t="s">
        <v>14091</v>
      </c>
      <c r="THK1" s="7" t="s">
        <v>14092</v>
      </c>
      <c r="THL1" s="7" t="s">
        <v>14093</v>
      </c>
      <c r="THM1" s="7" t="s">
        <v>14094</v>
      </c>
      <c r="THN1" s="7" t="s">
        <v>14095</v>
      </c>
      <c r="THO1" s="7" t="s">
        <v>14096</v>
      </c>
      <c r="THP1" s="7" t="s">
        <v>14097</v>
      </c>
      <c r="THQ1" s="7" t="s">
        <v>14098</v>
      </c>
      <c r="THR1" s="7" t="s">
        <v>14099</v>
      </c>
      <c r="THS1" s="7" t="s">
        <v>14100</v>
      </c>
      <c r="THT1" s="7" t="s">
        <v>14101</v>
      </c>
      <c r="THU1" s="7" t="s">
        <v>14102</v>
      </c>
      <c r="THV1" s="7" t="s">
        <v>14103</v>
      </c>
      <c r="THW1" s="7" t="s">
        <v>14104</v>
      </c>
      <c r="THX1" s="7" t="s">
        <v>14105</v>
      </c>
      <c r="THY1" s="7" t="s">
        <v>14106</v>
      </c>
      <c r="THZ1" s="7" t="s">
        <v>14107</v>
      </c>
      <c r="TIA1" s="7" t="s">
        <v>14108</v>
      </c>
      <c r="TIB1" s="7" t="s">
        <v>14109</v>
      </c>
      <c r="TIC1" s="7" t="s">
        <v>14110</v>
      </c>
      <c r="TID1" s="7" t="s">
        <v>14111</v>
      </c>
      <c r="TIE1" s="7" t="s">
        <v>14112</v>
      </c>
      <c r="TIF1" s="7" t="s">
        <v>14113</v>
      </c>
      <c r="TIG1" s="7" t="s">
        <v>14114</v>
      </c>
      <c r="TIH1" s="7" t="s">
        <v>14115</v>
      </c>
      <c r="TII1" s="7" t="s">
        <v>14116</v>
      </c>
      <c r="TIJ1" s="7" t="s">
        <v>14117</v>
      </c>
      <c r="TIK1" s="7" t="s">
        <v>14118</v>
      </c>
      <c r="TIL1" s="7" t="s">
        <v>14119</v>
      </c>
      <c r="TIM1" s="7" t="s">
        <v>14120</v>
      </c>
      <c r="TIN1" s="7" t="s">
        <v>14121</v>
      </c>
      <c r="TIO1" s="7" t="s">
        <v>14122</v>
      </c>
      <c r="TIP1" s="7" t="s">
        <v>14123</v>
      </c>
      <c r="TIQ1" s="7" t="s">
        <v>14124</v>
      </c>
      <c r="TIR1" s="7" t="s">
        <v>14125</v>
      </c>
      <c r="TIS1" s="7" t="s">
        <v>14126</v>
      </c>
      <c r="TIT1" s="7" t="s">
        <v>14127</v>
      </c>
      <c r="TIU1" s="7" t="s">
        <v>14128</v>
      </c>
      <c r="TIV1" s="7" t="s">
        <v>14129</v>
      </c>
      <c r="TIW1" s="7" t="s">
        <v>14130</v>
      </c>
      <c r="TIX1" s="7" t="s">
        <v>14131</v>
      </c>
      <c r="TIY1" s="7" t="s">
        <v>14132</v>
      </c>
      <c r="TIZ1" s="7" t="s">
        <v>14133</v>
      </c>
      <c r="TJA1" s="7" t="s">
        <v>14134</v>
      </c>
      <c r="TJB1" s="7" t="s">
        <v>14135</v>
      </c>
      <c r="TJC1" s="7" t="s">
        <v>14136</v>
      </c>
      <c r="TJD1" s="7" t="s">
        <v>14137</v>
      </c>
      <c r="TJE1" s="7" t="s">
        <v>14138</v>
      </c>
      <c r="TJF1" s="7" t="s">
        <v>14139</v>
      </c>
      <c r="TJG1" s="7" t="s">
        <v>14140</v>
      </c>
      <c r="TJH1" s="7" t="s">
        <v>14141</v>
      </c>
      <c r="TJI1" s="7" t="s">
        <v>14142</v>
      </c>
      <c r="TJJ1" s="7" t="s">
        <v>14143</v>
      </c>
      <c r="TJK1" s="7" t="s">
        <v>14144</v>
      </c>
      <c r="TJL1" s="7" t="s">
        <v>14145</v>
      </c>
      <c r="TJM1" s="7" t="s">
        <v>14146</v>
      </c>
      <c r="TJN1" s="7" t="s">
        <v>14147</v>
      </c>
      <c r="TJO1" s="7" t="s">
        <v>14148</v>
      </c>
      <c r="TJP1" s="7" t="s">
        <v>14149</v>
      </c>
      <c r="TJQ1" s="7" t="s">
        <v>14150</v>
      </c>
      <c r="TJR1" s="7" t="s">
        <v>14151</v>
      </c>
      <c r="TJS1" s="7" t="s">
        <v>14152</v>
      </c>
      <c r="TJT1" s="7" t="s">
        <v>14153</v>
      </c>
      <c r="TJU1" s="7" t="s">
        <v>14154</v>
      </c>
      <c r="TJV1" s="7" t="s">
        <v>14155</v>
      </c>
      <c r="TJW1" s="7" t="s">
        <v>14156</v>
      </c>
      <c r="TJX1" s="7" t="s">
        <v>14157</v>
      </c>
      <c r="TJY1" s="7" t="s">
        <v>14158</v>
      </c>
      <c r="TJZ1" s="7" t="s">
        <v>14159</v>
      </c>
      <c r="TKA1" s="7" t="s">
        <v>14160</v>
      </c>
      <c r="TKB1" s="7" t="s">
        <v>14161</v>
      </c>
      <c r="TKC1" s="7" t="s">
        <v>14162</v>
      </c>
      <c r="TKD1" s="7" t="s">
        <v>14163</v>
      </c>
      <c r="TKE1" s="7" t="s">
        <v>14164</v>
      </c>
      <c r="TKF1" s="7" t="s">
        <v>14165</v>
      </c>
      <c r="TKG1" s="7" t="s">
        <v>14166</v>
      </c>
      <c r="TKH1" s="7" t="s">
        <v>14167</v>
      </c>
      <c r="TKI1" s="7" t="s">
        <v>14168</v>
      </c>
      <c r="TKJ1" s="7" t="s">
        <v>14169</v>
      </c>
      <c r="TKK1" s="7" t="s">
        <v>14170</v>
      </c>
      <c r="TKL1" s="7" t="s">
        <v>14171</v>
      </c>
      <c r="TKM1" s="7" t="s">
        <v>14172</v>
      </c>
      <c r="TKN1" s="7" t="s">
        <v>14173</v>
      </c>
      <c r="TKO1" s="7" t="s">
        <v>14174</v>
      </c>
      <c r="TKP1" s="7" t="s">
        <v>14175</v>
      </c>
      <c r="TKQ1" s="7" t="s">
        <v>14176</v>
      </c>
      <c r="TKR1" s="7" t="s">
        <v>14177</v>
      </c>
      <c r="TKS1" s="7" t="s">
        <v>14178</v>
      </c>
      <c r="TKT1" s="7" t="s">
        <v>14179</v>
      </c>
      <c r="TKU1" s="7" t="s">
        <v>14180</v>
      </c>
      <c r="TKV1" s="7" t="s">
        <v>14181</v>
      </c>
      <c r="TKW1" s="7" t="s">
        <v>14182</v>
      </c>
      <c r="TKX1" s="7" t="s">
        <v>14183</v>
      </c>
      <c r="TKY1" s="7" t="s">
        <v>14184</v>
      </c>
      <c r="TKZ1" s="7" t="s">
        <v>14185</v>
      </c>
      <c r="TLA1" s="7" t="s">
        <v>14186</v>
      </c>
      <c r="TLB1" s="7" t="s">
        <v>14187</v>
      </c>
      <c r="TLC1" s="7" t="s">
        <v>14188</v>
      </c>
      <c r="TLD1" s="7" t="s">
        <v>14189</v>
      </c>
      <c r="TLE1" s="7" t="s">
        <v>14190</v>
      </c>
      <c r="TLF1" s="7" t="s">
        <v>14191</v>
      </c>
      <c r="TLG1" s="7" t="s">
        <v>14192</v>
      </c>
      <c r="TLH1" s="7" t="s">
        <v>14193</v>
      </c>
      <c r="TLI1" s="7" t="s">
        <v>14194</v>
      </c>
      <c r="TLJ1" s="7" t="s">
        <v>14195</v>
      </c>
      <c r="TLK1" s="7" t="s">
        <v>14196</v>
      </c>
      <c r="TLL1" s="7" t="s">
        <v>14197</v>
      </c>
      <c r="TLM1" s="7" t="s">
        <v>14198</v>
      </c>
      <c r="TLN1" s="7" t="s">
        <v>14199</v>
      </c>
      <c r="TLO1" s="7" t="s">
        <v>14200</v>
      </c>
      <c r="TLP1" s="7" t="s">
        <v>14201</v>
      </c>
      <c r="TLQ1" s="7" t="s">
        <v>14202</v>
      </c>
      <c r="TLR1" s="7" t="s">
        <v>14203</v>
      </c>
      <c r="TLS1" s="7" t="s">
        <v>14204</v>
      </c>
      <c r="TLT1" s="7" t="s">
        <v>14205</v>
      </c>
      <c r="TLU1" s="7" t="s">
        <v>14206</v>
      </c>
      <c r="TLV1" s="7" t="s">
        <v>14207</v>
      </c>
      <c r="TLW1" s="7" t="s">
        <v>14208</v>
      </c>
      <c r="TLX1" s="7" t="s">
        <v>14209</v>
      </c>
      <c r="TLY1" s="7" t="s">
        <v>14210</v>
      </c>
      <c r="TLZ1" s="7" t="s">
        <v>14211</v>
      </c>
      <c r="TMA1" s="7" t="s">
        <v>14212</v>
      </c>
      <c r="TMB1" s="7" t="s">
        <v>14213</v>
      </c>
      <c r="TMC1" s="7" t="s">
        <v>14214</v>
      </c>
      <c r="TMD1" s="7" t="s">
        <v>14215</v>
      </c>
      <c r="TME1" s="7" t="s">
        <v>14216</v>
      </c>
      <c r="TMF1" s="7" t="s">
        <v>14217</v>
      </c>
      <c r="TMG1" s="7" t="s">
        <v>14218</v>
      </c>
      <c r="TMH1" s="7" t="s">
        <v>14219</v>
      </c>
      <c r="TMI1" s="7" t="s">
        <v>14220</v>
      </c>
      <c r="TMJ1" s="7" t="s">
        <v>14221</v>
      </c>
      <c r="TMK1" s="7" t="s">
        <v>14222</v>
      </c>
      <c r="TML1" s="7" t="s">
        <v>14223</v>
      </c>
      <c r="TMM1" s="7" t="s">
        <v>14224</v>
      </c>
      <c r="TMN1" s="7" t="s">
        <v>14225</v>
      </c>
      <c r="TMO1" s="7" t="s">
        <v>14226</v>
      </c>
      <c r="TMP1" s="7" t="s">
        <v>14227</v>
      </c>
      <c r="TMQ1" s="7" t="s">
        <v>14228</v>
      </c>
      <c r="TMR1" s="7" t="s">
        <v>14229</v>
      </c>
      <c r="TMS1" s="7" t="s">
        <v>14230</v>
      </c>
      <c r="TMT1" s="7" t="s">
        <v>14231</v>
      </c>
      <c r="TMU1" s="7" t="s">
        <v>14232</v>
      </c>
      <c r="TMV1" s="7" t="s">
        <v>14233</v>
      </c>
      <c r="TMW1" s="7" t="s">
        <v>14234</v>
      </c>
      <c r="TMX1" s="7" t="s">
        <v>14235</v>
      </c>
      <c r="TMY1" s="7" t="s">
        <v>14236</v>
      </c>
      <c r="TMZ1" s="7" t="s">
        <v>14237</v>
      </c>
      <c r="TNA1" s="7" t="s">
        <v>14238</v>
      </c>
      <c r="TNB1" s="7" t="s">
        <v>14239</v>
      </c>
      <c r="TNC1" s="7" t="s">
        <v>14240</v>
      </c>
      <c r="TND1" s="7" t="s">
        <v>14241</v>
      </c>
      <c r="TNE1" s="7" t="s">
        <v>14242</v>
      </c>
      <c r="TNF1" s="7" t="s">
        <v>14243</v>
      </c>
      <c r="TNG1" s="7" t="s">
        <v>14244</v>
      </c>
      <c r="TNH1" s="7" t="s">
        <v>14245</v>
      </c>
      <c r="TNI1" s="7" t="s">
        <v>14246</v>
      </c>
      <c r="TNJ1" s="7" t="s">
        <v>14247</v>
      </c>
      <c r="TNK1" s="7" t="s">
        <v>14248</v>
      </c>
      <c r="TNL1" s="7" t="s">
        <v>14249</v>
      </c>
      <c r="TNM1" s="7" t="s">
        <v>14250</v>
      </c>
      <c r="TNN1" s="7" t="s">
        <v>14251</v>
      </c>
      <c r="TNO1" s="7" t="s">
        <v>14252</v>
      </c>
      <c r="TNP1" s="7" t="s">
        <v>14253</v>
      </c>
      <c r="TNQ1" s="7" t="s">
        <v>14254</v>
      </c>
      <c r="TNR1" s="7" t="s">
        <v>14255</v>
      </c>
      <c r="TNS1" s="7" t="s">
        <v>14256</v>
      </c>
      <c r="TNT1" s="7" t="s">
        <v>14257</v>
      </c>
      <c r="TNU1" s="7" t="s">
        <v>14258</v>
      </c>
      <c r="TNV1" s="7" t="s">
        <v>14259</v>
      </c>
      <c r="TNW1" s="7" t="s">
        <v>14260</v>
      </c>
      <c r="TNX1" s="7" t="s">
        <v>14261</v>
      </c>
      <c r="TNY1" s="7" t="s">
        <v>14262</v>
      </c>
      <c r="TNZ1" s="7" t="s">
        <v>14263</v>
      </c>
      <c r="TOA1" s="7" t="s">
        <v>14264</v>
      </c>
      <c r="TOB1" s="7" t="s">
        <v>14265</v>
      </c>
      <c r="TOC1" s="7" t="s">
        <v>14266</v>
      </c>
      <c r="TOD1" s="7" t="s">
        <v>14267</v>
      </c>
      <c r="TOE1" s="7" t="s">
        <v>14268</v>
      </c>
      <c r="TOF1" s="7" t="s">
        <v>14269</v>
      </c>
      <c r="TOG1" s="7" t="s">
        <v>14270</v>
      </c>
      <c r="TOH1" s="7" t="s">
        <v>14271</v>
      </c>
      <c r="TOI1" s="7" t="s">
        <v>14272</v>
      </c>
      <c r="TOJ1" s="7" t="s">
        <v>14273</v>
      </c>
      <c r="TOK1" s="7" t="s">
        <v>14274</v>
      </c>
      <c r="TOL1" s="7" t="s">
        <v>14275</v>
      </c>
      <c r="TOM1" s="7" t="s">
        <v>14276</v>
      </c>
      <c r="TON1" s="7" t="s">
        <v>14277</v>
      </c>
      <c r="TOO1" s="7" t="s">
        <v>14278</v>
      </c>
      <c r="TOP1" s="7" t="s">
        <v>14279</v>
      </c>
      <c r="TOQ1" s="7" t="s">
        <v>14280</v>
      </c>
      <c r="TOR1" s="7" t="s">
        <v>14281</v>
      </c>
      <c r="TOS1" s="7" t="s">
        <v>14282</v>
      </c>
      <c r="TOT1" s="7" t="s">
        <v>14283</v>
      </c>
      <c r="TOU1" s="7" t="s">
        <v>14284</v>
      </c>
      <c r="TOV1" s="7" t="s">
        <v>14285</v>
      </c>
      <c r="TOW1" s="7" t="s">
        <v>14286</v>
      </c>
      <c r="TOX1" s="7" t="s">
        <v>14287</v>
      </c>
      <c r="TOY1" s="7" t="s">
        <v>14288</v>
      </c>
      <c r="TOZ1" s="7" t="s">
        <v>14289</v>
      </c>
      <c r="TPA1" s="7" t="s">
        <v>14290</v>
      </c>
      <c r="TPB1" s="7" t="s">
        <v>14291</v>
      </c>
      <c r="TPC1" s="7" t="s">
        <v>14292</v>
      </c>
      <c r="TPD1" s="7" t="s">
        <v>14293</v>
      </c>
      <c r="TPE1" s="7" t="s">
        <v>14294</v>
      </c>
      <c r="TPF1" s="7" t="s">
        <v>14295</v>
      </c>
      <c r="TPG1" s="7" t="s">
        <v>14296</v>
      </c>
      <c r="TPH1" s="7" t="s">
        <v>14297</v>
      </c>
      <c r="TPI1" s="7" t="s">
        <v>14298</v>
      </c>
      <c r="TPJ1" s="7" t="s">
        <v>14299</v>
      </c>
      <c r="TPK1" s="7" t="s">
        <v>14300</v>
      </c>
      <c r="TPL1" s="7" t="s">
        <v>14301</v>
      </c>
      <c r="TPM1" s="7" t="s">
        <v>14302</v>
      </c>
      <c r="TPN1" s="7" t="s">
        <v>14303</v>
      </c>
      <c r="TPO1" s="7" t="s">
        <v>14304</v>
      </c>
      <c r="TPP1" s="7" t="s">
        <v>14305</v>
      </c>
      <c r="TPQ1" s="7" t="s">
        <v>14306</v>
      </c>
      <c r="TPR1" s="7" t="s">
        <v>14307</v>
      </c>
      <c r="TPS1" s="7" t="s">
        <v>14308</v>
      </c>
      <c r="TPT1" s="7" t="s">
        <v>14309</v>
      </c>
      <c r="TPU1" s="7" t="s">
        <v>14310</v>
      </c>
      <c r="TPV1" s="7" t="s">
        <v>14311</v>
      </c>
      <c r="TPW1" s="7" t="s">
        <v>14312</v>
      </c>
      <c r="TPX1" s="7" t="s">
        <v>14313</v>
      </c>
      <c r="TPY1" s="7" t="s">
        <v>14314</v>
      </c>
      <c r="TPZ1" s="7" t="s">
        <v>14315</v>
      </c>
      <c r="TQA1" s="7" t="s">
        <v>14316</v>
      </c>
      <c r="TQB1" s="7" t="s">
        <v>14317</v>
      </c>
      <c r="TQC1" s="7" t="s">
        <v>14318</v>
      </c>
      <c r="TQD1" s="7" t="s">
        <v>14319</v>
      </c>
      <c r="TQE1" s="7" t="s">
        <v>14320</v>
      </c>
      <c r="TQF1" s="7" t="s">
        <v>14321</v>
      </c>
      <c r="TQG1" s="7" t="s">
        <v>14322</v>
      </c>
      <c r="TQH1" s="7" t="s">
        <v>14323</v>
      </c>
      <c r="TQI1" s="7" t="s">
        <v>14324</v>
      </c>
      <c r="TQJ1" s="7" t="s">
        <v>14325</v>
      </c>
      <c r="TQK1" s="7" t="s">
        <v>14326</v>
      </c>
      <c r="TQL1" s="7" t="s">
        <v>14327</v>
      </c>
      <c r="TQM1" s="7" t="s">
        <v>14328</v>
      </c>
      <c r="TQN1" s="7" t="s">
        <v>14329</v>
      </c>
      <c r="TQO1" s="7" t="s">
        <v>14330</v>
      </c>
      <c r="TQP1" s="7" t="s">
        <v>14331</v>
      </c>
      <c r="TQQ1" s="7" t="s">
        <v>14332</v>
      </c>
      <c r="TQR1" s="7" t="s">
        <v>14333</v>
      </c>
      <c r="TQS1" s="7" t="s">
        <v>14334</v>
      </c>
      <c r="TQT1" s="7" t="s">
        <v>14335</v>
      </c>
      <c r="TQU1" s="7" t="s">
        <v>14336</v>
      </c>
      <c r="TQV1" s="7" t="s">
        <v>14337</v>
      </c>
      <c r="TQW1" s="7" t="s">
        <v>14338</v>
      </c>
      <c r="TQX1" s="7" t="s">
        <v>14339</v>
      </c>
      <c r="TQY1" s="7" t="s">
        <v>14340</v>
      </c>
      <c r="TQZ1" s="7" t="s">
        <v>14341</v>
      </c>
      <c r="TRA1" s="7" t="s">
        <v>14342</v>
      </c>
      <c r="TRB1" s="7" t="s">
        <v>14343</v>
      </c>
      <c r="TRC1" s="7" t="s">
        <v>14344</v>
      </c>
      <c r="TRD1" s="7" t="s">
        <v>14345</v>
      </c>
      <c r="TRE1" s="7" t="s">
        <v>14346</v>
      </c>
      <c r="TRF1" s="7" t="s">
        <v>14347</v>
      </c>
      <c r="TRG1" s="7" t="s">
        <v>14348</v>
      </c>
      <c r="TRH1" s="7" t="s">
        <v>14349</v>
      </c>
      <c r="TRI1" s="7" t="s">
        <v>14350</v>
      </c>
      <c r="TRJ1" s="7" t="s">
        <v>14351</v>
      </c>
      <c r="TRK1" s="7" t="s">
        <v>14352</v>
      </c>
      <c r="TRL1" s="7" t="s">
        <v>14353</v>
      </c>
      <c r="TRM1" s="7" t="s">
        <v>14354</v>
      </c>
      <c r="TRN1" s="7" t="s">
        <v>14355</v>
      </c>
      <c r="TRO1" s="7" t="s">
        <v>14356</v>
      </c>
      <c r="TRP1" s="7" t="s">
        <v>14357</v>
      </c>
      <c r="TRQ1" s="7" t="s">
        <v>14358</v>
      </c>
      <c r="TRR1" s="7" t="s">
        <v>14359</v>
      </c>
      <c r="TRS1" s="7" t="s">
        <v>14360</v>
      </c>
      <c r="TRT1" s="7" t="s">
        <v>14361</v>
      </c>
      <c r="TRU1" s="7" t="s">
        <v>14362</v>
      </c>
      <c r="TRV1" s="7" t="s">
        <v>14363</v>
      </c>
      <c r="TRW1" s="7" t="s">
        <v>14364</v>
      </c>
      <c r="TRX1" s="7" t="s">
        <v>14365</v>
      </c>
      <c r="TRY1" s="7" t="s">
        <v>14366</v>
      </c>
      <c r="TRZ1" s="7" t="s">
        <v>14367</v>
      </c>
      <c r="TSA1" s="7" t="s">
        <v>14368</v>
      </c>
      <c r="TSB1" s="7" t="s">
        <v>14369</v>
      </c>
      <c r="TSC1" s="7" t="s">
        <v>14370</v>
      </c>
      <c r="TSD1" s="7" t="s">
        <v>14371</v>
      </c>
      <c r="TSE1" s="7" t="s">
        <v>14372</v>
      </c>
      <c r="TSF1" s="7" t="s">
        <v>14373</v>
      </c>
      <c r="TSG1" s="7" t="s">
        <v>14374</v>
      </c>
      <c r="TSH1" s="7" t="s">
        <v>14375</v>
      </c>
      <c r="TSI1" s="7" t="s">
        <v>14376</v>
      </c>
      <c r="TSJ1" s="7" t="s">
        <v>14377</v>
      </c>
      <c r="TSK1" s="7" t="s">
        <v>14378</v>
      </c>
      <c r="TSL1" s="7" t="s">
        <v>14379</v>
      </c>
      <c r="TSM1" s="7" t="s">
        <v>14380</v>
      </c>
      <c r="TSN1" s="7" t="s">
        <v>14381</v>
      </c>
      <c r="TSO1" s="7" t="s">
        <v>14382</v>
      </c>
      <c r="TSP1" s="7" t="s">
        <v>14383</v>
      </c>
      <c r="TSQ1" s="7" t="s">
        <v>14384</v>
      </c>
      <c r="TSR1" s="7" t="s">
        <v>14385</v>
      </c>
      <c r="TSS1" s="7" t="s">
        <v>14386</v>
      </c>
      <c r="TST1" s="7" t="s">
        <v>14387</v>
      </c>
      <c r="TSU1" s="7" t="s">
        <v>14388</v>
      </c>
      <c r="TSV1" s="7" t="s">
        <v>14389</v>
      </c>
      <c r="TSW1" s="7" t="s">
        <v>14390</v>
      </c>
      <c r="TSX1" s="7" t="s">
        <v>14391</v>
      </c>
      <c r="TSY1" s="7" t="s">
        <v>14392</v>
      </c>
      <c r="TSZ1" s="7" t="s">
        <v>14393</v>
      </c>
      <c r="TTA1" s="7" t="s">
        <v>14394</v>
      </c>
      <c r="TTB1" s="7" t="s">
        <v>14395</v>
      </c>
      <c r="TTC1" s="7" t="s">
        <v>14396</v>
      </c>
      <c r="TTD1" s="7" t="s">
        <v>14397</v>
      </c>
      <c r="TTE1" s="7" t="s">
        <v>14398</v>
      </c>
      <c r="TTF1" s="7" t="s">
        <v>14399</v>
      </c>
      <c r="TTG1" s="7" t="s">
        <v>14400</v>
      </c>
      <c r="TTH1" s="7" t="s">
        <v>14401</v>
      </c>
      <c r="TTI1" s="7" t="s">
        <v>14402</v>
      </c>
      <c r="TTJ1" s="7" t="s">
        <v>14403</v>
      </c>
      <c r="TTK1" s="7" t="s">
        <v>14404</v>
      </c>
      <c r="TTL1" s="7" t="s">
        <v>14405</v>
      </c>
      <c r="TTM1" s="7" t="s">
        <v>14406</v>
      </c>
      <c r="TTN1" s="7" t="s">
        <v>14407</v>
      </c>
      <c r="TTO1" s="7" t="s">
        <v>14408</v>
      </c>
      <c r="TTP1" s="7" t="s">
        <v>14409</v>
      </c>
      <c r="TTQ1" s="7" t="s">
        <v>14410</v>
      </c>
      <c r="TTR1" s="7" t="s">
        <v>14411</v>
      </c>
      <c r="TTS1" s="7" t="s">
        <v>14412</v>
      </c>
      <c r="TTT1" s="7" t="s">
        <v>14413</v>
      </c>
      <c r="TTU1" s="7" t="s">
        <v>14414</v>
      </c>
      <c r="TTV1" s="7" t="s">
        <v>14415</v>
      </c>
      <c r="TTW1" s="7" t="s">
        <v>14416</v>
      </c>
      <c r="TTX1" s="7" t="s">
        <v>14417</v>
      </c>
      <c r="TTY1" s="7" t="s">
        <v>14418</v>
      </c>
      <c r="TTZ1" s="7" t="s">
        <v>14419</v>
      </c>
      <c r="TUA1" s="7" t="s">
        <v>14420</v>
      </c>
      <c r="TUB1" s="7" t="s">
        <v>14421</v>
      </c>
      <c r="TUC1" s="7" t="s">
        <v>14422</v>
      </c>
      <c r="TUD1" s="7" t="s">
        <v>14423</v>
      </c>
      <c r="TUE1" s="7" t="s">
        <v>14424</v>
      </c>
      <c r="TUF1" s="7" t="s">
        <v>14425</v>
      </c>
      <c r="TUG1" s="7" t="s">
        <v>14426</v>
      </c>
      <c r="TUH1" s="7" t="s">
        <v>14427</v>
      </c>
      <c r="TUI1" s="7" t="s">
        <v>14428</v>
      </c>
      <c r="TUJ1" s="7" t="s">
        <v>14429</v>
      </c>
      <c r="TUK1" s="7" t="s">
        <v>14430</v>
      </c>
      <c r="TUL1" s="7" t="s">
        <v>14431</v>
      </c>
      <c r="TUM1" s="7" t="s">
        <v>14432</v>
      </c>
      <c r="TUN1" s="7" t="s">
        <v>14433</v>
      </c>
      <c r="TUO1" s="7" t="s">
        <v>14434</v>
      </c>
      <c r="TUP1" s="7" t="s">
        <v>14435</v>
      </c>
      <c r="TUQ1" s="7" t="s">
        <v>14436</v>
      </c>
      <c r="TUR1" s="7" t="s">
        <v>14437</v>
      </c>
      <c r="TUS1" s="7" t="s">
        <v>14438</v>
      </c>
      <c r="TUT1" s="7" t="s">
        <v>14439</v>
      </c>
      <c r="TUU1" s="7" t="s">
        <v>14440</v>
      </c>
      <c r="TUV1" s="7" t="s">
        <v>14441</v>
      </c>
      <c r="TUW1" s="7" t="s">
        <v>14442</v>
      </c>
      <c r="TUX1" s="7" t="s">
        <v>14443</v>
      </c>
      <c r="TUY1" s="7" t="s">
        <v>14444</v>
      </c>
      <c r="TUZ1" s="7" t="s">
        <v>14445</v>
      </c>
      <c r="TVA1" s="7" t="s">
        <v>14446</v>
      </c>
      <c r="TVB1" s="7" t="s">
        <v>14447</v>
      </c>
      <c r="TVC1" s="7" t="s">
        <v>14448</v>
      </c>
      <c r="TVD1" s="7" t="s">
        <v>14449</v>
      </c>
      <c r="TVE1" s="7" t="s">
        <v>14450</v>
      </c>
      <c r="TVF1" s="7" t="s">
        <v>14451</v>
      </c>
      <c r="TVG1" s="7" t="s">
        <v>14452</v>
      </c>
      <c r="TVH1" s="7" t="s">
        <v>14453</v>
      </c>
      <c r="TVI1" s="7" t="s">
        <v>14454</v>
      </c>
      <c r="TVJ1" s="7" t="s">
        <v>14455</v>
      </c>
      <c r="TVK1" s="7" t="s">
        <v>14456</v>
      </c>
      <c r="TVL1" s="7" t="s">
        <v>14457</v>
      </c>
      <c r="TVM1" s="7" t="s">
        <v>14458</v>
      </c>
      <c r="TVN1" s="7" t="s">
        <v>14459</v>
      </c>
      <c r="TVO1" s="7" t="s">
        <v>14460</v>
      </c>
      <c r="TVP1" s="7" t="s">
        <v>14461</v>
      </c>
      <c r="TVQ1" s="7" t="s">
        <v>14462</v>
      </c>
      <c r="TVR1" s="7" t="s">
        <v>14463</v>
      </c>
      <c r="TVS1" s="7" t="s">
        <v>14464</v>
      </c>
      <c r="TVT1" s="7" t="s">
        <v>14465</v>
      </c>
      <c r="TVU1" s="7" t="s">
        <v>14466</v>
      </c>
      <c r="TVV1" s="7" t="s">
        <v>14467</v>
      </c>
      <c r="TVW1" s="7" t="s">
        <v>14468</v>
      </c>
      <c r="TVX1" s="7" t="s">
        <v>14469</v>
      </c>
      <c r="TVY1" s="7" t="s">
        <v>14470</v>
      </c>
      <c r="TVZ1" s="7" t="s">
        <v>14471</v>
      </c>
      <c r="TWA1" s="7" t="s">
        <v>14472</v>
      </c>
      <c r="TWB1" s="7" t="s">
        <v>14473</v>
      </c>
      <c r="TWC1" s="7" t="s">
        <v>14474</v>
      </c>
      <c r="TWD1" s="7" t="s">
        <v>14475</v>
      </c>
      <c r="TWE1" s="7" t="s">
        <v>14476</v>
      </c>
      <c r="TWF1" s="7" t="s">
        <v>14477</v>
      </c>
      <c r="TWG1" s="7" t="s">
        <v>14478</v>
      </c>
      <c r="TWH1" s="7" t="s">
        <v>14479</v>
      </c>
      <c r="TWI1" s="7" t="s">
        <v>14480</v>
      </c>
      <c r="TWJ1" s="7" t="s">
        <v>14481</v>
      </c>
      <c r="TWK1" s="7" t="s">
        <v>14482</v>
      </c>
      <c r="TWL1" s="7" t="s">
        <v>14483</v>
      </c>
      <c r="TWM1" s="7" t="s">
        <v>14484</v>
      </c>
      <c r="TWN1" s="7" t="s">
        <v>14485</v>
      </c>
      <c r="TWO1" s="7" t="s">
        <v>14486</v>
      </c>
      <c r="TWP1" s="7" t="s">
        <v>14487</v>
      </c>
      <c r="TWQ1" s="7" t="s">
        <v>14488</v>
      </c>
      <c r="TWR1" s="7" t="s">
        <v>14489</v>
      </c>
      <c r="TWS1" s="7" t="s">
        <v>14490</v>
      </c>
      <c r="TWT1" s="7" t="s">
        <v>14491</v>
      </c>
      <c r="TWU1" s="7" t="s">
        <v>14492</v>
      </c>
      <c r="TWV1" s="7" t="s">
        <v>14493</v>
      </c>
      <c r="TWW1" s="7" t="s">
        <v>14494</v>
      </c>
      <c r="TWX1" s="7" t="s">
        <v>14495</v>
      </c>
      <c r="TWY1" s="7" t="s">
        <v>14496</v>
      </c>
      <c r="TWZ1" s="7" t="s">
        <v>14497</v>
      </c>
      <c r="TXA1" s="7" t="s">
        <v>14498</v>
      </c>
      <c r="TXB1" s="7" t="s">
        <v>14499</v>
      </c>
      <c r="TXC1" s="7" t="s">
        <v>14500</v>
      </c>
      <c r="TXD1" s="7" t="s">
        <v>14501</v>
      </c>
      <c r="TXE1" s="7" t="s">
        <v>14502</v>
      </c>
      <c r="TXF1" s="7" t="s">
        <v>14503</v>
      </c>
      <c r="TXG1" s="7" t="s">
        <v>14504</v>
      </c>
      <c r="TXH1" s="7" t="s">
        <v>14505</v>
      </c>
      <c r="TXI1" s="7" t="s">
        <v>14506</v>
      </c>
      <c r="TXJ1" s="7" t="s">
        <v>14507</v>
      </c>
      <c r="TXK1" s="7" t="s">
        <v>14508</v>
      </c>
      <c r="TXL1" s="7" t="s">
        <v>14509</v>
      </c>
      <c r="TXM1" s="7" t="s">
        <v>14510</v>
      </c>
      <c r="TXN1" s="7" t="s">
        <v>14511</v>
      </c>
      <c r="TXO1" s="7" t="s">
        <v>14512</v>
      </c>
      <c r="TXP1" s="7" t="s">
        <v>14513</v>
      </c>
      <c r="TXQ1" s="7" t="s">
        <v>14514</v>
      </c>
      <c r="TXR1" s="7" t="s">
        <v>14515</v>
      </c>
      <c r="TXS1" s="7" t="s">
        <v>14516</v>
      </c>
      <c r="TXT1" s="7" t="s">
        <v>14517</v>
      </c>
      <c r="TXU1" s="7" t="s">
        <v>14518</v>
      </c>
      <c r="TXV1" s="7" t="s">
        <v>14519</v>
      </c>
      <c r="TXW1" s="7" t="s">
        <v>14520</v>
      </c>
      <c r="TXX1" s="7" t="s">
        <v>14521</v>
      </c>
      <c r="TXY1" s="7" t="s">
        <v>14522</v>
      </c>
      <c r="TXZ1" s="7" t="s">
        <v>14523</v>
      </c>
      <c r="TYA1" s="7" t="s">
        <v>14524</v>
      </c>
      <c r="TYB1" s="7" t="s">
        <v>14525</v>
      </c>
      <c r="TYC1" s="7" t="s">
        <v>14526</v>
      </c>
      <c r="TYD1" s="7" t="s">
        <v>14527</v>
      </c>
      <c r="TYE1" s="7" t="s">
        <v>14528</v>
      </c>
      <c r="TYF1" s="7" t="s">
        <v>14529</v>
      </c>
      <c r="TYG1" s="7" t="s">
        <v>14530</v>
      </c>
      <c r="TYH1" s="7" t="s">
        <v>14531</v>
      </c>
      <c r="TYI1" s="7" t="s">
        <v>14532</v>
      </c>
      <c r="TYJ1" s="7" t="s">
        <v>14533</v>
      </c>
      <c r="TYK1" s="7" t="s">
        <v>14534</v>
      </c>
      <c r="TYL1" s="7" t="s">
        <v>14535</v>
      </c>
      <c r="TYM1" s="7" t="s">
        <v>14536</v>
      </c>
      <c r="TYN1" s="7" t="s">
        <v>14537</v>
      </c>
      <c r="TYO1" s="7" t="s">
        <v>14538</v>
      </c>
      <c r="TYP1" s="7" t="s">
        <v>14539</v>
      </c>
      <c r="TYQ1" s="7" t="s">
        <v>14540</v>
      </c>
      <c r="TYR1" s="7" t="s">
        <v>14541</v>
      </c>
      <c r="TYS1" s="7" t="s">
        <v>14542</v>
      </c>
      <c r="TYT1" s="7" t="s">
        <v>14543</v>
      </c>
      <c r="TYU1" s="7" t="s">
        <v>14544</v>
      </c>
      <c r="TYV1" s="7" t="s">
        <v>14545</v>
      </c>
      <c r="TYW1" s="7" t="s">
        <v>14546</v>
      </c>
      <c r="TYX1" s="7" t="s">
        <v>14547</v>
      </c>
      <c r="TYY1" s="7" t="s">
        <v>14548</v>
      </c>
      <c r="TYZ1" s="7" t="s">
        <v>14549</v>
      </c>
      <c r="TZA1" s="7" t="s">
        <v>14550</v>
      </c>
      <c r="TZB1" s="7" t="s">
        <v>14551</v>
      </c>
      <c r="TZC1" s="7" t="s">
        <v>14552</v>
      </c>
      <c r="TZD1" s="7" t="s">
        <v>14553</v>
      </c>
      <c r="TZE1" s="7" t="s">
        <v>14554</v>
      </c>
      <c r="TZF1" s="7" t="s">
        <v>14555</v>
      </c>
      <c r="TZG1" s="7" t="s">
        <v>14556</v>
      </c>
      <c r="TZH1" s="7" t="s">
        <v>14557</v>
      </c>
      <c r="TZI1" s="7" t="s">
        <v>14558</v>
      </c>
      <c r="TZJ1" s="7" t="s">
        <v>14559</v>
      </c>
      <c r="TZK1" s="7" t="s">
        <v>14560</v>
      </c>
      <c r="TZL1" s="7" t="s">
        <v>14561</v>
      </c>
      <c r="TZM1" s="7" t="s">
        <v>14562</v>
      </c>
      <c r="TZN1" s="7" t="s">
        <v>14563</v>
      </c>
      <c r="TZO1" s="7" t="s">
        <v>14564</v>
      </c>
      <c r="TZP1" s="7" t="s">
        <v>14565</v>
      </c>
      <c r="TZQ1" s="7" t="s">
        <v>14566</v>
      </c>
      <c r="TZR1" s="7" t="s">
        <v>14567</v>
      </c>
      <c r="TZS1" s="7" t="s">
        <v>14568</v>
      </c>
      <c r="TZT1" s="7" t="s">
        <v>14569</v>
      </c>
      <c r="TZU1" s="7" t="s">
        <v>14570</v>
      </c>
      <c r="TZV1" s="7" t="s">
        <v>14571</v>
      </c>
      <c r="TZW1" s="7" t="s">
        <v>14572</v>
      </c>
      <c r="TZX1" s="7" t="s">
        <v>14573</v>
      </c>
      <c r="TZY1" s="7" t="s">
        <v>14574</v>
      </c>
      <c r="TZZ1" s="7" t="s">
        <v>14575</v>
      </c>
      <c r="UAA1" s="7" t="s">
        <v>14576</v>
      </c>
      <c r="UAB1" s="7" t="s">
        <v>14577</v>
      </c>
      <c r="UAC1" s="7" t="s">
        <v>14578</v>
      </c>
      <c r="UAD1" s="7" t="s">
        <v>14579</v>
      </c>
      <c r="UAE1" s="7" t="s">
        <v>14580</v>
      </c>
      <c r="UAF1" s="7" t="s">
        <v>14581</v>
      </c>
      <c r="UAG1" s="7" t="s">
        <v>14582</v>
      </c>
      <c r="UAH1" s="7" t="s">
        <v>14583</v>
      </c>
      <c r="UAI1" s="7" t="s">
        <v>14584</v>
      </c>
      <c r="UAJ1" s="7" t="s">
        <v>14585</v>
      </c>
      <c r="UAK1" s="7" t="s">
        <v>14586</v>
      </c>
      <c r="UAL1" s="7" t="s">
        <v>14587</v>
      </c>
      <c r="UAM1" s="7" t="s">
        <v>14588</v>
      </c>
      <c r="UAN1" s="7" t="s">
        <v>14589</v>
      </c>
      <c r="UAO1" s="7" t="s">
        <v>14590</v>
      </c>
      <c r="UAP1" s="7" t="s">
        <v>14591</v>
      </c>
      <c r="UAQ1" s="7" t="s">
        <v>14592</v>
      </c>
      <c r="UAR1" s="7" t="s">
        <v>14593</v>
      </c>
      <c r="UAS1" s="7" t="s">
        <v>14594</v>
      </c>
      <c r="UAT1" s="7" t="s">
        <v>14595</v>
      </c>
      <c r="UAU1" s="7" t="s">
        <v>14596</v>
      </c>
      <c r="UAV1" s="7" t="s">
        <v>14597</v>
      </c>
      <c r="UAW1" s="7" t="s">
        <v>14598</v>
      </c>
      <c r="UAX1" s="7" t="s">
        <v>14599</v>
      </c>
      <c r="UAY1" s="7" t="s">
        <v>14600</v>
      </c>
      <c r="UAZ1" s="7" t="s">
        <v>14601</v>
      </c>
      <c r="UBA1" s="7" t="s">
        <v>14602</v>
      </c>
      <c r="UBB1" s="7" t="s">
        <v>14603</v>
      </c>
      <c r="UBC1" s="7" t="s">
        <v>14604</v>
      </c>
      <c r="UBD1" s="7" t="s">
        <v>14605</v>
      </c>
      <c r="UBE1" s="7" t="s">
        <v>14606</v>
      </c>
      <c r="UBF1" s="7" t="s">
        <v>14607</v>
      </c>
      <c r="UBG1" s="7" t="s">
        <v>14608</v>
      </c>
      <c r="UBH1" s="7" t="s">
        <v>14609</v>
      </c>
      <c r="UBI1" s="7" t="s">
        <v>14610</v>
      </c>
      <c r="UBJ1" s="7" t="s">
        <v>14611</v>
      </c>
      <c r="UBK1" s="7" t="s">
        <v>14612</v>
      </c>
      <c r="UBL1" s="7" t="s">
        <v>14613</v>
      </c>
      <c r="UBM1" s="7" t="s">
        <v>14614</v>
      </c>
      <c r="UBN1" s="7" t="s">
        <v>14615</v>
      </c>
      <c r="UBO1" s="7" t="s">
        <v>14616</v>
      </c>
      <c r="UBP1" s="7" t="s">
        <v>14617</v>
      </c>
      <c r="UBQ1" s="7" t="s">
        <v>14618</v>
      </c>
      <c r="UBR1" s="7" t="s">
        <v>14619</v>
      </c>
      <c r="UBS1" s="7" t="s">
        <v>14620</v>
      </c>
      <c r="UBT1" s="7" t="s">
        <v>14621</v>
      </c>
      <c r="UBU1" s="7" t="s">
        <v>14622</v>
      </c>
      <c r="UBV1" s="7" t="s">
        <v>14623</v>
      </c>
      <c r="UBW1" s="7" t="s">
        <v>14624</v>
      </c>
      <c r="UBX1" s="7" t="s">
        <v>14625</v>
      </c>
      <c r="UBY1" s="7" t="s">
        <v>14626</v>
      </c>
      <c r="UBZ1" s="7" t="s">
        <v>14627</v>
      </c>
      <c r="UCA1" s="7" t="s">
        <v>14628</v>
      </c>
      <c r="UCB1" s="7" t="s">
        <v>14629</v>
      </c>
      <c r="UCC1" s="7" t="s">
        <v>14630</v>
      </c>
      <c r="UCD1" s="7" t="s">
        <v>14631</v>
      </c>
      <c r="UCE1" s="7" t="s">
        <v>14632</v>
      </c>
      <c r="UCF1" s="7" t="s">
        <v>14633</v>
      </c>
      <c r="UCG1" s="7" t="s">
        <v>14634</v>
      </c>
      <c r="UCH1" s="7" t="s">
        <v>14635</v>
      </c>
      <c r="UCI1" s="7" t="s">
        <v>14636</v>
      </c>
      <c r="UCJ1" s="7" t="s">
        <v>14637</v>
      </c>
      <c r="UCK1" s="7" t="s">
        <v>14638</v>
      </c>
      <c r="UCL1" s="7" t="s">
        <v>14639</v>
      </c>
      <c r="UCM1" s="7" t="s">
        <v>14640</v>
      </c>
      <c r="UCN1" s="7" t="s">
        <v>14641</v>
      </c>
      <c r="UCO1" s="7" t="s">
        <v>14642</v>
      </c>
      <c r="UCP1" s="7" t="s">
        <v>14643</v>
      </c>
      <c r="UCQ1" s="7" t="s">
        <v>14644</v>
      </c>
      <c r="UCR1" s="7" t="s">
        <v>14645</v>
      </c>
      <c r="UCS1" s="7" t="s">
        <v>14646</v>
      </c>
      <c r="UCT1" s="7" t="s">
        <v>14647</v>
      </c>
      <c r="UCU1" s="7" t="s">
        <v>14648</v>
      </c>
      <c r="UCV1" s="7" t="s">
        <v>14649</v>
      </c>
      <c r="UCW1" s="7" t="s">
        <v>14650</v>
      </c>
      <c r="UCX1" s="7" t="s">
        <v>14651</v>
      </c>
      <c r="UCY1" s="7" t="s">
        <v>14652</v>
      </c>
      <c r="UCZ1" s="7" t="s">
        <v>14653</v>
      </c>
      <c r="UDA1" s="7" t="s">
        <v>14654</v>
      </c>
      <c r="UDB1" s="7" t="s">
        <v>14655</v>
      </c>
      <c r="UDC1" s="7" t="s">
        <v>14656</v>
      </c>
      <c r="UDD1" s="7" t="s">
        <v>14657</v>
      </c>
      <c r="UDE1" s="7" t="s">
        <v>14658</v>
      </c>
      <c r="UDF1" s="7" t="s">
        <v>14659</v>
      </c>
      <c r="UDG1" s="7" t="s">
        <v>14660</v>
      </c>
      <c r="UDH1" s="7" t="s">
        <v>14661</v>
      </c>
      <c r="UDI1" s="7" t="s">
        <v>14662</v>
      </c>
      <c r="UDJ1" s="7" t="s">
        <v>14663</v>
      </c>
      <c r="UDK1" s="7" t="s">
        <v>14664</v>
      </c>
      <c r="UDL1" s="7" t="s">
        <v>14665</v>
      </c>
      <c r="UDM1" s="7" t="s">
        <v>14666</v>
      </c>
      <c r="UDN1" s="7" t="s">
        <v>14667</v>
      </c>
      <c r="UDO1" s="7" t="s">
        <v>14668</v>
      </c>
      <c r="UDP1" s="7" t="s">
        <v>14669</v>
      </c>
      <c r="UDQ1" s="7" t="s">
        <v>14670</v>
      </c>
      <c r="UDR1" s="7" t="s">
        <v>14671</v>
      </c>
      <c r="UDS1" s="7" t="s">
        <v>14672</v>
      </c>
      <c r="UDT1" s="7" t="s">
        <v>14673</v>
      </c>
      <c r="UDU1" s="7" t="s">
        <v>14674</v>
      </c>
      <c r="UDV1" s="7" t="s">
        <v>14675</v>
      </c>
      <c r="UDW1" s="7" t="s">
        <v>14676</v>
      </c>
      <c r="UDX1" s="7" t="s">
        <v>14677</v>
      </c>
      <c r="UDY1" s="7" t="s">
        <v>14678</v>
      </c>
      <c r="UDZ1" s="7" t="s">
        <v>14679</v>
      </c>
      <c r="UEA1" s="7" t="s">
        <v>14680</v>
      </c>
      <c r="UEB1" s="7" t="s">
        <v>14681</v>
      </c>
      <c r="UEC1" s="7" t="s">
        <v>14682</v>
      </c>
      <c r="UED1" s="7" t="s">
        <v>14683</v>
      </c>
      <c r="UEE1" s="7" t="s">
        <v>14684</v>
      </c>
      <c r="UEF1" s="7" t="s">
        <v>14685</v>
      </c>
      <c r="UEG1" s="7" t="s">
        <v>14686</v>
      </c>
      <c r="UEH1" s="7" t="s">
        <v>14687</v>
      </c>
      <c r="UEI1" s="7" t="s">
        <v>14688</v>
      </c>
      <c r="UEJ1" s="7" t="s">
        <v>14689</v>
      </c>
      <c r="UEK1" s="7" t="s">
        <v>14690</v>
      </c>
      <c r="UEL1" s="7" t="s">
        <v>14691</v>
      </c>
      <c r="UEM1" s="7" t="s">
        <v>14692</v>
      </c>
      <c r="UEN1" s="7" t="s">
        <v>14693</v>
      </c>
      <c r="UEO1" s="7" t="s">
        <v>14694</v>
      </c>
      <c r="UEP1" s="7" t="s">
        <v>14695</v>
      </c>
      <c r="UEQ1" s="7" t="s">
        <v>14696</v>
      </c>
      <c r="UER1" s="7" t="s">
        <v>14697</v>
      </c>
      <c r="UES1" s="7" t="s">
        <v>14698</v>
      </c>
      <c r="UET1" s="7" t="s">
        <v>14699</v>
      </c>
      <c r="UEU1" s="7" t="s">
        <v>14700</v>
      </c>
      <c r="UEV1" s="7" t="s">
        <v>14701</v>
      </c>
      <c r="UEW1" s="7" t="s">
        <v>14702</v>
      </c>
      <c r="UEX1" s="7" t="s">
        <v>14703</v>
      </c>
      <c r="UEY1" s="7" t="s">
        <v>14704</v>
      </c>
      <c r="UEZ1" s="7" t="s">
        <v>14705</v>
      </c>
      <c r="UFA1" s="7" t="s">
        <v>14706</v>
      </c>
      <c r="UFB1" s="7" t="s">
        <v>14707</v>
      </c>
      <c r="UFC1" s="7" t="s">
        <v>14708</v>
      </c>
      <c r="UFD1" s="7" t="s">
        <v>14709</v>
      </c>
      <c r="UFE1" s="7" t="s">
        <v>14710</v>
      </c>
      <c r="UFF1" s="7" t="s">
        <v>14711</v>
      </c>
      <c r="UFG1" s="7" t="s">
        <v>14712</v>
      </c>
      <c r="UFH1" s="7" t="s">
        <v>14713</v>
      </c>
      <c r="UFI1" s="7" t="s">
        <v>14714</v>
      </c>
      <c r="UFJ1" s="7" t="s">
        <v>14715</v>
      </c>
      <c r="UFK1" s="7" t="s">
        <v>14716</v>
      </c>
      <c r="UFL1" s="7" t="s">
        <v>14717</v>
      </c>
      <c r="UFM1" s="7" t="s">
        <v>14718</v>
      </c>
      <c r="UFN1" s="7" t="s">
        <v>14719</v>
      </c>
      <c r="UFO1" s="7" t="s">
        <v>14720</v>
      </c>
      <c r="UFP1" s="7" t="s">
        <v>14721</v>
      </c>
      <c r="UFQ1" s="7" t="s">
        <v>14722</v>
      </c>
      <c r="UFR1" s="7" t="s">
        <v>14723</v>
      </c>
      <c r="UFS1" s="7" t="s">
        <v>14724</v>
      </c>
      <c r="UFT1" s="7" t="s">
        <v>14725</v>
      </c>
      <c r="UFU1" s="7" t="s">
        <v>14726</v>
      </c>
      <c r="UFV1" s="7" t="s">
        <v>14727</v>
      </c>
      <c r="UFW1" s="7" t="s">
        <v>14728</v>
      </c>
      <c r="UFX1" s="7" t="s">
        <v>14729</v>
      </c>
      <c r="UFY1" s="7" t="s">
        <v>14730</v>
      </c>
      <c r="UFZ1" s="7" t="s">
        <v>14731</v>
      </c>
      <c r="UGA1" s="7" t="s">
        <v>14732</v>
      </c>
      <c r="UGB1" s="7" t="s">
        <v>14733</v>
      </c>
      <c r="UGC1" s="7" t="s">
        <v>14734</v>
      </c>
      <c r="UGD1" s="7" t="s">
        <v>14735</v>
      </c>
      <c r="UGE1" s="7" t="s">
        <v>14736</v>
      </c>
      <c r="UGF1" s="7" t="s">
        <v>14737</v>
      </c>
      <c r="UGG1" s="7" t="s">
        <v>14738</v>
      </c>
      <c r="UGH1" s="7" t="s">
        <v>14739</v>
      </c>
      <c r="UGI1" s="7" t="s">
        <v>14740</v>
      </c>
      <c r="UGJ1" s="7" t="s">
        <v>14741</v>
      </c>
      <c r="UGK1" s="7" t="s">
        <v>14742</v>
      </c>
      <c r="UGL1" s="7" t="s">
        <v>14743</v>
      </c>
      <c r="UGM1" s="7" t="s">
        <v>14744</v>
      </c>
      <c r="UGN1" s="7" t="s">
        <v>14745</v>
      </c>
      <c r="UGO1" s="7" t="s">
        <v>14746</v>
      </c>
      <c r="UGP1" s="7" t="s">
        <v>14747</v>
      </c>
      <c r="UGQ1" s="7" t="s">
        <v>14748</v>
      </c>
      <c r="UGR1" s="7" t="s">
        <v>14749</v>
      </c>
      <c r="UGS1" s="7" t="s">
        <v>14750</v>
      </c>
      <c r="UGT1" s="7" t="s">
        <v>14751</v>
      </c>
      <c r="UGU1" s="7" t="s">
        <v>14752</v>
      </c>
      <c r="UGV1" s="7" t="s">
        <v>14753</v>
      </c>
      <c r="UGW1" s="7" t="s">
        <v>14754</v>
      </c>
      <c r="UGX1" s="7" t="s">
        <v>14755</v>
      </c>
      <c r="UGY1" s="7" t="s">
        <v>14756</v>
      </c>
      <c r="UGZ1" s="7" t="s">
        <v>14757</v>
      </c>
      <c r="UHA1" s="7" t="s">
        <v>14758</v>
      </c>
      <c r="UHB1" s="7" t="s">
        <v>14759</v>
      </c>
      <c r="UHC1" s="7" t="s">
        <v>14760</v>
      </c>
      <c r="UHD1" s="7" t="s">
        <v>14761</v>
      </c>
      <c r="UHE1" s="7" t="s">
        <v>14762</v>
      </c>
      <c r="UHF1" s="7" t="s">
        <v>14763</v>
      </c>
      <c r="UHG1" s="7" t="s">
        <v>14764</v>
      </c>
      <c r="UHH1" s="7" t="s">
        <v>14765</v>
      </c>
      <c r="UHI1" s="7" t="s">
        <v>14766</v>
      </c>
      <c r="UHJ1" s="7" t="s">
        <v>14767</v>
      </c>
      <c r="UHK1" s="7" t="s">
        <v>14768</v>
      </c>
      <c r="UHL1" s="7" t="s">
        <v>14769</v>
      </c>
      <c r="UHM1" s="7" t="s">
        <v>14770</v>
      </c>
      <c r="UHN1" s="7" t="s">
        <v>14771</v>
      </c>
      <c r="UHO1" s="7" t="s">
        <v>14772</v>
      </c>
      <c r="UHP1" s="7" t="s">
        <v>14773</v>
      </c>
      <c r="UHQ1" s="7" t="s">
        <v>14774</v>
      </c>
      <c r="UHR1" s="7" t="s">
        <v>14775</v>
      </c>
      <c r="UHS1" s="7" t="s">
        <v>14776</v>
      </c>
      <c r="UHT1" s="7" t="s">
        <v>14777</v>
      </c>
      <c r="UHU1" s="7" t="s">
        <v>14778</v>
      </c>
      <c r="UHV1" s="7" t="s">
        <v>14779</v>
      </c>
      <c r="UHW1" s="7" t="s">
        <v>14780</v>
      </c>
      <c r="UHX1" s="7" t="s">
        <v>14781</v>
      </c>
      <c r="UHY1" s="7" t="s">
        <v>14782</v>
      </c>
      <c r="UHZ1" s="7" t="s">
        <v>14783</v>
      </c>
      <c r="UIA1" s="7" t="s">
        <v>14784</v>
      </c>
      <c r="UIB1" s="7" t="s">
        <v>14785</v>
      </c>
      <c r="UIC1" s="7" t="s">
        <v>14786</v>
      </c>
      <c r="UID1" s="7" t="s">
        <v>14787</v>
      </c>
      <c r="UIE1" s="7" t="s">
        <v>14788</v>
      </c>
      <c r="UIF1" s="7" t="s">
        <v>14789</v>
      </c>
      <c r="UIG1" s="7" t="s">
        <v>14790</v>
      </c>
      <c r="UIH1" s="7" t="s">
        <v>14791</v>
      </c>
      <c r="UII1" s="7" t="s">
        <v>14792</v>
      </c>
      <c r="UIJ1" s="7" t="s">
        <v>14793</v>
      </c>
      <c r="UIK1" s="7" t="s">
        <v>14794</v>
      </c>
      <c r="UIL1" s="7" t="s">
        <v>14795</v>
      </c>
      <c r="UIM1" s="7" t="s">
        <v>14796</v>
      </c>
      <c r="UIN1" s="7" t="s">
        <v>14797</v>
      </c>
      <c r="UIO1" s="7" t="s">
        <v>14798</v>
      </c>
      <c r="UIP1" s="7" t="s">
        <v>14799</v>
      </c>
      <c r="UIQ1" s="7" t="s">
        <v>14800</v>
      </c>
      <c r="UIR1" s="7" t="s">
        <v>14801</v>
      </c>
      <c r="UIS1" s="7" t="s">
        <v>14802</v>
      </c>
      <c r="UIT1" s="7" t="s">
        <v>14803</v>
      </c>
      <c r="UIU1" s="7" t="s">
        <v>14804</v>
      </c>
      <c r="UIV1" s="7" t="s">
        <v>14805</v>
      </c>
      <c r="UIW1" s="7" t="s">
        <v>14806</v>
      </c>
      <c r="UIX1" s="7" t="s">
        <v>14807</v>
      </c>
      <c r="UIY1" s="7" t="s">
        <v>14808</v>
      </c>
      <c r="UIZ1" s="7" t="s">
        <v>14809</v>
      </c>
      <c r="UJA1" s="7" t="s">
        <v>14810</v>
      </c>
      <c r="UJB1" s="7" t="s">
        <v>14811</v>
      </c>
      <c r="UJC1" s="7" t="s">
        <v>14812</v>
      </c>
      <c r="UJD1" s="7" t="s">
        <v>14813</v>
      </c>
      <c r="UJE1" s="7" t="s">
        <v>14814</v>
      </c>
      <c r="UJF1" s="7" t="s">
        <v>14815</v>
      </c>
      <c r="UJG1" s="7" t="s">
        <v>14816</v>
      </c>
      <c r="UJH1" s="7" t="s">
        <v>14817</v>
      </c>
      <c r="UJI1" s="7" t="s">
        <v>14818</v>
      </c>
      <c r="UJJ1" s="7" t="s">
        <v>14819</v>
      </c>
      <c r="UJK1" s="7" t="s">
        <v>14820</v>
      </c>
      <c r="UJL1" s="7" t="s">
        <v>14821</v>
      </c>
      <c r="UJM1" s="7" t="s">
        <v>14822</v>
      </c>
      <c r="UJN1" s="7" t="s">
        <v>14823</v>
      </c>
      <c r="UJO1" s="7" t="s">
        <v>14824</v>
      </c>
      <c r="UJP1" s="7" t="s">
        <v>14825</v>
      </c>
      <c r="UJQ1" s="7" t="s">
        <v>14826</v>
      </c>
      <c r="UJR1" s="7" t="s">
        <v>14827</v>
      </c>
      <c r="UJS1" s="7" t="s">
        <v>14828</v>
      </c>
      <c r="UJT1" s="7" t="s">
        <v>14829</v>
      </c>
      <c r="UJU1" s="7" t="s">
        <v>14830</v>
      </c>
      <c r="UJV1" s="7" t="s">
        <v>14831</v>
      </c>
      <c r="UJW1" s="7" t="s">
        <v>14832</v>
      </c>
      <c r="UJX1" s="7" t="s">
        <v>14833</v>
      </c>
      <c r="UJY1" s="7" t="s">
        <v>14834</v>
      </c>
      <c r="UJZ1" s="7" t="s">
        <v>14835</v>
      </c>
      <c r="UKA1" s="7" t="s">
        <v>14836</v>
      </c>
      <c r="UKB1" s="7" t="s">
        <v>14837</v>
      </c>
      <c r="UKC1" s="7" t="s">
        <v>14838</v>
      </c>
      <c r="UKD1" s="7" t="s">
        <v>14839</v>
      </c>
      <c r="UKE1" s="7" t="s">
        <v>14840</v>
      </c>
      <c r="UKF1" s="7" t="s">
        <v>14841</v>
      </c>
      <c r="UKG1" s="7" t="s">
        <v>14842</v>
      </c>
      <c r="UKH1" s="7" t="s">
        <v>14843</v>
      </c>
      <c r="UKI1" s="7" t="s">
        <v>14844</v>
      </c>
      <c r="UKJ1" s="7" t="s">
        <v>14845</v>
      </c>
      <c r="UKK1" s="7" t="s">
        <v>14846</v>
      </c>
      <c r="UKL1" s="7" t="s">
        <v>14847</v>
      </c>
      <c r="UKM1" s="7" t="s">
        <v>14848</v>
      </c>
      <c r="UKN1" s="7" t="s">
        <v>14849</v>
      </c>
      <c r="UKO1" s="7" t="s">
        <v>14850</v>
      </c>
      <c r="UKP1" s="7" t="s">
        <v>14851</v>
      </c>
      <c r="UKQ1" s="7" t="s">
        <v>14852</v>
      </c>
      <c r="UKR1" s="7" t="s">
        <v>14853</v>
      </c>
      <c r="UKS1" s="7" t="s">
        <v>14854</v>
      </c>
      <c r="UKT1" s="7" t="s">
        <v>14855</v>
      </c>
      <c r="UKU1" s="7" t="s">
        <v>14856</v>
      </c>
      <c r="UKV1" s="7" t="s">
        <v>14857</v>
      </c>
      <c r="UKW1" s="7" t="s">
        <v>14858</v>
      </c>
      <c r="UKX1" s="7" t="s">
        <v>14859</v>
      </c>
      <c r="UKY1" s="7" t="s">
        <v>14860</v>
      </c>
      <c r="UKZ1" s="7" t="s">
        <v>14861</v>
      </c>
      <c r="ULA1" s="7" t="s">
        <v>14862</v>
      </c>
      <c r="ULB1" s="7" t="s">
        <v>14863</v>
      </c>
      <c r="ULC1" s="7" t="s">
        <v>14864</v>
      </c>
      <c r="ULD1" s="7" t="s">
        <v>14865</v>
      </c>
      <c r="ULE1" s="7" t="s">
        <v>14866</v>
      </c>
      <c r="ULF1" s="7" t="s">
        <v>14867</v>
      </c>
      <c r="ULG1" s="7" t="s">
        <v>14868</v>
      </c>
      <c r="ULH1" s="7" t="s">
        <v>14869</v>
      </c>
      <c r="ULI1" s="7" t="s">
        <v>14870</v>
      </c>
      <c r="ULJ1" s="7" t="s">
        <v>14871</v>
      </c>
      <c r="ULK1" s="7" t="s">
        <v>14872</v>
      </c>
      <c r="ULL1" s="7" t="s">
        <v>14873</v>
      </c>
      <c r="ULM1" s="7" t="s">
        <v>14874</v>
      </c>
      <c r="ULN1" s="7" t="s">
        <v>14875</v>
      </c>
      <c r="ULO1" s="7" t="s">
        <v>14876</v>
      </c>
      <c r="ULP1" s="7" t="s">
        <v>14877</v>
      </c>
      <c r="ULQ1" s="7" t="s">
        <v>14878</v>
      </c>
      <c r="ULR1" s="7" t="s">
        <v>14879</v>
      </c>
      <c r="ULS1" s="7" t="s">
        <v>14880</v>
      </c>
      <c r="ULT1" s="7" t="s">
        <v>14881</v>
      </c>
      <c r="ULU1" s="7" t="s">
        <v>14882</v>
      </c>
      <c r="ULV1" s="7" t="s">
        <v>14883</v>
      </c>
      <c r="ULW1" s="7" t="s">
        <v>14884</v>
      </c>
      <c r="ULX1" s="7" t="s">
        <v>14885</v>
      </c>
      <c r="ULY1" s="7" t="s">
        <v>14886</v>
      </c>
      <c r="ULZ1" s="7" t="s">
        <v>14887</v>
      </c>
      <c r="UMA1" s="7" t="s">
        <v>14888</v>
      </c>
      <c r="UMB1" s="7" t="s">
        <v>14889</v>
      </c>
      <c r="UMC1" s="7" t="s">
        <v>14890</v>
      </c>
      <c r="UMD1" s="7" t="s">
        <v>14891</v>
      </c>
      <c r="UME1" s="7" t="s">
        <v>14892</v>
      </c>
      <c r="UMF1" s="7" t="s">
        <v>14893</v>
      </c>
      <c r="UMG1" s="7" t="s">
        <v>14894</v>
      </c>
      <c r="UMH1" s="7" t="s">
        <v>14895</v>
      </c>
      <c r="UMI1" s="7" t="s">
        <v>14896</v>
      </c>
      <c r="UMJ1" s="7" t="s">
        <v>14897</v>
      </c>
      <c r="UMK1" s="7" t="s">
        <v>14898</v>
      </c>
      <c r="UML1" s="7" t="s">
        <v>14899</v>
      </c>
      <c r="UMM1" s="7" t="s">
        <v>14900</v>
      </c>
      <c r="UMN1" s="7" t="s">
        <v>14901</v>
      </c>
      <c r="UMO1" s="7" t="s">
        <v>14902</v>
      </c>
      <c r="UMP1" s="7" t="s">
        <v>14903</v>
      </c>
      <c r="UMQ1" s="7" t="s">
        <v>14904</v>
      </c>
      <c r="UMR1" s="7" t="s">
        <v>14905</v>
      </c>
      <c r="UMS1" s="7" t="s">
        <v>14906</v>
      </c>
      <c r="UMT1" s="7" t="s">
        <v>14907</v>
      </c>
      <c r="UMU1" s="7" t="s">
        <v>14908</v>
      </c>
      <c r="UMV1" s="7" t="s">
        <v>14909</v>
      </c>
      <c r="UMW1" s="7" t="s">
        <v>14910</v>
      </c>
      <c r="UMX1" s="7" t="s">
        <v>14911</v>
      </c>
      <c r="UMY1" s="7" t="s">
        <v>14912</v>
      </c>
      <c r="UMZ1" s="7" t="s">
        <v>14913</v>
      </c>
      <c r="UNA1" s="7" t="s">
        <v>14914</v>
      </c>
      <c r="UNB1" s="7" t="s">
        <v>14915</v>
      </c>
      <c r="UNC1" s="7" t="s">
        <v>14916</v>
      </c>
      <c r="UND1" s="7" t="s">
        <v>14917</v>
      </c>
      <c r="UNE1" s="7" t="s">
        <v>14918</v>
      </c>
      <c r="UNF1" s="7" t="s">
        <v>14919</v>
      </c>
      <c r="UNG1" s="7" t="s">
        <v>14920</v>
      </c>
      <c r="UNH1" s="7" t="s">
        <v>14921</v>
      </c>
      <c r="UNI1" s="7" t="s">
        <v>14922</v>
      </c>
      <c r="UNJ1" s="7" t="s">
        <v>14923</v>
      </c>
      <c r="UNK1" s="7" t="s">
        <v>14924</v>
      </c>
      <c r="UNL1" s="7" t="s">
        <v>14925</v>
      </c>
      <c r="UNM1" s="7" t="s">
        <v>14926</v>
      </c>
      <c r="UNN1" s="7" t="s">
        <v>14927</v>
      </c>
      <c r="UNO1" s="7" t="s">
        <v>14928</v>
      </c>
      <c r="UNP1" s="7" t="s">
        <v>14929</v>
      </c>
      <c r="UNQ1" s="7" t="s">
        <v>14930</v>
      </c>
      <c r="UNR1" s="7" t="s">
        <v>14931</v>
      </c>
      <c r="UNS1" s="7" t="s">
        <v>14932</v>
      </c>
      <c r="UNT1" s="7" t="s">
        <v>14933</v>
      </c>
      <c r="UNU1" s="7" t="s">
        <v>14934</v>
      </c>
      <c r="UNV1" s="7" t="s">
        <v>14935</v>
      </c>
      <c r="UNW1" s="7" t="s">
        <v>14936</v>
      </c>
      <c r="UNX1" s="7" t="s">
        <v>14937</v>
      </c>
      <c r="UNY1" s="7" t="s">
        <v>14938</v>
      </c>
      <c r="UNZ1" s="7" t="s">
        <v>14939</v>
      </c>
      <c r="UOA1" s="7" t="s">
        <v>14940</v>
      </c>
      <c r="UOB1" s="7" t="s">
        <v>14941</v>
      </c>
      <c r="UOC1" s="7" t="s">
        <v>14942</v>
      </c>
      <c r="UOD1" s="7" t="s">
        <v>14943</v>
      </c>
      <c r="UOE1" s="7" t="s">
        <v>14944</v>
      </c>
      <c r="UOF1" s="7" t="s">
        <v>14945</v>
      </c>
      <c r="UOG1" s="7" t="s">
        <v>14946</v>
      </c>
      <c r="UOH1" s="7" t="s">
        <v>14947</v>
      </c>
      <c r="UOI1" s="7" t="s">
        <v>14948</v>
      </c>
      <c r="UOJ1" s="7" t="s">
        <v>14949</v>
      </c>
      <c r="UOK1" s="7" t="s">
        <v>14950</v>
      </c>
      <c r="UOL1" s="7" t="s">
        <v>14951</v>
      </c>
      <c r="UOM1" s="7" t="s">
        <v>14952</v>
      </c>
      <c r="UON1" s="7" t="s">
        <v>14953</v>
      </c>
      <c r="UOO1" s="7" t="s">
        <v>14954</v>
      </c>
      <c r="UOP1" s="7" t="s">
        <v>14955</v>
      </c>
      <c r="UOQ1" s="7" t="s">
        <v>14956</v>
      </c>
      <c r="UOR1" s="7" t="s">
        <v>14957</v>
      </c>
      <c r="UOS1" s="7" t="s">
        <v>14958</v>
      </c>
      <c r="UOT1" s="7" t="s">
        <v>14959</v>
      </c>
      <c r="UOU1" s="7" t="s">
        <v>14960</v>
      </c>
      <c r="UOV1" s="7" t="s">
        <v>14961</v>
      </c>
      <c r="UOW1" s="7" t="s">
        <v>14962</v>
      </c>
      <c r="UOX1" s="7" t="s">
        <v>14963</v>
      </c>
      <c r="UOY1" s="7" t="s">
        <v>14964</v>
      </c>
      <c r="UOZ1" s="7" t="s">
        <v>14965</v>
      </c>
      <c r="UPA1" s="7" t="s">
        <v>14966</v>
      </c>
      <c r="UPB1" s="7" t="s">
        <v>14967</v>
      </c>
      <c r="UPC1" s="7" t="s">
        <v>14968</v>
      </c>
      <c r="UPD1" s="7" t="s">
        <v>14969</v>
      </c>
      <c r="UPE1" s="7" t="s">
        <v>14970</v>
      </c>
      <c r="UPF1" s="7" t="s">
        <v>14971</v>
      </c>
      <c r="UPG1" s="7" t="s">
        <v>14972</v>
      </c>
      <c r="UPH1" s="7" t="s">
        <v>14973</v>
      </c>
      <c r="UPI1" s="7" t="s">
        <v>14974</v>
      </c>
      <c r="UPJ1" s="7" t="s">
        <v>14975</v>
      </c>
      <c r="UPK1" s="7" t="s">
        <v>14976</v>
      </c>
      <c r="UPL1" s="7" t="s">
        <v>14977</v>
      </c>
      <c r="UPM1" s="7" t="s">
        <v>14978</v>
      </c>
      <c r="UPN1" s="7" t="s">
        <v>14979</v>
      </c>
      <c r="UPO1" s="7" t="s">
        <v>14980</v>
      </c>
      <c r="UPP1" s="7" t="s">
        <v>14981</v>
      </c>
      <c r="UPQ1" s="7" t="s">
        <v>14982</v>
      </c>
      <c r="UPR1" s="7" t="s">
        <v>14983</v>
      </c>
      <c r="UPS1" s="7" t="s">
        <v>14984</v>
      </c>
      <c r="UPT1" s="7" t="s">
        <v>14985</v>
      </c>
      <c r="UPU1" s="7" t="s">
        <v>14986</v>
      </c>
      <c r="UPV1" s="7" t="s">
        <v>14987</v>
      </c>
      <c r="UPW1" s="7" t="s">
        <v>14988</v>
      </c>
      <c r="UPX1" s="7" t="s">
        <v>14989</v>
      </c>
      <c r="UPY1" s="7" t="s">
        <v>14990</v>
      </c>
      <c r="UPZ1" s="7" t="s">
        <v>14991</v>
      </c>
      <c r="UQA1" s="7" t="s">
        <v>14992</v>
      </c>
      <c r="UQB1" s="7" t="s">
        <v>14993</v>
      </c>
      <c r="UQC1" s="7" t="s">
        <v>14994</v>
      </c>
      <c r="UQD1" s="7" t="s">
        <v>14995</v>
      </c>
      <c r="UQE1" s="7" t="s">
        <v>14996</v>
      </c>
      <c r="UQF1" s="7" t="s">
        <v>14997</v>
      </c>
      <c r="UQG1" s="7" t="s">
        <v>14998</v>
      </c>
      <c r="UQH1" s="7" t="s">
        <v>14999</v>
      </c>
      <c r="UQI1" s="7" t="s">
        <v>15000</v>
      </c>
      <c r="UQJ1" s="7" t="s">
        <v>15001</v>
      </c>
      <c r="UQK1" s="7" t="s">
        <v>15002</v>
      </c>
      <c r="UQL1" s="7" t="s">
        <v>15003</v>
      </c>
      <c r="UQM1" s="7" t="s">
        <v>15004</v>
      </c>
      <c r="UQN1" s="7" t="s">
        <v>15005</v>
      </c>
      <c r="UQO1" s="7" t="s">
        <v>15006</v>
      </c>
      <c r="UQP1" s="7" t="s">
        <v>15007</v>
      </c>
      <c r="UQQ1" s="7" t="s">
        <v>15008</v>
      </c>
      <c r="UQR1" s="7" t="s">
        <v>15009</v>
      </c>
      <c r="UQS1" s="7" t="s">
        <v>15010</v>
      </c>
      <c r="UQT1" s="7" t="s">
        <v>15011</v>
      </c>
      <c r="UQU1" s="7" t="s">
        <v>15012</v>
      </c>
      <c r="UQV1" s="7" t="s">
        <v>15013</v>
      </c>
      <c r="UQW1" s="7" t="s">
        <v>15014</v>
      </c>
      <c r="UQX1" s="7" t="s">
        <v>15015</v>
      </c>
      <c r="UQY1" s="7" t="s">
        <v>15016</v>
      </c>
      <c r="UQZ1" s="7" t="s">
        <v>15017</v>
      </c>
      <c r="URA1" s="7" t="s">
        <v>15018</v>
      </c>
      <c r="URB1" s="7" t="s">
        <v>15019</v>
      </c>
      <c r="URC1" s="7" t="s">
        <v>15020</v>
      </c>
      <c r="URD1" s="7" t="s">
        <v>15021</v>
      </c>
      <c r="URE1" s="7" t="s">
        <v>15022</v>
      </c>
      <c r="URF1" s="7" t="s">
        <v>15023</v>
      </c>
      <c r="URG1" s="7" t="s">
        <v>15024</v>
      </c>
      <c r="URH1" s="7" t="s">
        <v>15025</v>
      </c>
      <c r="URI1" s="7" t="s">
        <v>15026</v>
      </c>
      <c r="URJ1" s="7" t="s">
        <v>15027</v>
      </c>
      <c r="URK1" s="7" t="s">
        <v>15028</v>
      </c>
      <c r="URL1" s="7" t="s">
        <v>15029</v>
      </c>
      <c r="URM1" s="7" t="s">
        <v>15030</v>
      </c>
      <c r="URN1" s="7" t="s">
        <v>15031</v>
      </c>
      <c r="URO1" s="7" t="s">
        <v>15032</v>
      </c>
      <c r="URP1" s="7" t="s">
        <v>15033</v>
      </c>
      <c r="URQ1" s="7" t="s">
        <v>15034</v>
      </c>
      <c r="URR1" s="7" t="s">
        <v>15035</v>
      </c>
      <c r="URS1" s="7" t="s">
        <v>15036</v>
      </c>
      <c r="URT1" s="7" t="s">
        <v>15037</v>
      </c>
      <c r="URU1" s="7" t="s">
        <v>15038</v>
      </c>
      <c r="URV1" s="7" t="s">
        <v>15039</v>
      </c>
      <c r="URW1" s="7" t="s">
        <v>15040</v>
      </c>
      <c r="URX1" s="7" t="s">
        <v>15041</v>
      </c>
      <c r="URY1" s="7" t="s">
        <v>15042</v>
      </c>
      <c r="URZ1" s="7" t="s">
        <v>15043</v>
      </c>
      <c r="USA1" s="7" t="s">
        <v>15044</v>
      </c>
      <c r="USB1" s="7" t="s">
        <v>15045</v>
      </c>
      <c r="USC1" s="7" t="s">
        <v>15046</v>
      </c>
      <c r="USD1" s="7" t="s">
        <v>15047</v>
      </c>
      <c r="USE1" s="7" t="s">
        <v>15048</v>
      </c>
      <c r="USF1" s="7" t="s">
        <v>15049</v>
      </c>
      <c r="USG1" s="7" t="s">
        <v>15050</v>
      </c>
      <c r="USH1" s="7" t="s">
        <v>15051</v>
      </c>
      <c r="USI1" s="7" t="s">
        <v>15052</v>
      </c>
      <c r="USJ1" s="7" t="s">
        <v>15053</v>
      </c>
      <c r="USK1" s="7" t="s">
        <v>15054</v>
      </c>
      <c r="USL1" s="7" t="s">
        <v>15055</v>
      </c>
      <c r="USM1" s="7" t="s">
        <v>15056</v>
      </c>
      <c r="USN1" s="7" t="s">
        <v>15057</v>
      </c>
      <c r="USO1" s="7" t="s">
        <v>15058</v>
      </c>
      <c r="USP1" s="7" t="s">
        <v>15059</v>
      </c>
      <c r="USQ1" s="7" t="s">
        <v>15060</v>
      </c>
      <c r="USR1" s="7" t="s">
        <v>15061</v>
      </c>
      <c r="USS1" s="7" t="s">
        <v>15062</v>
      </c>
      <c r="UST1" s="7" t="s">
        <v>15063</v>
      </c>
      <c r="USU1" s="7" t="s">
        <v>15064</v>
      </c>
      <c r="USV1" s="7" t="s">
        <v>15065</v>
      </c>
      <c r="USW1" s="7" t="s">
        <v>15066</v>
      </c>
      <c r="USX1" s="7" t="s">
        <v>15067</v>
      </c>
      <c r="USY1" s="7" t="s">
        <v>15068</v>
      </c>
      <c r="USZ1" s="7" t="s">
        <v>15069</v>
      </c>
      <c r="UTA1" s="7" t="s">
        <v>15070</v>
      </c>
      <c r="UTB1" s="7" t="s">
        <v>15071</v>
      </c>
      <c r="UTC1" s="7" t="s">
        <v>15072</v>
      </c>
      <c r="UTD1" s="7" t="s">
        <v>15073</v>
      </c>
      <c r="UTE1" s="7" t="s">
        <v>15074</v>
      </c>
      <c r="UTF1" s="7" t="s">
        <v>15075</v>
      </c>
      <c r="UTG1" s="7" t="s">
        <v>15076</v>
      </c>
      <c r="UTH1" s="7" t="s">
        <v>15077</v>
      </c>
      <c r="UTI1" s="7" t="s">
        <v>15078</v>
      </c>
      <c r="UTJ1" s="7" t="s">
        <v>15079</v>
      </c>
      <c r="UTK1" s="7" t="s">
        <v>15080</v>
      </c>
      <c r="UTL1" s="7" t="s">
        <v>15081</v>
      </c>
      <c r="UTM1" s="7" t="s">
        <v>15082</v>
      </c>
      <c r="UTN1" s="7" t="s">
        <v>15083</v>
      </c>
      <c r="UTO1" s="7" t="s">
        <v>15084</v>
      </c>
      <c r="UTP1" s="7" t="s">
        <v>15085</v>
      </c>
      <c r="UTQ1" s="7" t="s">
        <v>15086</v>
      </c>
      <c r="UTR1" s="7" t="s">
        <v>15087</v>
      </c>
      <c r="UTS1" s="7" t="s">
        <v>15088</v>
      </c>
      <c r="UTT1" s="7" t="s">
        <v>15089</v>
      </c>
      <c r="UTU1" s="7" t="s">
        <v>15090</v>
      </c>
      <c r="UTV1" s="7" t="s">
        <v>15091</v>
      </c>
      <c r="UTW1" s="7" t="s">
        <v>15092</v>
      </c>
      <c r="UTX1" s="7" t="s">
        <v>15093</v>
      </c>
      <c r="UTY1" s="7" t="s">
        <v>15094</v>
      </c>
      <c r="UTZ1" s="7" t="s">
        <v>15095</v>
      </c>
      <c r="UUA1" s="7" t="s">
        <v>15096</v>
      </c>
      <c r="UUB1" s="7" t="s">
        <v>15097</v>
      </c>
      <c r="UUC1" s="7" t="s">
        <v>15098</v>
      </c>
      <c r="UUD1" s="7" t="s">
        <v>15099</v>
      </c>
      <c r="UUE1" s="7" t="s">
        <v>15100</v>
      </c>
      <c r="UUF1" s="7" t="s">
        <v>15101</v>
      </c>
      <c r="UUG1" s="7" t="s">
        <v>15102</v>
      </c>
      <c r="UUH1" s="7" t="s">
        <v>15103</v>
      </c>
      <c r="UUI1" s="7" t="s">
        <v>15104</v>
      </c>
      <c r="UUJ1" s="7" t="s">
        <v>15105</v>
      </c>
      <c r="UUK1" s="7" t="s">
        <v>15106</v>
      </c>
      <c r="UUL1" s="7" t="s">
        <v>15107</v>
      </c>
      <c r="UUM1" s="7" t="s">
        <v>15108</v>
      </c>
      <c r="UUN1" s="7" t="s">
        <v>15109</v>
      </c>
      <c r="UUO1" s="7" t="s">
        <v>15110</v>
      </c>
      <c r="UUP1" s="7" t="s">
        <v>15111</v>
      </c>
      <c r="UUQ1" s="7" t="s">
        <v>15112</v>
      </c>
      <c r="UUR1" s="7" t="s">
        <v>15113</v>
      </c>
      <c r="UUS1" s="7" t="s">
        <v>15114</v>
      </c>
      <c r="UUT1" s="7" t="s">
        <v>15115</v>
      </c>
      <c r="UUU1" s="7" t="s">
        <v>15116</v>
      </c>
      <c r="UUV1" s="7" t="s">
        <v>15117</v>
      </c>
      <c r="UUW1" s="7" t="s">
        <v>15118</v>
      </c>
      <c r="UUX1" s="7" t="s">
        <v>15119</v>
      </c>
      <c r="UUY1" s="7" t="s">
        <v>15120</v>
      </c>
      <c r="UUZ1" s="7" t="s">
        <v>15121</v>
      </c>
      <c r="UVA1" s="7" t="s">
        <v>15122</v>
      </c>
      <c r="UVB1" s="7" t="s">
        <v>15123</v>
      </c>
      <c r="UVC1" s="7" t="s">
        <v>15124</v>
      </c>
      <c r="UVD1" s="7" t="s">
        <v>15125</v>
      </c>
      <c r="UVE1" s="7" t="s">
        <v>15126</v>
      </c>
      <c r="UVF1" s="7" t="s">
        <v>15127</v>
      </c>
      <c r="UVG1" s="7" t="s">
        <v>15128</v>
      </c>
      <c r="UVH1" s="7" t="s">
        <v>15129</v>
      </c>
      <c r="UVI1" s="7" t="s">
        <v>15130</v>
      </c>
      <c r="UVJ1" s="7" t="s">
        <v>15131</v>
      </c>
      <c r="UVK1" s="7" t="s">
        <v>15132</v>
      </c>
      <c r="UVL1" s="7" t="s">
        <v>15133</v>
      </c>
      <c r="UVM1" s="7" t="s">
        <v>15134</v>
      </c>
      <c r="UVN1" s="7" t="s">
        <v>15135</v>
      </c>
      <c r="UVO1" s="7" t="s">
        <v>15136</v>
      </c>
      <c r="UVP1" s="7" t="s">
        <v>15137</v>
      </c>
      <c r="UVQ1" s="7" t="s">
        <v>15138</v>
      </c>
      <c r="UVR1" s="7" t="s">
        <v>15139</v>
      </c>
      <c r="UVS1" s="7" t="s">
        <v>15140</v>
      </c>
      <c r="UVT1" s="7" t="s">
        <v>15141</v>
      </c>
      <c r="UVU1" s="7" t="s">
        <v>15142</v>
      </c>
      <c r="UVV1" s="7" t="s">
        <v>15143</v>
      </c>
      <c r="UVW1" s="7" t="s">
        <v>15144</v>
      </c>
      <c r="UVX1" s="7" t="s">
        <v>15145</v>
      </c>
      <c r="UVY1" s="7" t="s">
        <v>15146</v>
      </c>
      <c r="UVZ1" s="7" t="s">
        <v>15147</v>
      </c>
      <c r="UWA1" s="7" t="s">
        <v>15148</v>
      </c>
      <c r="UWB1" s="7" t="s">
        <v>15149</v>
      </c>
      <c r="UWC1" s="7" t="s">
        <v>15150</v>
      </c>
      <c r="UWD1" s="7" t="s">
        <v>15151</v>
      </c>
      <c r="UWE1" s="7" t="s">
        <v>15152</v>
      </c>
      <c r="UWF1" s="7" t="s">
        <v>15153</v>
      </c>
      <c r="UWG1" s="7" t="s">
        <v>15154</v>
      </c>
      <c r="UWH1" s="7" t="s">
        <v>15155</v>
      </c>
      <c r="UWI1" s="7" t="s">
        <v>15156</v>
      </c>
      <c r="UWJ1" s="7" t="s">
        <v>15157</v>
      </c>
      <c r="UWK1" s="7" t="s">
        <v>15158</v>
      </c>
      <c r="UWL1" s="7" t="s">
        <v>15159</v>
      </c>
      <c r="UWM1" s="7" t="s">
        <v>15160</v>
      </c>
      <c r="UWN1" s="7" t="s">
        <v>15161</v>
      </c>
      <c r="UWO1" s="7" t="s">
        <v>15162</v>
      </c>
      <c r="UWP1" s="7" t="s">
        <v>15163</v>
      </c>
      <c r="UWQ1" s="7" t="s">
        <v>15164</v>
      </c>
      <c r="UWR1" s="7" t="s">
        <v>15165</v>
      </c>
      <c r="UWS1" s="7" t="s">
        <v>15166</v>
      </c>
      <c r="UWT1" s="7" t="s">
        <v>15167</v>
      </c>
      <c r="UWU1" s="7" t="s">
        <v>15168</v>
      </c>
      <c r="UWV1" s="7" t="s">
        <v>15169</v>
      </c>
      <c r="UWW1" s="7" t="s">
        <v>15170</v>
      </c>
      <c r="UWX1" s="7" t="s">
        <v>15171</v>
      </c>
      <c r="UWY1" s="7" t="s">
        <v>15172</v>
      </c>
      <c r="UWZ1" s="7" t="s">
        <v>15173</v>
      </c>
      <c r="UXA1" s="7" t="s">
        <v>15174</v>
      </c>
      <c r="UXB1" s="7" t="s">
        <v>15175</v>
      </c>
      <c r="UXC1" s="7" t="s">
        <v>15176</v>
      </c>
      <c r="UXD1" s="7" t="s">
        <v>15177</v>
      </c>
      <c r="UXE1" s="7" t="s">
        <v>15178</v>
      </c>
      <c r="UXF1" s="7" t="s">
        <v>15179</v>
      </c>
      <c r="UXG1" s="7" t="s">
        <v>15180</v>
      </c>
      <c r="UXH1" s="7" t="s">
        <v>15181</v>
      </c>
      <c r="UXI1" s="7" t="s">
        <v>15182</v>
      </c>
      <c r="UXJ1" s="7" t="s">
        <v>15183</v>
      </c>
      <c r="UXK1" s="7" t="s">
        <v>15184</v>
      </c>
      <c r="UXL1" s="7" t="s">
        <v>15185</v>
      </c>
      <c r="UXM1" s="7" t="s">
        <v>15186</v>
      </c>
      <c r="UXN1" s="7" t="s">
        <v>15187</v>
      </c>
      <c r="UXO1" s="7" t="s">
        <v>15188</v>
      </c>
      <c r="UXP1" s="7" t="s">
        <v>15189</v>
      </c>
      <c r="UXQ1" s="7" t="s">
        <v>15190</v>
      </c>
      <c r="UXR1" s="7" t="s">
        <v>15191</v>
      </c>
      <c r="UXS1" s="7" t="s">
        <v>15192</v>
      </c>
      <c r="UXT1" s="7" t="s">
        <v>15193</v>
      </c>
      <c r="UXU1" s="7" t="s">
        <v>15194</v>
      </c>
      <c r="UXV1" s="7" t="s">
        <v>15195</v>
      </c>
      <c r="UXW1" s="7" t="s">
        <v>15196</v>
      </c>
      <c r="UXX1" s="7" t="s">
        <v>15197</v>
      </c>
      <c r="UXY1" s="7" t="s">
        <v>15198</v>
      </c>
      <c r="UXZ1" s="7" t="s">
        <v>15199</v>
      </c>
      <c r="UYA1" s="7" t="s">
        <v>15200</v>
      </c>
      <c r="UYB1" s="7" t="s">
        <v>15201</v>
      </c>
      <c r="UYC1" s="7" t="s">
        <v>15202</v>
      </c>
      <c r="UYD1" s="7" t="s">
        <v>15203</v>
      </c>
      <c r="UYE1" s="7" t="s">
        <v>15204</v>
      </c>
      <c r="UYF1" s="7" t="s">
        <v>15205</v>
      </c>
      <c r="UYG1" s="7" t="s">
        <v>15206</v>
      </c>
      <c r="UYH1" s="7" t="s">
        <v>15207</v>
      </c>
      <c r="UYI1" s="7" t="s">
        <v>15208</v>
      </c>
      <c r="UYJ1" s="7" t="s">
        <v>15209</v>
      </c>
      <c r="UYK1" s="7" t="s">
        <v>15210</v>
      </c>
      <c r="UYL1" s="7" t="s">
        <v>15211</v>
      </c>
      <c r="UYM1" s="7" t="s">
        <v>15212</v>
      </c>
      <c r="UYN1" s="7" t="s">
        <v>15213</v>
      </c>
      <c r="UYO1" s="7" t="s">
        <v>15214</v>
      </c>
      <c r="UYP1" s="7" t="s">
        <v>15215</v>
      </c>
      <c r="UYQ1" s="7" t="s">
        <v>15216</v>
      </c>
      <c r="UYR1" s="7" t="s">
        <v>15217</v>
      </c>
      <c r="UYS1" s="7" t="s">
        <v>15218</v>
      </c>
      <c r="UYT1" s="7" t="s">
        <v>15219</v>
      </c>
      <c r="UYU1" s="7" t="s">
        <v>15220</v>
      </c>
      <c r="UYV1" s="7" t="s">
        <v>15221</v>
      </c>
      <c r="UYW1" s="7" t="s">
        <v>15222</v>
      </c>
      <c r="UYX1" s="7" t="s">
        <v>15223</v>
      </c>
      <c r="UYY1" s="7" t="s">
        <v>15224</v>
      </c>
      <c r="UYZ1" s="7" t="s">
        <v>15225</v>
      </c>
      <c r="UZA1" s="7" t="s">
        <v>15226</v>
      </c>
      <c r="UZB1" s="7" t="s">
        <v>15227</v>
      </c>
      <c r="UZC1" s="7" t="s">
        <v>15228</v>
      </c>
      <c r="UZD1" s="7" t="s">
        <v>15229</v>
      </c>
      <c r="UZE1" s="7" t="s">
        <v>15230</v>
      </c>
      <c r="UZF1" s="7" t="s">
        <v>15231</v>
      </c>
      <c r="UZG1" s="7" t="s">
        <v>15232</v>
      </c>
      <c r="UZH1" s="7" t="s">
        <v>15233</v>
      </c>
      <c r="UZI1" s="7" t="s">
        <v>15234</v>
      </c>
      <c r="UZJ1" s="7" t="s">
        <v>15235</v>
      </c>
      <c r="UZK1" s="7" t="s">
        <v>15236</v>
      </c>
      <c r="UZL1" s="7" t="s">
        <v>15237</v>
      </c>
      <c r="UZM1" s="7" t="s">
        <v>15238</v>
      </c>
      <c r="UZN1" s="7" t="s">
        <v>15239</v>
      </c>
      <c r="UZO1" s="7" t="s">
        <v>15240</v>
      </c>
      <c r="UZP1" s="7" t="s">
        <v>15241</v>
      </c>
      <c r="UZQ1" s="7" t="s">
        <v>15242</v>
      </c>
      <c r="UZR1" s="7" t="s">
        <v>15243</v>
      </c>
      <c r="UZS1" s="7" t="s">
        <v>15244</v>
      </c>
      <c r="UZT1" s="7" t="s">
        <v>15245</v>
      </c>
      <c r="UZU1" s="7" t="s">
        <v>15246</v>
      </c>
      <c r="UZV1" s="7" t="s">
        <v>15247</v>
      </c>
      <c r="UZW1" s="7" t="s">
        <v>15248</v>
      </c>
      <c r="UZX1" s="7" t="s">
        <v>15249</v>
      </c>
      <c r="UZY1" s="7" t="s">
        <v>15250</v>
      </c>
      <c r="UZZ1" s="7" t="s">
        <v>15251</v>
      </c>
      <c r="VAA1" s="7" t="s">
        <v>15252</v>
      </c>
      <c r="VAB1" s="7" t="s">
        <v>15253</v>
      </c>
      <c r="VAC1" s="7" t="s">
        <v>15254</v>
      </c>
      <c r="VAD1" s="7" t="s">
        <v>15255</v>
      </c>
      <c r="VAE1" s="7" t="s">
        <v>15256</v>
      </c>
      <c r="VAF1" s="7" t="s">
        <v>15257</v>
      </c>
      <c r="VAG1" s="7" t="s">
        <v>15258</v>
      </c>
      <c r="VAH1" s="7" t="s">
        <v>15259</v>
      </c>
      <c r="VAI1" s="7" t="s">
        <v>15260</v>
      </c>
      <c r="VAJ1" s="7" t="s">
        <v>15261</v>
      </c>
      <c r="VAK1" s="7" t="s">
        <v>15262</v>
      </c>
      <c r="VAL1" s="7" t="s">
        <v>15263</v>
      </c>
      <c r="VAM1" s="7" t="s">
        <v>15264</v>
      </c>
      <c r="VAN1" s="7" t="s">
        <v>15265</v>
      </c>
      <c r="VAO1" s="7" t="s">
        <v>15266</v>
      </c>
      <c r="VAP1" s="7" t="s">
        <v>15267</v>
      </c>
      <c r="VAQ1" s="7" t="s">
        <v>15268</v>
      </c>
      <c r="VAR1" s="7" t="s">
        <v>15269</v>
      </c>
      <c r="VAS1" s="7" t="s">
        <v>15270</v>
      </c>
      <c r="VAT1" s="7" t="s">
        <v>15271</v>
      </c>
      <c r="VAU1" s="7" t="s">
        <v>15272</v>
      </c>
      <c r="VAV1" s="7" t="s">
        <v>15273</v>
      </c>
      <c r="VAW1" s="7" t="s">
        <v>15274</v>
      </c>
      <c r="VAX1" s="7" t="s">
        <v>15275</v>
      </c>
      <c r="VAY1" s="7" t="s">
        <v>15276</v>
      </c>
      <c r="VAZ1" s="7" t="s">
        <v>15277</v>
      </c>
      <c r="VBA1" s="7" t="s">
        <v>15278</v>
      </c>
      <c r="VBB1" s="7" t="s">
        <v>15279</v>
      </c>
      <c r="VBC1" s="7" t="s">
        <v>15280</v>
      </c>
      <c r="VBD1" s="7" t="s">
        <v>15281</v>
      </c>
      <c r="VBE1" s="7" t="s">
        <v>15282</v>
      </c>
      <c r="VBF1" s="7" t="s">
        <v>15283</v>
      </c>
      <c r="VBG1" s="7" t="s">
        <v>15284</v>
      </c>
      <c r="VBH1" s="7" t="s">
        <v>15285</v>
      </c>
      <c r="VBI1" s="7" t="s">
        <v>15286</v>
      </c>
      <c r="VBJ1" s="7" t="s">
        <v>15287</v>
      </c>
      <c r="VBK1" s="7" t="s">
        <v>15288</v>
      </c>
      <c r="VBL1" s="7" t="s">
        <v>15289</v>
      </c>
      <c r="VBM1" s="7" t="s">
        <v>15290</v>
      </c>
      <c r="VBN1" s="7" t="s">
        <v>15291</v>
      </c>
      <c r="VBO1" s="7" t="s">
        <v>15292</v>
      </c>
      <c r="VBP1" s="7" t="s">
        <v>15293</v>
      </c>
      <c r="VBQ1" s="7" t="s">
        <v>15294</v>
      </c>
      <c r="VBR1" s="7" t="s">
        <v>15295</v>
      </c>
      <c r="VBS1" s="7" t="s">
        <v>15296</v>
      </c>
      <c r="VBT1" s="7" t="s">
        <v>15297</v>
      </c>
      <c r="VBU1" s="7" t="s">
        <v>15298</v>
      </c>
      <c r="VBV1" s="7" t="s">
        <v>15299</v>
      </c>
      <c r="VBW1" s="7" t="s">
        <v>15300</v>
      </c>
      <c r="VBX1" s="7" t="s">
        <v>15301</v>
      </c>
      <c r="VBY1" s="7" t="s">
        <v>15302</v>
      </c>
      <c r="VBZ1" s="7" t="s">
        <v>15303</v>
      </c>
      <c r="VCA1" s="7" t="s">
        <v>15304</v>
      </c>
      <c r="VCB1" s="7" t="s">
        <v>15305</v>
      </c>
      <c r="VCC1" s="7" t="s">
        <v>15306</v>
      </c>
      <c r="VCD1" s="7" t="s">
        <v>15307</v>
      </c>
      <c r="VCE1" s="7" t="s">
        <v>15308</v>
      </c>
      <c r="VCF1" s="7" t="s">
        <v>15309</v>
      </c>
      <c r="VCG1" s="7" t="s">
        <v>15310</v>
      </c>
      <c r="VCH1" s="7" t="s">
        <v>15311</v>
      </c>
      <c r="VCI1" s="7" t="s">
        <v>15312</v>
      </c>
      <c r="VCJ1" s="7" t="s">
        <v>15313</v>
      </c>
      <c r="VCK1" s="7" t="s">
        <v>15314</v>
      </c>
      <c r="VCL1" s="7" t="s">
        <v>15315</v>
      </c>
      <c r="VCM1" s="7" t="s">
        <v>15316</v>
      </c>
      <c r="VCN1" s="7" t="s">
        <v>15317</v>
      </c>
      <c r="VCO1" s="7" t="s">
        <v>15318</v>
      </c>
      <c r="VCP1" s="7" t="s">
        <v>15319</v>
      </c>
      <c r="VCQ1" s="7" t="s">
        <v>15320</v>
      </c>
      <c r="VCR1" s="7" t="s">
        <v>15321</v>
      </c>
      <c r="VCS1" s="7" t="s">
        <v>15322</v>
      </c>
      <c r="VCT1" s="7" t="s">
        <v>15323</v>
      </c>
      <c r="VCU1" s="7" t="s">
        <v>15324</v>
      </c>
      <c r="VCV1" s="7" t="s">
        <v>15325</v>
      </c>
      <c r="VCW1" s="7" t="s">
        <v>15326</v>
      </c>
      <c r="VCX1" s="7" t="s">
        <v>15327</v>
      </c>
      <c r="VCY1" s="7" t="s">
        <v>15328</v>
      </c>
      <c r="VCZ1" s="7" t="s">
        <v>15329</v>
      </c>
      <c r="VDA1" s="7" t="s">
        <v>15330</v>
      </c>
      <c r="VDB1" s="7" t="s">
        <v>15331</v>
      </c>
      <c r="VDC1" s="7" t="s">
        <v>15332</v>
      </c>
      <c r="VDD1" s="7" t="s">
        <v>15333</v>
      </c>
      <c r="VDE1" s="7" t="s">
        <v>15334</v>
      </c>
      <c r="VDF1" s="7" t="s">
        <v>15335</v>
      </c>
      <c r="VDG1" s="7" t="s">
        <v>15336</v>
      </c>
      <c r="VDH1" s="7" t="s">
        <v>15337</v>
      </c>
      <c r="VDI1" s="7" t="s">
        <v>15338</v>
      </c>
      <c r="VDJ1" s="7" t="s">
        <v>15339</v>
      </c>
      <c r="VDK1" s="7" t="s">
        <v>15340</v>
      </c>
      <c r="VDL1" s="7" t="s">
        <v>15341</v>
      </c>
      <c r="VDM1" s="7" t="s">
        <v>15342</v>
      </c>
      <c r="VDN1" s="7" t="s">
        <v>15343</v>
      </c>
      <c r="VDO1" s="7" t="s">
        <v>15344</v>
      </c>
      <c r="VDP1" s="7" t="s">
        <v>15345</v>
      </c>
      <c r="VDQ1" s="7" t="s">
        <v>15346</v>
      </c>
      <c r="VDR1" s="7" t="s">
        <v>15347</v>
      </c>
      <c r="VDS1" s="7" t="s">
        <v>15348</v>
      </c>
      <c r="VDT1" s="7" t="s">
        <v>15349</v>
      </c>
      <c r="VDU1" s="7" t="s">
        <v>15350</v>
      </c>
      <c r="VDV1" s="7" t="s">
        <v>15351</v>
      </c>
      <c r="VDW1" s="7" t="s">
        <v>15352</v>
      </c>
      <c r="VDX1" s="7" t="s">
        <v>15353</v>
      </c>
      <c r="VDY1" s="7" t="s">
        <v>15354</v>
      </c>
      <c r="VDZ1" s="7" t="s">
        <v>15355</v>
      </c>
      <c r="VEA1" s="7" t="s">
        <v>15356</v>
      </c>
      <c r="VEB1" s="7" t="s">
        <v>15357</v>
      </c>
      <c r="VEC1" s="7" t="s">
        <v>15358</v>
      </c>
      <c r="VED1" s="7" t="s">
        <v>15359</v>
      </c>
      <c r="VEE1" s="7" t="s">
        <v>15360</v>
      </c>
      <c r="VEF1" s="7" t="s">
        <v>15361</v>
      </c>
      <c r="VEG1" s="7" t="s">
        <v>15362</v>
      </c>
      <c r="VEH1" s="7" t="s">
        <v>15363</v>
      </c>
      <c r="VEI1" s="7" t="s">
        <v>15364</v>
      </c>
      <c r="VEJ1" s="7" t="s">
        <v>15365</v>
      </c>
      <c r="VEK1" s="7" t="s">
        <v>15366</v>
      </c>
      <c r="VEL1" s="7" t="s">
        <v>15367</v>
      </c>
      <c r="VEM1" s="7" t="s">
        <v>15368</v>
      </c>
      <c r="VEN1" s="7" t="s">
        <v>15369</v>
      </c>
      <c r="VEO1" s="7" t="s">
        <v>15370</v>
      </c>
      <c r="VEP1" s="7" t="s">
        <v>15371</v>
      </c>
      <c r="VEQ1" s="7" t="s">
        <v>15372</v>
      </c>
      <c r="VER1" s="7" t="s">
        <v>15373</v>
      </c>
      <c r="VES1" s="7" t="s">
        <v>15374</v>
      </c>
      <c r="VET1" s="7" t="s">
        <v>15375</v>
      </c>
      <c r="VEU1" s="7" t="s">
        <v>15376</v>
      </c>
      <c r="VEV1" s="7" t="s">
        <v>15377</v>
      </c>
      <c r="VEW1" s="7" t="s">
        <v>15378</v>
      </c>
      <c r="VEX1" s="7" t="s">
        <v>15379</v>
      </c>
      <c r="VEY1" s="7" t="s">
        <v>15380</v>
      </c>
      <c r="VEZ1" s="7" t="s">
        <v>15381</v>
      </c>
      <c r="VFA1" s="7" t="s">
        <v>15382</v>
      </c>
      <c r="VFB1" s="7" t="s">
        <v>15383</v>
      </c>
      <c r="VFC1" s="7" t="s">
        <v>15384</v>
      </c>
      <c r="VFD1" s="7" t="s">
        <v>15385</v>
      </c>
      <c r="VFE1" s="7" t="s">
        <v>15386</v>
      </c>
      <c r="VFF1" s="7" t="s">
        <v>15387</v>
      </c>
      <c r="VFG1" s="7" t="s">
        <v>15388</v>
      </c>
      <c r="VFH1" s="7" t="s">
        <v>15389</v>
      </c>
      <c r="VFI1" s="7" t="s">
        <v>15390</v>
      </c>
      <c r="VFJ1" s="7" t="s">
        <v>15391</v>
      </c>
      <c r="VFK1" s="7" t="s">
        <v>15392</v>
      </c>
      <c r="VFL1" s="7" t="s">
        <v>15393</v>
      </c>
      <c r="VFM1" s="7" t="s">
        <v>15394</v>
      </c>
      <c r="VFN1" s="7" t="s">
        <v>15395</v>
      </c>
      <c r="VFO1" s="7" t="s">
        <v>15396</v>
      </c>
      <c r="VFP1" s="7" t="s">
        <v>15397</v>
      </c>
      <c r="VFQ1" s="7" t="s">
        <v>15398</v>
      </c>
      <c r="VFR1" s="7" t="s">
        <v>15399</v>
      </c>
      <c r="VFS1" s="7" t="s">
        <v>15400</v>
      </c>
      <c r="VFT1" s="7" t="s">
        <v>15401</v>
      </c>
      <c r="VFU1" s="7" t="s">
        <v>15402</v>
      </c>
      <c r="VFV1" s="7" t="s">
        <v>15403</v>
      </c>
      <c r="VFW1" s="7" t="s">
        <v>15404</v>
      </c>
      <c r="VFX1" s="7" t="s">
        <v>15405</v>
      </c>
      <c r="VFY1" s="7" t="s">
        <v>15406</v>
      </c>
      <c r="VFZ1" s="7" t="s">
        <v>15407</v>
      </c>
      <c r="VGA1" s="7" t="s">
        <v>15408</v>
      </c>
      <c r="VGB1" s="7" t="s">
        <v>15409</v>
      </c>
      <c r="VGC1" s="7" t="s">
        <v>15410</v>
      </c>
      <c r="VGD1" s="7" t="s">
        <v>15411</v>
      </c>
      <c r="VGE1" s="7" t="s">
        <v>15412</v>
      </c>
      <c r="VGF1" s="7" t="s">
        <v>15413</v>
      </c>
      <c r="VGG1" s="7" t="s">
        <v>15414</v>
      </c>
      <c r="VGH1" s="7" t="s">
        <v>15415</v>
      </c>
      <c r="VGI1" s="7" t="s">
        <v>15416</v>
      </c>
      <c r="VGJ1" s="7" t="s">
        <v>15417</v>
      </c>
      <c r="VGK1" s="7" t="s">
        <v>15418</v>
      </c>
      <c r="VGL1" s="7" t="s">
        <v>15419</v>
      </c>
      <c r="VGM1" s="7" t="s">
        <v>15420</v>
      </c>
      <c r="VGN1" s="7" t="s">
        <v>15421</v>
      </c>
      <c r="VGO1" s="7" t="s">
        <v>15422</v>
      </c>
      <c r="VGP1" s="7" t="s">
        <v>15423</v>
      </c>
      <c r="VGQ1" s="7" t="s">
        <v>15424</v>
      </c>
      <c r="VGR1" s="7" t="s">
        <v>15425</v>
      </c>
      <c r="VGS1" s="7" t="s">
        <v>15426</v>
      </c>
      <c r="VGT1" s="7" t="s">
        <v>15427</v>
      </c>
      <c r="VGU1" s="7" t="s">
        <v>15428</v>
      </c>
      <c r="VGV1" s="7" t="s">
        <v>15429</v>
      </c>
      <c r="VGW1" s="7" t="s">
        <v>15430</v>
      </c>
      <c r="VGX1" s="7" t="s">
        <v>15431</v>
      </c>
      <c r="VGY1" s="7" t="s">
        <v>15432</v>
      </c>
      <c r="VGZ1" s="7" t="s">
        <v>15433</v>
      </c>
      <c r="VHA1" s="7" t="s">
        <v>15434</v>
      </c>
      <c r="VHB1" s="7" t="s">
        <v>15435</v>
      </c>
      <c r="VHC1" s="7" t="s">
        <v>15436</v>
      </c>
      <c r="VHD1" s="7" t="s">
        <v>15437</v>
      </c>
      <c r="VHE1" s="7" t="s">
        <v>15438</v>
      </c>
      <c r="VHF1" s="7" t="s">
        <v>15439</v>
      </c>
      <c r="VHG1" s="7" t="s">
        <v>15440</v>
      </c>
      <c r="VHH1" s="7" t="s">
        <v>15441</v>
      </c>
      <c r="VHI1" s="7" t="s">
        <v>15442</v>
      </c>
      <c r="VHJ1" s="7" t="s">
        <v>15443</v>
      </c>
      <c r="VHK1" s="7" t="s">
        <v>15444</v>
      </c>
      <c r="VHL1" s="7" t="s">
        <v>15445</v>
      </c>
      <c r="VHM1" s="7" t="s">
        <v>15446</v>
      </c>
      <c r="VHN1" s="7" t="s">
        <v>15447</v>
      </c>
      <c r="VHO1" s="7" t="s">
        <v>15448</v>
      </c>
      <c r="VHP1" s="7" t="s">
        <v>15449</v>
      </c>
      <c r="VHQ1" s="7" t="s">
        <v>15450</v>
      </c>
      <c r="VHR1" s="7" t="s">
        <v>15451</v>
      </c>
      <c r="VHS1" s="7" t="s">
        <v>15452</v>
      </c>
      <c r="VHT1" s="7" t="s">
        <v>15453</v>
      </c>
      <c r="VHU1" s="7" t="s">
        <v>15454</v>
      </c>
      <c r="VHV1" s="7" t="s">
        <v>15455</v>
      </c>
      <c r="VHW1" s="7" t="s">
        <v>15456</v>
      </c>
      <c r="VHX1" s="7" t="s">
        <v>15457</v>
      </c>
      <c r="VHY1" s="7" t="s">
        <v>15458</v>
      </c>
      <c r="VHZ1" s="7" t="s">
        <v>15459</v>
      </c>
      <c r="VIA1" s="7" t="s">
        <v>15460</v>
      </c>
      <c r="VIB1" s="7" t="s">
        <v>15461</v>
      </c>
      <c r="VIC1" s="7" t="s">
        <v>15462</v>
      </c>
      <c r="VID1" s="7" t="s">
        <v>15463</v>
      </c>
      <c r="VIE1" s="7" t="s">
        <v>15464</v>
      </c>
      <c r="VIF1" s="7" t="s">
        <v>15465</v>
      </c>
      <c r="VIG1" s="7" t="s">
        <v>15466</v>
      </c>
      <c r="VIH1" s="7" t="s">
        <v>15467</v>
      </c>
      <c r="VII1" s="7" t="s">
        <v>15468</v>
      </c>
      <c r="VIJ1" s="7" t="s">
        <v>15469</v>
      </c>
      <c r="VIK1" s="7" t="s">
        <v>15470</v>
      </c>
      <c r="VIL1" s="7" t="s">
        <v>15471</v>
      </c>
      <c r="VIM1" s="7" t="s">
        <v>15472</v>
      </c>
      <c r="VIN1" s="7" t="s">
        <v>15473</v>
      </c>
      <c r="VIO1" s="7" t="s">
        <v>15474</v>
      </c>
      <c r="VIP1" s="7" t="s">
        <v>15475</v>
      </c>
      <c r="VIQ1" s="7" t="s">
        <v>15476</v>
      </c>
      <c r="VIR1" s="7" t="s">
        <v>15477</v>
      </c>
      <c r="VIS1" s="7" t="s">
        <v>15478</v>
      </c>
      <c r="VIT1" s="7" t="s">
        <v>15479</v>
      </c>
      <c r="VIU1" s="7" t="s">
        <v>15480</v>
      </c>
      <c r="VIV1" s="7" t="s">
        <v>15481</v>
      </c>
      <c r="VIW1" s="7" t="s">
        <v>15482</v>
      </c>
      <c r="VIX1" s="7" t="s">
        <v>15483</v>
      </c>
      <c r="VIY1" s="7" t="s">
        <v>15484</v>
      </c>
      <c r="VIZ1" s="7" t="s">
        <v>15485</v>
      </c>
      <c r="VJA1" s="7" t="s">
        <v>15486</v>
      </c>
      <c r="VJB1" s="7" t="s">
        <v>15487</v>
      </c>
      <c r="VJC1" s="7" t="s">
        <v>15488</v>
      </c>
      <c r="VJD1" s="7" t="s">
        <v>15489</v>
      </c>
      <c r="VJE1" s="7" t="s">
        <v>15490</v>
      </c>
      <c r="VJF1" s="7" t="s">
        <v>15491</v>
      </c>
      <c r="VJG1" s="7" t="s">
        <v>15492</v>
      </c>
      <c r="VJH1" s="7" t="s">
        <v>15493</v>
      </c>
      <c r="VJI1" s="7" t="s">
        <v>15494</v>
      </c>
      <c r="VJJ1" s="7" t="s">
        <v>15495</v>
      </c>
      <c r="VJK1" s="7" t="s">
        <v>15496</v>
      </c>
      <c r="VJL1" s="7" t="s">
        <v>15497</v>
      </c>
      <c r="VJM1" s="7" t="s">
        <v>15498</v>
      </c>
      <c r="VJN1" s="7" t="s">
        <v>15499</v>
      </c>
      <c r="VJO1" s="7" t="s">
        <v>15500</v>
      </c>
      <c r="VJP1" s="7" t="s">
        <v>15501</v>
      </c>
      <c r="VJQ1" s="7" t="s">
        <v>15502</v>
      </c>
      <c r="VJR1" s="7" t="s">
        <v>15503</v>
      </c>
      <c r="VJS1" s="7" t="s">
        <v>15504</v>
      </c>
      <c r="VJT1" s="7" t="s">
        <v>15505</v>
      </c>
      <c r="VJU1" s="7" t="s">
        <v>15506</v>
      </c>
      <c r="VJV1" s="7" t="s">
        <v>15507</v>
      </c>
      <c r="VJW1" s="7" t="s">
        <v>15508</v>
      </c>
      <c r="VJX1" s="7" t="s">
        <v>15509</v>
      </c>
      <c r="VJY1" s="7" t="s">
        <v>15510</v>
      </c>
      <c r="VJZ1" s="7" t="s">
        <v>15511</v>
      </c>
      <c r="VKA1" s="7" t="s">
        <v>15512</v>
      </c>
      <c r="VKB1" s="7" t="s">
        <v>15513</v>
      </c>
      <c r="VKC1" s="7" t="s">
        <v>15514</v>
      </c>
      <c r="VKD1" s="7" t="s">
        <v>15515</v>
      </c>
      <c r="VKE1" s="7" t="s">
        <v>15516</v>
      </c>
      <c r="VKF1" s="7" t="s">
        <v>15517</v>
      </c>
      <c r="VKG1" s="7" t="s">
        <v>15518</v>
      </c>
      <c r="VKH1" s="7" t="s">
        <v>15519</v>
      </c>
      <c r="VKI1" s="7" t="s">
        <v>15520</v>
      </c>
      <c r="VKJ1" s="7" t="s">
        <v>15521</v>
      </c>
      <c r="VKK1" s="7" t="s">
        <v>15522</v>
      </c>
      <c r="VKL1" s="7" t="s">
        <v>15523</v>
      </c>
      <c r="VKM1" s="7" t="s">
        <v>15524</v>
      </c>
      <c r="VKN1" s="7" t="s">
        <v>15525</v>
      </c>
      <c r="VKO1" s="7" t="s">
        <v>15526</v>
      </c>
      <c r="VKP1" s="7" t="s">
        <v>15527</v>
      </c>
      <c r="VKQ1" s="7" t="s">
        <v>15528</v>
      </c>
      <c r="VKR1" s="7" t="s">
        <v>15529</v>
      </c>
      <c r="VKS1" s="7" t="s">
        <v>15530</v>
      </c>
      <c r="VKT1" s="7" t="s">
        <v>15531</v>
      </c>
      <c r="VKU1" s="7" t="s">
        <v>15532</v>
      </c>
      <c r="VKV1" s="7" t="s">
        <v>15533</v>
      </c>
      <c r="VKW1" s="7" t="s">
        <v>15534</v>
      </c>
      <c r="VKX1" s="7" t="s">
        <v>15535</v>
      </c>
      <c r="VKY1" s="7" t="s">
        <v>15536</v>
      </c>
      <c r="VKZ1" s="7" t="s">
        <v>15537</v>
      </c>
      <c r="VLA1" s="7" t="s">
        <v>15538</v>
      </c>
      <c r="VLB1" s="7" t="s">
        <v>15539</v>
      </c>
      <c r="VLC1" s="7" t="s">
        <v>15540</v>
      </c>
      <c r="VLD1" s="7" t="s">
        <v>15541</v>
      </c>
      <c r="VLE1" s="7" t="s">
        <v>15542</v>
      </c>
      <c r="VLF1" s="7" t="s">
        <v>15543</v>
      </c>
      <c r="VLG1" s="7" t="s">
        <v>15544</v>
      </c>
      <c r="VLH1" s="7" t="s">
        <v>15545</v>
      </c>
      <c r="VLI1" s="7" t="s">
        <v>15546</v>
      </c>
      <c r="VLJ1" s="7" t="s">
        <v>15547</v>
      </c>
      <c r="VLK1" s="7" t="s">
        <v>15548</v>
      </c>
      <c r="VLL1" s="7" t="s">
        <v>15549</v>
      </c>
      <c r="VLM1" s="7" t="s">
        <v>15550</v>
      </c>
      <c r="VLN1" s="7" t="s">
        <v>15551</v>
      </c>
      <c r="VLO1" s="7" t="s">
        <v>15552</v>
      </c>
      <c r="VLP1" s="7" t="s">
        <v>15553</v>
      </c>
      <c r="VLQ1" s="7" t="s">
        <v>15554</v>
      </c>
      <c r="VLR1" s="7" t="s">
        <v>15555</v>
      </c>
      <c r="VLS1" s="7" t="s">
        <v>15556</v>
      </c>
      <c r="VLT1" s="7" t="s">
        <v>15557</v>
      </c>
      <c r="VLU1" s="7" t="s">
        <v>15558</v>
      </c>
      <c r="VLV1" s="7" t="s">
        <v>15559</v>
      </c>
      <c r="VLW1" s="7" t="s">
        <v>15560</v>
      </c>
      <c r="VLX1" s="7" t="s">
        <v>15561</v>
      </c>
      <c r="VLY1" s="7" t="s">
        <v>15562</v>
      </c>
      <c r="VLZ1" s="7" t="s">
        <v>15563</v>
      </c>
      <c r="VMA1" s="7" t="s">
        <v>15564</v>
      </c>
      <c r="VMB1" s="7" t="s">
        <v>15565</v>
      </c>
      <c r="VMC1" s="7" t="s">
        <v>15566</v>
      </c>
      <c r="VMD1" s="7" t="s">
        <v>15567</v>
      </c>
      <c r="VME1" s="7" t="s">
        <v>15568</v>
      </c>
      <c r="VMF1" s="7" t="s">
        <v>15569</v>
      </c>
      <c r="VMG1" s="7" t="s">
        <v>15570</v>
      </c>
      <c r="VMH1" s="7" t="s">
        <v>15571</v>
      </c>
      <c r="VMI1" s="7" t="s">
        <v>15572</v>
      </c>
      <c r="VMJ1" s="7" t="s">
        <v>15573</v>
      </c>
      <c r="VMK1" s="7" t="s">
        <v>15574</v>
      </c>
      <c r="VML1" s="7" t="s">
        <v>15575</v>
      </c>
      <c r="VMM1" s="7" t="s">
        <v>15576</v>
      </c>
      <c r="VMN1" s="7" t="s">
        <v>15577</v>
      </c>
      <c r="VMO1" s="7" t="s">
        <v>15578</v>
      </c>
      <c r="VMP1" s="7" t="s">
        <v>15579</v>
      </c>
      <c r="VMQ1" s="7" t="s">
        <v>15580</v>
      </c>
      <c r="VMR1" s="7" t="s">
        <v>15581</v>
      </c>
      <c r="VMS1" s="7" t="s">
        <v>15582</v>
      </c>
      <c r="VMT1" s="7" t="s">
        <v>15583</v>
      </c>
      <c r="VMU1" s="7" t="s">
        <v>15584</v>
      </c>
      <c r="VMV1" s="7" t="s">
        <v>15585</v>
      </c>
      <c r="VMW1" s="7" t="s">
        <v>15586</v>
      </c>
      <c r="VMX1" s="7" t="s">
        <v>15587</v>
      </c>
      <c r="VMY1" s="7" t="s">
        <v>15588</v>
      </c>
      <c r="VMZ1" s="7" t="s">
        <v>15589</v>
      </c>
      <c r="VNA1" s="7" t="s">
        <v>15590</v>
      </c>
      <c r="VNB1" s="7" t="s">
        <v>15591</v>
      </c>
      <c r="VNC1" s="7" t="s">
        <v>15592</v>
      </c>
      <c r="VND1" s="7" t="s">
        <v>15593</v>
      </c>
      <c r="VNE1" s="7" t="s">
        <v>15594</v>
      </c>
      <c r="VNF1" s="7" t="s">
        <v>15595</v>
      </c>
      <c r="VNG1" s="7" t="s">
        <v>15596</v>
      </c>
      <c r="VNH1" s="7" t="s">
        <v>15597</v>
      </c>
      <c r="VNI1" s="7" t="s">
        <v>15598</v>
      </c>
      <c r="VNJ1" s="7" t="s">
        <v>15599</v>
      </c>
      <c r="VNK1" s="7" t="s">
        <v>15600</v>
      </c>
      <c r="VNL1" s="7" t="s">
        <v>15601</v>
      </c>
      <c r="VNM1" s="7" t="s">
        <v>15602</v>
      </c>
      <c r="VNN1" s="7" t="s">
        <v>15603</v>
      </c>
      <c r="VNO1" s="7" t="s">
        <v>15604</v>
      </c>
      <c r="VNP1" s="7" t="s">
        <v>15605</v>
      </c>
      <c r="VNQ1" s="7" t="s">
        <v>15606</v>
      </c>
      <c r="VNR1" s="7" t="s">
        <v>15607</v>
      </c>
      <c r="VNS1" s="7" t="s">
        <v>15608</v>
      </c>
      <c r="VNT1" s="7" t="s">
        <v>15609</v>
      </c>
      <c r="VNU1" s="7" t="s">
        <v>15610</v>
      </c>
      <c r="VNV1" s="7" t="s">
        <v>15611</v>
      </c>
      <c r="VNW1" s="7" t="s">
        <v>15612</v>
      </c>
      <c r="VNX1" s="7" t="s">
        <v>15613</v>
      </c>
      <c r="VNY1" s="7" t="s">
        <v>15614</v>
      </c>
      <c r="VNZ1" s="7" t="s">
        <v>15615</v>
      </c>
      <c r="VOA1" s="7" t="s">
        <v>15616</v>
      </c>
      <c r="VOB1" s="7" t="s">
        <v>15617</v>
      </c>
      <c r="VOC1" s="7" t="s">
        <v>15618</v>
      </c>
      <c r="VOD1" s="7" t="s">
        <v>15619</v>
      </c>
      <c r="VOE1" s="7" t="s">
        <v>15620</v>
      </c>
      <c r="VOF1" s="7" t="s">
        <v>15621</v>
      </c>
      <c r="VOG1" s="7" t="s">
        <v>15622</v>
      </c>
      <c r="VOH1" s="7" t="s">
        <v>15623</v>
      </c>
      <c r="VOI1" s="7" t="s">
        <v>15624</v>
      </c>
      <c r="VOJ1" s="7" t="s">
        <v>15625</v>
      </c>
      <c r="VOK1" s="7" t="s">
        <v>15626</v>
      </c>
      <c r="VOL1" s="7" t="s">
        <v>15627</v>
      </c>
      <c r="VOM1" s="7" t="s">
        <v>15628</v>
      </c>
      <c r="VON1" s="7" t="s">
        <v>15629</v>
      </c>
      <c r="VOO1" s="7" t="s">
        <v>15630</v>
      </c>
      <c r="VOP1" s="7" t="s">
        <v>15631</v>
      </c>
      <c r="VOQ1" s="7" t="s">
        <v>15632</v>
      </c>
      <c r="VOR1" s="7" t="s">
        <v>15633</v>
      </c>
      <c r="VOS1" s="7" t="s">
        <v>15634</v>
      </c>
      <c r="VOT1" s="7" t="s">
        <v>15635</v>
      </c>
      <c r="VOU1" s="7" t="s">
        <v>15636</v>
      </c>
      <c r="VOV1" s="7" t="s">
        <v>15637</v>
      </c>
      <c r="VOW1" s="7" t="s">
        <v>15638</v>
      </c>
      <c r="VOX1" s="7" t="s">
        <v>15639</v>
      </c>
      <c r="VOY1" s="7" t="s">
        <v>15640</v>
      </c>
      <c r="VOZ1" s="7" t="s">
        <v>15641</v>
      </c>
      <c r="VPA1" s="7" t="s">
        <v>15642</v>
      </c>
      <c r="VPB1" s="7" t="s">
        <v>15643</v>
      </c>
      <c r="VPC1" s="7" t="s">
        <v>15644</v>
      </c>
      <c r="VPD1" s="7" t="s">
        <v>15645</v>
      </c>
      <c r="VPE1" s="7" t="s">
        <v>15646</v>
      </c>
      <c r="VPF1" s="7" t="s">
        <v>15647</v>
      </c>
      <c r="VPG1" s="7" t="s">
        <v>15648</v>
      </c>
      <c r="VPH1" s="7" t="s">
        <v>15649</v>
      </c>
      <c r="VPI1" s="7" t="s">
        <v>15650</v>
      </c>
      <c r="VPJ1" s="7" t="s">
        <v>15651</v>
      </c>
      <c r="VPK1" s="7" t="s">
        <v>15652</v>
      </c>
      <c r="VPL1" s="7" t="s">
        <v>15653</v>
      </c>
      <c r="VPM1" s="7" t="s">
        <v>15654</v>
      </c>
      <c r="VPN1" s="7" t="s">
        <v>15655</v>
      </c>
      <c r="VPO1" s="7" t="s">
        <v>15656</v>
      </c>
      <c r="VPP1" s="7" t="s">
        <v>15657</v>
      </c>
      <c r="VPQ1" s="7" t="s">
        <v>15658</v>
      </c>
      <c r="VPR1" s="7" t="s">
        <v>15659</v>
      </c>
      <c r="VPS1" s="7" t="s">
        <v>15660</v>
      </c>
      <c r="VPT1" s="7" t="s">
        <v>15661</v>
      </c>
      <c r="VPU1" s="7" t="s">
        <v>15662</v>
      </c>
      <c r="VPV1" s="7" t="s">
        <v>15663</v>
      </c>
      <c r="VPW1" s="7" t="s">
        <v>15664</v>
      </c>
      <c r="VPX1" s="7" t="s">
        <v>15665</v>
      </c>
      <c r="VPY1" s="7" t="s">
        <v>15666</v>
      </c>
      <c r="VPZ1" s="7" t="s">
        <v>15667</v>
      </c>
      <c r="VQA1" s="7" t="s">
        <v>15668</v>
      </c>
      <c r="VQB1" s="7" t="s">
        <v>15669</v>
      </c>
      <c r="VQC1" s="7" t="s">
        <v>15670</v>
      </c>
      <c r="VQD1" s="7" t="s">
        <v>15671</v>
      </c>
      <c r="VQE1" s="7" t="s">
        <v>15672</v>
      </c>
      <c r="VQF1" s="7" t="s">
        <v>15673</v>
      </c>
      <c r="VQG1" s="7" t="s">
        <v>15674</v>
      </c>
      <c r="VQH1" s="7" t="s">
        <v>15675</v>
      </c>
      <c r="VQI1" s="7" t="s">
        <v>15676</v>
      </c>
      <c r="VQJ1" s="7" t="s">
        <v>15677</v>
      </c>
      <c r="VQK1" s="7" t="s">
        <v>15678</v>
      </c>
      <c r="VQL1" s="7" t="s">
        <v>15679</v>
      </c>
      <c r="VQM1" s="7" t="s">
        <v>15680</v>
      </c>
      <c r="VQN1" s="7" t="s">
        <v>15681</v>
      </c>
      <c r="VQO1" s="7" t="s">
        <v>15682</v>
      </c>
      <c r="VQP1" s="7" t="s">
        <v>15683</v>
      </c>
      <c r="VQQ1" s="7" t="s">
        <v>15684</v>
      </c>
      <c r="VQR1" s="7" t="s">
        <v>15685</v>
      </c>
      <c r="VQS1" s="7" t="s">
        <v>15686</v>
      </c>
      <c r="VQT1" s="7" t="s">
        <v>15687</v>
      </c>
      <c r="VQU1" s="7" t="s">
        <v>15688</v>
      </c>
      <c r="VQV1" s="7" t="s">
        <v>15689</v>
      </c>
      <c r="VQW1" s="7" t="s">
        <v>15690</v>
      </c>
      <c r="VQX1" s="7" t="s">
        <v>15691</v>
      </c>
      <c r="VQY1" s="7" t="s">
        <v>15692</v>
      </c>
      <c r="VQZ1" s="7" t="s">
        <v>15693</v>
      </c>
      <c r="VRA1" s="7" t="s">
        <v>15694</v>
      </c>
      <c r="VRB1" s="7" t="s">
        <v>15695</v>
      </c>
      <c r="VRC1" s="7" t="s">
        <v>15696</v>
      </c>
      <c r="VRD1" s="7" t="s">
        <v>15697</v>
      </c>
      <c r="VRE1" s="7" t="s">
        <v>15698</v>
      </c>
      <c r="VRF1" s="7" t="s">
        <v>15699</v>
      </c>
      <c r="VRG1" s="7" t="s">
        <v>15700</v>
      </c>
      <c r="VRH1" s="7" t="s">
        <v>15701</v>
      </c>
      <c r="VRI1" s="7" t="s">
        <v>15702</v>
      </c>
      <c r="VRJ1" s="7" t="s">
        <v>15703</v>
      </c>
      <c r="VRK1" s="7" t="s">
        <v>15704</v>
      </c>
      <c r="VRL1" s="7" t="s">
        <v>15705</v>
      </c>
      <c r="VRM1" s="7" t="s">
        <v>15706</v>
      </c>
      <c r="VRN1" s="7" t="s">
        <v>15707</v>
      </c>
      <c r="VRO1" s="7" t="s">
        <v>15708</v>
      </c>
      <c r="VRP1" s="7" t="s">
        <v>15709</v>
      </c>
      <c r="VRQ1" s="7" t="s">
        <v>15710</v>
      </c>
      <c r="VRR1" s="7" t="s">
        <v>15711</v>
      </c>
      <c r="VRS1" s="7" t="s">
        <v>15712</v>
      </c>
      <c r="VRT1" s="7" t="s">
        <v>15713</v>
      </c>
      <c r="VRU1" s="7" t="s">
        <v>15714</v>
      </c>
      <c r="VRV1" s="7" t="s">
        <v>15715</v>
      </c>
      <c r="VRW1" s="7" t="s">
        <v>15716</v>
      </c>
      <c r="VRX1" s="7" t="s">
        <v>15717</v>
      </c>
      <c r="VRY1" s="7" t="s">
        <v>15718</v>
      </c>
      <c r="VRZ1" s="7" t="s">
        <v>15719</v>
      </c>
      <c r="VSA1" s="7" t="s">
        <v>15720</v>
      </c>
      <c r="VSB1" s="7" t="s">
        <v>15721</v>
      </c>
      <c r="VSC1" s="7" t="s">
        <v>15722</v>
      </c>
      <c r="VSD1" s="7" t="s">
        <v>15723</v>
      </c>
      <c r="VSE1" s="7" t="s">
        <v>15724</v>
      </c>
      <c r="VSF1" s="7" t="s">
        <v>15725</v>
      </c>
      <c r="VSG1" s="7" t="s">
        <v>15726</v>
      </c>
      <c r="VSH1" s="7" t="s">
        <v>15727</v>
      </c>
      <c r="VSI1" s="7" t="s">
        <v>15728</v>
      </c>
      <c r="VSJ1" s="7" t="s">
        <v>15729</v>
      </c>
      <c r="VSK1" s="7" t="s">
        <v>15730</v>
      </c>
      <c r="VSL1" s="7" t="s">
        <v>15731</v>
      </c>
      <c r="VSM1" s="7" t="s">
        <v>15732</v>
      </c>
      <c r="VSN1" s="7" t="s">
        <v>15733</v>
      </c>
      <c r="VSO1" s="7" t="s">
        <v>15734</v>
      </c>
      <c r="VSP1" s="7" t="s">
        <v>15735</v>
      </c>
      <c r="VSQ1" s="7" t="s">
        <v>15736</v>
      </c>
      <c r="VSR1" s="7" t="s">
        <v>15737</v>
      </c>
      <c r="VSS1" s="7" t="s">
        <v>15738</v>
      </c>
      <c r="VST1" s="7" t="s">
        <v>15739</v>
      </c>
      <c r="VSU1" s="7" t="s">
        <v>15740</v>
      </c>
      <c r="VSV1" s="7" t="s">
        <v>15741</v>
      </c>
      <c r="VSW1" s="7" t="s">
        <v>15742</v>
      </c>
      <c r="VSX1" s="7" t="s">
        <v>15743</v>
      </c>
      <c r="VSY1" s="7" t="s">
        <v>15744</v>
      </c>
      <c r="VSZ1" s="7" t="s">
        <v>15745</v>
      </c>
      <c r="VTA1" s="7" t="s">
        <v>15746</v>
      </c>
      <c r="VTB1" s="7" t="s">
        <v>15747</v>
      </c>
      <c r="VTC1" s="7" t="s">
        <v>15748</v>
      </c>
      <c r="VTD1" s="7" t="s">
        <v>15749</v>
      </c>
      <c r="VTE1" s="7" t="s">
        <v>15750</v>
      </c>
      <c r="VTF1" s="7" t="s">
        <v>15751</v>
      </c>
      <c r="VTG1" s="7" t="s">
        <v>15752</v>
      </c>
      <c r="VTH1" s="7" t="s">
        <v>15753</v>
      </c>
      <c r="VTI1" s="7" t="s">
        <v>15754</v>
      </c>
      <c r="VTJ1" s="7" t="s">
        <v>15755</v>
      </c>
      <c r="VTK1" s="7" t="s">
        <v>15756</v>
      </c>
      <c r="VTL1" s="7" t="s">
        <v>15757</v>
      </c>
      <c r="VTM1" s="7" t="s">
        <v>15758</v>
      </c>
      <c r="VTN1" s="7" t="s">
        <v>15759</v>
      </c>
      <c r="VTO1" s="7" t="s">
        <v>15760</v>
      </c>
      <c r="VTP1" s="7" t="s">
        <v>15761</v>
      </c>
      <c r="VTQ1" s="7" t="s">
        <v>15762</v>
      </c>
      <c r="VTR1" s="7" t="s">
        <v>15763</v>
      </c>
      <c r="VTS1" s="7" t="s">
        <v>15764</v>
      </c>
      <c r="VTT1" s="7" t="s">
        <v>15765</v>
      </c>
      <c r="VTU1" s="7" t="s">
        <v>15766</v>
      </c>
      <c r="VTV1" s="7" t="s">
        <v>15767</v>
      </c>
      <c r="VTW1" s="7" t="s">
        <v>15768</v>
      </c>
      <c r="VTX1" s="7" t="s">
        <v>15769</v>
      </c>
      <c r="VTY1" s="7" t="s">
        <v>15770</v>
      </c>
      <c r="VTZ1" s="7" t="s">
        <v>15771</v>
      </c>
      <c r="VUA1" s="7" t="s">
        <v>15772</v>
      </c>
      <c r="VUB1" s="7" t="s">
        <v>15773</v>
      </c>
      <c r="VUC1" s="7" t="s">
        <v>15774</v>
      </c>
      <c r="VUD1" s="7" t="s">
        <v>15775</v>
      </c>
      <c r="VUE1" s="7" t="s">
        <v>15776</v>
      </c>
      <c r="VUF1" s="7" t="s">
        <v>15777</v>
      </c>
      <c r="VUG1" s="7" t="s">
        <v>15778</v>
      </c>
      <c r="VUH1" s="7" t="s">
        <v>15779</v>
      </c>
      <c r="VUI1" s="7" t="s">
        <v>15780</v>
      </c>
      <c r="VUJ1" s="7" t="s">
        <v>15781</v>
      </c>
      <c r="VUK1" s="7" t="s">
        <v>15782</v>
      </c>
      <c r="VUL1" s="7" t="s">
        <v>15783</v>
      </c>
      <c r="VUM1" s="7" t="s">
        <v>15784</v>
      </c>
      <c r="VUN1" s="7" t="s">
        <v>15785</v>
      </c>
      <c r="VUO1" s="7" t="s">
        <v>15786</v>
      </c>
      <c r="VUP1" s="7" t="s">
        <v>15787</v>
      </c>
      <c r="VUQ1" s="7" t="s">
        <v>15788</v>
      </c>
      <c r="VUR1" s="7" t="s">
        <v>15789</v>
      </c>
      <c r="VUS1" s="7" t="s">
        <v>15790</v>
      </c>
      <c r="VUT1" s="7" t="s">
        <v>15791</v>
      </c>
      <c r="VUU1" s="7" t="s">
        <v>15792</v>
      </c>
      <c r="VUV1" s="7" t="s">
        <v>15793</v>
      </c>
      <c r="VUW1" s="7" t="s">
        <v>15794</v>
      </c>
      <c r="VUX1" s="7" t="s">
        <v>15795</v>
      </c>
      <c r="VUY1" s="7" t="s">
        <v>15796</v>
      </c>
      <c r="VUZ1" s="7" t="s">
        <v>15797</v>
      </c>
      <c r="VVA1" s="7" t="s">
        <v>15798</v>
      </c>
      <c r="VVB1" s="7" t="s">
        <v>15799</v>
      </c>
      <c r="VVC1" s="7" t="s">
        <v>15800</v>
      </c>
      <c r="VVD1" s="7" t="s">
        <v>15801</v>
      </c>
      <c r="VVE1" s="7" t="s">
        <v>15802</v>
      </c>
      <c r="VVF1" s="7" t="s">
        <v>15803</v>
      </c>
      <c r="VVG1" s="7" t="s">
        <v>15804</v>
      </c>
      <c r="VVH1" s="7" t="s">
        <v>15805</v>
      </c>
      <c r="VVI1" s="7" t="s">
        <v>15806</v>
      </c>
      <c r="VVJ1" s="7" t="s">
        <v>15807</v>
      </c>
      <c r="VVK1" s="7" t="s">
        <v>15808</v>
      </c>
      <c r="VVL1" s="7" t="s">
        <v>15809</v>
      </c>
      <c r="VVM1" s="7" t="s">
        <v>15810</v>
      </c>
      <c r="VVN1" s="7" t="s">
        <v>15811</v>
      </c>
      <c r="VVO1" s="7" t="s">
        <v>15812</v>
      </c>
      <c r="VVP1" s="7" t="s">
        <v>15813</v>
      </c>
      <c r="VVQ1" s="7" t="s">
        <v>15814</v>
      </c>
      <c r="VVR1" s="7" t="s">
        <v>15815</v>
      </c>
      <c r="VVS1" s="7" t="s">
        <v>15816</v>
      </c>
      <c r="VVT1" s="7" t="s">
        <v>15817</v>
      </c>
      <c r="VVU1" s="7" t="s">
        <v>15818</v>
      </c>
      <c r="VVV1" s="7" t="s">
        <v>15819</v>
      </c>
      <c r="VVW1" s="7" t="s">
        <v>15820</v>
      </c>
      <c r="VVX1" s="7" t="s">
        <v>15821</v>
      </c>
      <c r="VVY1" s="7" t="s">
        <v>15822</v>
      </c>
      <c r="VVZ1" s="7" t="s">
        <v>15823</v>
      </c>
      <c r="VWA1" s="7" t="s">
        <v>15824</v>
      </c>
      <c r="VWB1" s="7" t="s">
        <v>15825</v>
      </c>
      <c r="VWC1" s="7" t="s">
        <v>15826</v>
      </c>
      <c r="VWD1" s="7" t="s">
        <v>15827</v>
      </c>
      <c r="VWE1" s="7" t="s">
        <v>15828</v>
      </c>
      <c r="VWF1" s="7" t="s">
        <v>15829</v>
      </c>
      <c r="VWG1" s="7" t="s">
        <v>15830</v>
      </c>
      <c r="VWH1" s="7" t="s">
        <v>15831</v>
      </c>
      <c r="VWI1" s="7" t="s">
        <v>15832</v>
      </c>
      <c r="VWJ1" s="7" t="s">
        <v>15833</v>
      </c>
      <c r="VWK1" s="7" t="s">
        <v>15834</v>
      </c>
      <c r="VWL1" s="7" t="s">
        <v>15835</v>
      </c>
      <c r="VWM1" s="7" t="s">
        <v>15836</v>
      </c>
      <c r="VWN1" s="7" t="s">
        <v>15837</v>
      </c>
      <c r="VWO1" s="7" t="s">
        <v>15838</v>
      </c>
      <c r="VWP1" s="7" t="s">
        <v>15839</v>
      </c>
      <c r="VWQ1" s="7" t="s">
        <v>15840</v>
      </c>
      <c r="VWR1" s="7" t="s">
        <v>15841</v>
      </c>
      <c r="VWS1" s="7" t="s">
        <v>15842</v>
      </c>
      <c r="VWT1" s="7" t="s">
        <v>15843</v>
      </c>
      <c r="VWU1" s="7" t="s">
        <v>15844</v>
      </c>
      <c r="VWV1" s="7" t="s">
        <v>15845</v>
      </c>
      <c r="VWW1" s="7" t="s">
        <v>15846</v>
      </c>
      <c r="VWX1" s="7" t="s">
        <v>15847</v>
      </c>
      <c r="VWY1" s="7" t="s">
        <v>15848</v>
      </c>
      <c r="VWZ1" s="7" t="s">
        <v>15849</v>
      </c>
      <c r="VXA1" s="7" t="s">
        <v>15850</v>
      </c>
      <c r="VXB1" s="7" t="s">
        <v>15851</v>
      </c>
      <c r="VXC1" s="7" t="s">
        <v>15852</v>
      </c>
      <c r="VXD1" s="7" t="s">
        <v>15853</v>
      </c>
      <c r="VXE1" s="7" t="s">
        <v>15854</v>
      </c>
      <c r="VXF1" s="7" t="s">
        <v>15855</v>
      </c>
      <c r="VXG1" s="7" t="s">
        <v>15856</v>
      </c>
      <c r="VXH1" s="7" t="s">
        <v>15857</v>
      </c>
      <c r="VXI1" s="7" t="s">
        <v>15858</v>
      </c>
      <c r="VXJ1" s="7" t="s">
        <v>15859</v>
      </c>
      <c r="VXK1" s="7" t="s">
        <v>15860</v>
      </c>
      <c r="VXL1" s="7" t="s">
        <v>15861</v>
      </c>
      <c r="VXM1" s="7" t="s">
        <v>15862</v>
      </c>
      <c r="VXN1" s="7" t="s">
        <v>15863</v>
      </c>
      <c r="VXO1" s="7" t="s">
        <v>15864</v>
      </c>
      <c r="VXP1" s="7" t="s">
        <v>15865</v>
      </c>
      <c r="VXQ1" s="7" t="s">
        <v>15866</v>
      </c>
      <c r="VXR1" s="7" t="s">
        <v>15867</v>
      </c>
      <c r="VXS1" s="7" t="s">
        <v>15868</v>
      </c>
      <c r="VXT1" s="7" t="s">
        <v>15869</v>
      </c>
      <c r="VXU1" s="7" t="s">
        <v>15870</v>
      </c>
      <c r="VXV1" s="7" t="s">
        <v>15871</v>
      </c>
      <c r="VXW1" s="7" t="s">
        <v>15872</v>
      </c>
      <c r="VXX1" s="7" t="s">
        <v>15873</v>
      </c>
      <c r="VXY1" s="7" t="s">
        <v>15874</v>
      </c>
      <c r="VXZ1" s="7" t="s">
        <v>15875</v>
      </c>
      <c r="VYA1" s="7" t="s">
        <v>15876</v>
      </c>
      <c r="VYB1" s="7" t="s">
        <v>15877</v>
      </c>
      <c r="VYC1" s="7" t="s">
        <v>15878</v>
      </c>
      <c r="VYD1" s="7" t="s">
        <v>15879</v>
      </c>
      <c r="VYE1" s="7" t="s">
        <v>15880</v>
      </c>
      <c r="VYF1" s="7" t="s">
        <v>15881</v>
      </c>
      <c r="VYG1" s="7" t="s">
        <v>15882</v>
      </c>
      <c r="VYH1" s="7" t="s">
        <v>15883</v>
      </c>
      <c r="VYI1" s="7" t="s">
        <v>15884</v>
      </c>
      <c r="VYJ1" s="7" t="s">
        <v>15885</v>
      </c>
      <c r="VYK1" s="7" t="s">
        <v>15886</v>
      </c>
      <c r="VYL1" s="7" t="s">
        <v>15887</v>
      </c>
      <c r="VYM1" s="7" t="s">
        <v>15888</v>
      </c>
      <c r="VYN1" s="7" t="s">
        <v>15889</v>
      </c>
      <c r="VYO1" s="7" t="s">
        <v>15890</v>
      </c>
      <c r="VYP1" s="7" t="s">
        <v>15891</v>
      </c>
      <c r="VYQ1" s="7" t="s">
        <v>15892</v>
      </c>
      <c r="VYR1" s="7" t="s">
        <v>15893</v>
      </c>
      <c r="VYS1" s="7" t="s">
        <v>15894</v>
      </c>
      <c r="VYT1" s="7" t="s">
        <v>15895</v>
      </c>
      <c r="VYU1" s="7" t="s">
        <v>15896</v>
      </c>
      <c r="VYV1" s="7" t="s">
        <v>15897</v>
      </c>
      <c r="VYW1" s="7" t="s">
        <v>15898</v>
      </c>
      <c r="VYX1" s="7" t="s">
        <v>15899</v>
      </c>
      <c r="VYY1" s="7" t="s">
        <v>15900</v>
      </c>
      <c r="VYZ1" s="7" t="s">
        <v>15901</v>
      </c>
      <c r="VZA1" s="7" t="s">
        <v>15902</v>
      </c>
      <c r="VZB1" s="7" t="s">
        <v>15903</v>
      </c>
      <c r="VZC1" s="7" t="s">
        <v>15904</v>
      </c>
      <c r="VZD1" s="7" t="s">
        <v>15905</v>
      </c>
      <c r="VZE1" s="7" t="s">
        <v>15906</v>
      </c>
      <c r="VZF1" s="7" t="s">
        <v>15907</v>
      </c>
      <c r="VZG1" s="7" t="s">
        <v>15908</v>
      </c>
      <c r="VZH1" s="7" t="s">
        <v>15909</v>
      </c>
      <c r="VZI1" s="7" t="s">
        <v>15910</v>
      </c>
      <c r="VZJ1" s="7" t="s">
        <v>15911</v>
      </c>
      <c r="VZK1" s="7" t="s">
        <v>15912</v>
      </c>
      <c r="VZL1" s="7" t="s">
        <v>15913</v>
      </c>
      <c r="VZM1" s="7" t="s">
        <v>15914</v>
      </c>
      <c r="VZN1" s="7" t="s">
        <v>15915</v>
      </c>
      <c r="VZO1" s="7" t="s">
        <v>15916</v>
      </c>
      <c r="VZP1" s="7" t="s">
        <v>15917</v>
      </c>
      <c r="VZQ1" s="7" t="s">
        <v>15918</v>
      </c>
      <c r="VZR1" s="7" t="s">
        <v>15919</v>
      </c>
      <c r="VZS1" s="7" t="s">
        <v>15920</v>
      </c>
      <c r="VZT1" s="7" t="s">
        <v>15921</v>
      </c>
      <c r="VZU1" s="7" t="s">
        <v>15922</v>
      </c>
      <c r="VZV1" s="7" t="s">
        <v>15923</v>
      </c>
      <c r="VZW1" s="7" t="s">
        <v>15924</v>
      </c>
      <c r="VZX1" s="7" t="s">
        <v>15925</v>
      </c>
      <c r="VZY1" s="7" t="s">
        <v>15926</v>
      </c>
      <c r="VZZ1" s="7" t="s">
        <v>15927</v>
      </c>
      <c r="WAA1" s="7" t="s">
        <v>15928</v>
      </c>
      <c r="WAB1" s="7" t="s">
        <v>15929</v>
      </c>
      <c r="WAC1" s="7" t="s">
        <v>15930</v>
      </c>
      <c r="WAD1" s="7" t="s">
        <v>15931</v>
      </c>
      <c r="WAE1" s="7" t="s">
        <v>15932</v>
      </c>
      <c r="WAF1" s="7" t="s">
        <v>15933</v>
      </c>
      <c r="WAG1" s="7" t="s">
        <v>15934</v>
      </c>
      <c r="WAH1" s="7" t="s">
        <v>15935</v>
      </c>
      <c r="WAI1" s="7" t="s">
        <v>15936</v>
      </c>
      <c r="WAJ1" s="7" t="s">
        <v>15937</v>
      </c>
      <c r="WAK1" s="7" t="s">
        <v>15938</v>
      </c>
      <c r="WAL1" s="7" t="s">
        <v>15939</v>
      </c>
      <c r="WAM1" s="7" t="s">
        <v>15940</v>
      </c>
      <c r="WAN1" s="7" t="s">
        <v>15941</v>
      </c>
      <c r="WAO1" s="7" t="s">
        <v>15942</v>
      </c>
      <c r="WAP1" s="7" t="s">
        <v>15943</v>
      </c>
      <c r="WAQ1" s="7" t="s">
        <v>15944</v>
      </c>
      <c r="WAR1" s="7" t="s">
        <v>15945</v>
      </c>
      <c r="WAS1" s="7" t="s">
        <v>15946</v>
      </c>
      <c r="WAT1" s="7" t="s">
        <v>15947</v>
      </c>
      <c r="WAU1" s="7" t="s">
        <v>15948</v>
      </c>
      <c r="WAV1" s="7" t="s">
        <v>15949</v>
      </c>
      <c r="WAW1" s="7" t="s">
        <v>15950</v>
      </c>
      <c r="WAX1" s="7" t="s">
        <v>15951</v>
      </c>
      <c r="WAY1" s="7" t="s">
        <v>15952</v>
      </c>
      <c r="WAZ1" s="7" t="s">
        <v>15953</v>
      </c>
      <c r="WBA1" s="7" t="s">
        <v>15954</v>
      </c>
      <c r="WBB1" s="7" t="s">
        <v>15955</v>
      </c>
      <c r="WBC1" s="7" t="s">
        <v>15956</v>
      </c>
      <c r="WBD1" s="7" t="s">
        <v>15957</v>
      </c>
      <c r="WBE1" s="7" t="s">
        <v>15958</v>
      </c>
      <c r="WBF1" s="7" t="s">
        <v>15959</v>
      </c>
      <c r="WBG1" s="7" t="s">
        <v>15960</v>
      </c>
      <c r="WBH1" s="7" t="s">
        <v>15961</v>
      </c>
      <c r="WBI1" s="7" t="s">
        <v>15962</v>
      </c>
      <c r="WBJ1" s="7" t="s">
        <v>15963</v>
      </c>
      <c r="WBK1" s="7" t="s">
        <v>15964</v>
      </c>
      <c r="WBL1" s="7" t="s">
        <v>15965</v>
      </c>
      <c r="WBM1" s="7" t="s">
        <v>15966</v>
      </c>
      <c r="WBN1" s="7" t="s">
        <v>15967</v>
      </c>
      <c r="WBO1" s="7" t="s">
        <v>15968</v>
      </c>
      <c r="WBP1" s="7" t="s">
        <v>15969</v>
      </c>
      <c r="WBQ1" s="7" t="s">
        <v>15970</v>
      </c>
      <c r="WBR1" s="7" t="s">
        <v>15971</v>
      </c>
      <c r="WBS1" s="7" t="s">
        <v>15972</v>
      </c>
      <c r="WBT1" s="7" t="s">
        <v>15973</v>
      </c>
      <c r="WBU1" s="7" t="s">
        <v>15974</v>
      </c>
      <c r="WBV1" s="7" t="s">
        <v>15975</v>
      </c>
      <c r="WBW1" s="7" t="s">
        <v>15976</v>
      </c>
      <c r="WBX1" s="7" t="s">
        <v>15977</v>
      </c>
      <c r="WBY1" s="7" t="s">
        <v>15978</v>
      </c>
      <c r="WBZ1" s="7" t="s">
        <v>15979</v>
      </c>
      <c r="WCA1" s="7" t="s">
        <v>15980</v>
      </c>
      <c r="WCB1" s="7" t="s">
        <v>15981</v>
      </c>
      <c r="WCC1" s="7" t="s">
        <v>15982</v>
      </c>
      <c r="WCD1" s="7" t="s">
        <v>15983</v>
      </c>
      <c r="WCE1" s="7" t="s">
        <v>15984</v>
      </c>
      <c r="WCF1" s="7" t="s">
        <v>15985</v>
      </c>
      <c r="WCG1" s="7" t="s">
        <v>15986</v>
      </c>
      <c r="WCH1" s="7" t="s">
        <v>15987</v>
      </c>
      <c r="WCI1" s="7" t="s">
        <v>15988</v>
      </c>
      <c r="WCJ1" s="7" t="s">
        <v>15989</v>
      </c>
      <c r="WCK1" s="7" t="s">
        <v>15990</v>
      </c>
      <c r="WCL1" s="7" t="s">
        <v>15991</v>
      </c>
      <c r="WCM1" s="7" t="s">
        <v>15992</v>
      </c>
      <c r="WCN1" s="7" t="s">
        <v>15993</v>
      </c>
      <c r="WCO1" s="7" t="s">
        <v>15994</v>
      </c>
      <c r="WCP1" s="7" t="s">
        <v>15995</v>
      </c>
      <c r="WCQ1" s="7" t="s">
        <v>15996</v>
      </c>
      <c r="WCR1" s="7" t="s">
        <v>15997</v>
      </c>
      <c r="WCS1" s="7" t="s">
        <v>15998</v>
      </c>
      <c r="WCT1" s="7" t="s">
        <v>15999</v>
      </c>
      <c r="WCU1" s="7" t="s">
        <v>16000</v>
      </c>
      <c r="WCV1" s="7" t="s">
        <v>16001</v>
      </c>
      <c r="WCW1" s="7" t="s">
        <v>16002</v>
      </c>
      <c r="WCX1" s="7" t="s">
        <v>16003</v>
      </c>
      <c r="WCY1" s="7" t="s">
        <v>16004</v>
      </c>
      <c r="WCZ1" s="7" t="s">
        <v>16005</v>
      </c>
      <c r="WDA1" s="7" t="s">
        <v>16006</v>
      </c>
      <c r="WDB1" s="7" t="s">
        <v>16007</v>
      </c>
      <c r="WDC1" s="7" t="s">
        <v>16008</v>
      </c>
      <c r="WDD1" s="7" t="s">
        <v>16009</v>
      </c>
      <c r="WDE1" s="7" t="s">
        <v>16010</v>
      </c>
      <c r="WDF1" s="7" t="s">
        <v>16011</v>
      </c>
      <c r="WDG1" s="7" t="s">
        <v>16012</v>
      </c>
      <c r="WDH1" s="7" t="s">
        <v>16013</v>
      </c>
      <c r="WDI1" s="7" t="s">
        <v>16014</v>
      </c>
      <c r="WDJ1" s="7" t="s">
        <v>16015</v>
      </c>
      <c r="WDK1" s="7" t="s">
        <v>16016</v>
      </c>
      <c r="WDL1" s="7" t="s">
        <v>16017</v>
      </c>
      <c r="WDM1" s="7" t="s">
        <v>16018</v>
      </c>
      <c r="WDN1" s="7" t="s">
        <v>16019</v>
      </c>
      <c r="WDO1" s="7" t="s">
        <v>16020</v>
      </c>
      <c r="WDP1" s="7" t="s">
        <v>16021</v>
      </c>
      <c r="WDQ1" s="7" t="s">
        <v>16022</v>
      </c>
      <c r="WDR1" s="7" t="s">
        <v>16023</v>
      </c>
      <c r="WDS1" s="7" t="s">
        <v>16024</v>
      </c>
      <c r="WDT1" s="7" t="s">
        <v>16025</v>
      </c>
      <c r="WDU1" s="7" t="s">
        <v>16026</v>
      </c>
      <c r="WDV1" s="7" t="s">
        <v>16027</v>
      </c>
      <c r="WDW1" s="7" t="s">
        <v>16028</v>
      </c>
      <c r="WDX1" s="7" t="s">
        <v>16029</v>
      </c>
      <c r="WDY1" s="7" t="s">
        <v>16030</v>
      </c>
      <c r="WDZ1" s="7" t="s">
        <v>16031</v>
      </c>
      <c r="WEA1" s="7" t="s">
        <v>16032</v>
      </c>
      <c r="WEB1" s="7" t="s">
        <v>16033</v>
      </c>
      <c r="WEC1" s="7" t="s">
        <v>16034</v>
      </c>
      <c r="WED1" s="7" t="s">
        <v>16035</v>
      </c>
      <c r="WEE1" s="7" t="s">
        <v>16036</v>
      </c>
      <c r="WEF1" s="7" t="s">
        <v>16037</v>
      </c>
      <c r="WEG1" s="7" t="s">
        <v>16038</v>
      </c>
      <c r="WEH1" s="7" t="s">
        <v>16039</v>
      </c>
      <c r="WEI1" s="7" t="s">
        <v>16040</v>
      </c>
      <c r="WEJ1" s="7" t="s">
        <v>16041</v>
      </c>
      <c r="WEK1" s="7" t="s">
        <v>16042</v>
      </c>
      <c r="WEL1" s="7" t="s">
        <v>16043</v>
      </c>
      <c r="WEM1" s="7" t="s">
        <v>16044</v>
      </c>
      <c r="WEN1" s="7" t="s">
        <v>16045</v>
      </c>
      <c r="WEO1" s="7" t="s">
        <v>16046</v>
      </c>
      <c r="WEP1" s="7" t="s">
        <v>16047</v>
      </c>
      <c r="WEQ1" s="7" t="s">
        <v>16048</v>
      </c>
      <c r="WER1" s="7" t="s">
        <v>16049</v>
      </c>
      <c r="WES1" s="7" t="s">
        <v>16050</v>
      </c>
      <c r="WET1" s="7" t="s">
        <v>16051</v>
      </c>
      <c r="WEU1" s="7" t="s">
        <v>16052</v>
      </c>
      <c r="WEV1" s="7" t="s">
        <v>16053</v>
      </c>
      <c r="WEW1" s="7" t="s">
        <v>16054</v>
      </c>
      <c r="WEX1" s="7" t="s">
        <v>16055</v>
      </c>
      <c r="WEY1" s="7" t="s">
        <v>16056</v>
      </c>
      <c r="WEZ1" s="7" t="s">
        <v>16057</v>
      </c>
      <c r="WFA1" s="7" t="s">
        <v>16058</v>
      </c>
      <c r="WFB1" s="7" t="s">
        <v>16059</v>
      </c>
      <c r="WFC1" s="7" t="s">
        <v>16060</v>
      </c>
      <c r="WFD1" s="7" t="s">
        <v>16061</v>
      </c>
      <c r="WFE1" s="7" t="s">
        <v>16062</v>
      </c>
      <c r="WFF1" s="7" t="s">
        <v>16063</v>
      </c>
      <c r="WFG1" s="7" t="s">
        <v>16064</v>
      </c>
      <c r="WFH1" s="7" t="s">
        <v>16065</v>
      </c>
      <c r="WFI1" s="7" t="s">
        <v>16066</v>
      </c>
      <c r="WFJ1" s="7" t="s">
        <v>16067</v>
      </c>
      <c r="WFK1" s="7" t="s">
        <v>16068</v>
      </c>
      <c r="WFL1" s="7" t="s">
        <v>16069</v>
      </c>
      <c r="WFM1" s="7" t="s">
        <v>16070</v>
      </c>
      <c r="WFN1" s="7" t="s">
        <v>16071</v>
      </c>
      <c r="WFO1" s="7" t="s">
        <v>16072</v>
      </c>
      <c r="WFP1" s="7" t="s">
        <v>16073</v>
      </c>
      <c r="WFQ1" s="7" t="s">
        <v>16074</v>
      </c>
      <c r="WFR1" s="7" t="s">
        <v>16075</v>
      </c>
      <c r="WFS1" s="7" t="s">
        <v>16076</v>
      </c>
      <c r="WFT1" s="7" t="s">
        <v>16077</v>
      </c>
      <c r="WFU1" s="7" t="s">
        <v>16078</v>
      </c>
      <c r="WFV1" s="7" t="s">
        <v>16079</v>
      </c>
      <c r="WFW1" s="7" t="s">
        <v>16080</v>
      </c>
      <c r="WFX1" s="7" t="s">
        <v>16081</v>
      </c>
      <c r="WFY1" s="7" t="s">
        <v>16082</v>
      </c>
      <c r="WFZ1" s="7" t="s">
        <v>16083</v>
      </c>
      <c r="WGA1" s="7" t="s">
        <v>16084</v>
      </c>
      <c r="WGB1" s="7" t="s">
        <v>16085</v>
      </c>
      <c r="WGC1" s="7" t="s">
        <v>16086</v>
      </c>
      <c r="WGD1" s="7" t="s">
        <v>16087</v>
      </c>
      <c r="WGE1" s="7" t="s">
        <v>16088</v>
      </c>
      <c r="WGF1" s="7" t="s">
        <v>16089</v>
      </c>
      <c r="WGG1" s="7" t="s">
        <v>16090</v>
      </c>
      <c r="WGH1" s="7" t="s">
        <v>16091</v>
      </c>
      <c r="WGI1" s="7" t="s">
        <v>16092</v>
      </c>
      <c r="WGJ1" s="7" t="s">
        <v>16093</v>
      </c>
      <c r="WGK1" s="7" t="s">
        <v>16094</v>
      </c>
      <c r="WGL1" s="7" t="s">
        <v>16095</v>
      </c>
      <c r="WGM1" s="7" t="s">
        <v>16096</v>
      </c>
      <c r="WGN1" s="7" t="s">
        <v>16097</v>
      </c>
      <c r="WGO1" s="7" t="s">
        <v>16098</v>
      </c>
      <c r="WGP1" s="7" t="s">
        <v>16099</v>
      </c>
      <c r="WGQ1" s="7" t="s">
        <v>16100</v>
      </c>
      <c r="WGR1" s="7" t="s">
        <v>16101</v>
      </c>
      <c r="WGS1" s="7" t="s">
        <v>16102</v>
      </c>
      <c r="WGT1" s="7" t="s">
        <v>16103</v>
      </c>
      <c r="WGU1" s="7" t="s">
        <v>16104</v>
      </c>
      <c r="WGV1" s="7" t="s">
        <v>16105</v>
      </c>
      <c r="WGW1" s="7" t="s">
        <v>16106</v>
      </c>
      <c r="WGX1" s="7" t="s">
        <v>16107</v>
      </c>
      <c r="WGY1" s="7" t="s">
        <v>16108</v>
      </c>
      <c r="WGZ1" s="7" t="s">
        <v>16109</v>
      </c>
      <c r="WHA1" s="7" t="s">
        <v>16110</v>
      </c>
      <c r="WHB1" s="7" t="s">
        <v>16111</v>
      </c>
      <c r="WHC1" s="7" t="s">
        <v>16112</v>
      </c>
      <c r="WHD1" s="7" t="s">
        <v>16113</v>
      </c>
      <c r="WHE1" s="7" t="s">
        <v>16114</v>
      </c>
      <c r="WHF1" s="7" t="s">
        <v>16115</v>
      </c>
      <c r="WHG1" s="7" t="s">
        <v>16116</v>
      </c>
      <c r="WHH1" s="7" t="s">
        <v>16117</v>
      </c>
      <c r="WHI1" s="7" t="s">
        <v>16118</v>
      </c>
      <c r="WHJ1" s="7" t="s">
        <v>16119</v>
      </c>
      <c r="WHK1" s="7" t="s">
        <v>16120</v>
      </c>
      <c r="WHL1" s="7" t="s">
        <v>16121</v>
      </c>
      <c r="WHM1" s="7" t="s">
        <v>16122</v>
      </c>
      <c r="WHN1" s="7" t="s">
        <v>16123</v>
      </c>
      <c r="WHO1" s="7" t="s">
        <v>16124</v>
      </c>
      <c r="WHP1" s="7" t="s">
        <v>16125</v>
      </c>
      <c r="WHQ1" s="7" t="s">
        <v>16126</v>
      </c>
      <c r="WHR1" s="7" t="s">
        <v>16127</v>
      </c>
      <c r="WHS1" s="7" t="s">
        <v>16128</v>
      </c>
      <c r="WHT1" s="7" t="s">
        <v>16129</v>
      </c>
      <c r="WHU1" s="7" t="s">
        <v>16130</v>
      </c>
      <c r="WHV1" s="7" t="s">
        <v>16131</v>
      </c>
      <c r="WHW1" s="7" t="s">
        <v>16132</v>
      </c>
      <c r="WHX1" s="7" t="s">
        <v>16133</v>
      </c>
      <c r="WHY1" s="7" t="s">
        <v>16134</v>
      </c>
      <c r="WHZ1" s="7" t="s">
        <v>16135</v>
      </c>
      <c r="WIA1" s="7" t="s">
        <v>16136</v>
      </c>
      <c r="WIB1" s="7" t="s">
        <v>16137</v>
      </c>
      <c r="WIC1" s="7" t="s">
        <v>16138</v>
      </c>
      <c r="WID1" s="7" t="s">
        <v>16139</v>
      </c>
      <c r="WIE1" s="7" t="s">
        <v>16140</v>
      </c>
      <c r="WIF1" s="7" t="s">
        <v>16141</v>
      </c>
      <c r="WIG1" s="7" t="s">
        <v>16142</v>
      </c>
      <c r="WIH1" s="7" t="s">
        <v>16143</v>
      </c>
      <c r="WII1" s="7" t="s">
        <v>16144</v>
      </c>
      <c r="WIJ1" s="7" t="s">
        <v>16145</v>
      </c>
      <c r="WIK1" s="7" t="s">
        <v>16146</v>
      </c>
      <c r="WIL1" s="7" t="s">
        <v>16147</v>
      </c>
      <c r="WIM1" s="7" t="s">
        <v>16148</v>
      </c>
      <c r="WIN1" s="7" t="s">
        <v>16149</v>
      </c>
      <c r="WIO1" s="7" t="s">
        <v>16150</v>
      </c>
      <c r="WIP1" s="7" t="s">
        <v>16151</v>
      </c>
      <c r="WIQ1" s="7" t="s">
        <v>16152</v>
      </c>
      <c r="WIR1" s="7" t="s">
        <v>16153</v>
      </c>
      <c r="WIS1" s="7" t="s">
        <v>16154</v>
      </c>
      <c r="WIT1" s="7" t="s">
        <v>16155</v>
      </c>
      <c r="WIU1" s="7" t="s">
        <v>16156</v>
      </c>
      <c r="WIV1" s="7" t="s">
        <v>16157</v>
      </c>
      <c r="WIW1" s="7" t="s">
        <v>16158</v>
      </c>
      <c r="WIX1" s="7" t="s">
        <v>16159</v>
      </c>
      <c r="WIY1" s="7" t="s">
        <v>16160</v>
      </c>
      <c r="WIZ1" s="7" t="s">
        <v>16161</v>
      </c>
      <c r="WJA1" s="7" t="s">
        <v>16162</v>
      </c>
      <c r="WJB1" s="7" t="s">
        <v>16163</v>
      </c>
      <c r="WJC1" s="7" t="s">
        <v>16164</v>
      </c>
      <c r="WJD1" s="7" t="s">
        <v>16165</v>
      </c>
      <c r="WJE1" s="7" t="s">
        <v>16166</v>
      </c>
      <c r="WJF1" s="7" t="s">
        <v>16167</v>
      </c>
      <c r="WJG1" s="7" t="s">
        <v>16168</v>
      </c>
      <c r="WJH1" s="7" t="s">
        <v>16169</v>
      </c>
      <c r="WJI1" s="7" t="s">
        <v>16170</v>
      </c>
      <c r="WJJ1" s="7" t="s">
        <v>16171</v>
      </c>
      <c r="WJK1" s="7" t="s">
        <v>16172</v>
      </c>
      <c r="WJL1" s="7" t="s">
        <v>16173</v>
      </c>
      <c r="WJM1" s="7" t="s">
        <v>16174</v>
      </c>
      <c r="WJN1" s="7" t="s">
        <v>16175</v>
      </c>
      <c r="WJO1" s="7" t="s">
        <v>16176</v>
      </c>
      <c r="WJP1" s="7" t="s">
        <v>16177</v>
      </c>
      <c r="WJQ1" s="7" t="s">
        <v>16178</v>
      </c>
      <c r="WJR1" s="7" t="s">
        <v>16179</v>
      </c>
      <c r="WJS1" s="7" t="s">
        <v>16180</v>
      </c>
      <c r="WJT1" s="7" t="s">
        <v>16181</v>
      </c>
      <c r="WJU1" s="7" t="s">
        <v>16182</v>
      </c>
      <c r="WJV1" s="7" t="s">
        <v>16183</v>
      </c>
      <c r="WJW1" s="7" t="s">
        <v>16184</v>
      </c>
      <c r="WJX1" s="7" t="s">
        <v>16185</v>
      </c>
      <c r="WJY1" s="7" t="s">
        <v>16186</v>
      </c>
      <c r="WJZ1" s="7" t="s">
        <v>16187</v>
      </c>
      <c r="WKA1" s="7" t="s">
        <v>16188</v>
      </c>
      <c r="WKB1" s="7" t="s">
        <v>16189</v>
      </c>
      <c r="WKC1" s="7" t="s">
        <v>16190</v>
      </c>
      <c r="WKD1" s="7" t="s">
        <v>16191</v>
      </c>
      <c r="WKE1" s="7" t="s">
        <v>16192</v>
      </c>
      <c r="WKF1" s="7" t="s">
        <v>16193</v>
      </c>
      <c r="WKG1" s="7" t="s">
        <v>16194</v>
      </c>
      <c r="WKH1" s="7" t="s">
        <v>16195</v>
      </c>
      <c r="WKI1" s="7" t="s">
        <v>16196</v>
      </c>
      <c r="WKJ1" s="7" t="s">
        <v>16197</v>
      </c>
      <c r="WKK1" s="7" t="s">
        <v>16198</v>
      </c>
      <c r="WKL1" s="7" t="s">
        <v>16199</v>
      </c>
      <c r="WKM1" s="7" t="s">
        <v>16200</v>
      </c>
      <c r="WKN1" s="7" t="s">
        <v>16201</v>
      </c>
      <c r="WKO1" s="7" t="s">
        <v>16202</v>
      </c>
      <c r="WKP1" s="7" t="s">
        <v>16203</v>
      </c>
      <c r="WKQ1" s="7" t="s">
        <v>16204</v>
      </c>
      <c r="WKR1" s="7" t="s">
        <v>16205</v>
      </c>
      <c r="WKS1" s="7" t="s">
        <v>16206</v>
      </c>
      <c r="WKT1" s="7" t="s">
        <v>16207</v>
      </c>
      <c r="WKU1" s="7" t="s">
        <v>16208</v>
      </c>
      <c r="WKV1" s="7" t="s">
        <v>16209</v>
      </c>
      <c r="WKW1" s="7" t="s">
        <v>16210</v>
      </c>
      <c r="WKX1" s="7" t="s">
        <v>16211</v>
      </c>
      <c r="WKY1" s="7" t="s">
        <v>16212</v>
      </c>
      <c r="WKZ1" s="7" t="s">
        <v>16213</v>
      </c>
      <c r="WLA1" s="7" t="s">
        <v>16214</v>
      </c>
      <c r="WLB1" s="7" t="s">
        <v>16215</v>
      </c>
      <c r="WLC1" s="7" t="s">
        <v>16216</v>
      </c>
      <c r="WLD1" s="7" t="s">
        <v>16217</v>
      </c>
      <c r="WLE1" s="7" t="s">
        <v>16218</v>
      </c>
      <c r="WLF1" s="7" t="s">
        <v>16219</v>
      </c>
      <c r="WLG1" s="7" t="s">
        <v>16220</v>
      </c>
      <c r="WLH1" s="7" t="s">
        <v>16221</v>
      </c>
      <c r="WLI1" s="7" t="s">
        <v>16222</v>
      </c>
      <c r="WLJ1" s="7" t="s">
        <v>16223</v>
      </c>
      <c r="WLK1" s="7" t="s">
        <v>16224</v>
      </c>
      <c r="WLL1" s="7" t="s">
        <v>16225</v>
      </c>
      <c r="WLM1" s="7" t="s">
        <v>16226</v>
      </c>
      <c r="WLN1" s="7" t="s">
        <v>16227</v>
      </c>
      <c r="WLO1" s="7" t="s">
        <v>16228</v>
      </c>
      <c r="WLP1" s="7" t="s">
        <v>16229</v>
      </c>
      <c r="WLQ1" s="7" t="s">
        <v>16230</v>
      </c>
      <c r="WLR1" s="7" t="s">
        <v>16231</v>
      </c>
      <c r="WLS1" s="7" t="s">
        <v>16232</v>
      </c>
      <c r="WLT1" s="7" t="s">
        <v>16233</v>
      </c>
      <c r="WLU1" s="7" t="s">
        <v>16234</v>
      </c>
      <c r="WLV1" s="7" t="s">
        <v>16235</v>
      </c>
      <c r="WLW1" s="7" t="s">
        <v>16236</v>
      </c>
      <c r="WLX1" s="7" t="s">
        <v>16237</v>
      </c>
      <c r="WLY1" s="7" t="s">
        <v>16238</v>
      </c>
      <c r="WLZ1" s="7" t="s">
        <v>16239</v>
      </c>
      <c r="WMA1" s="7" t="s">
        <v>16240</v>
      </c>
      <c r="WMB1" s="7" t="s">
        <v>16241</v>
      </c>
      <c r="WMC1" s="7" t="s">
        <v>16242</v>
      </c>
      <c r="WMD1" s="7" t="s">
        <v>16243</v>
      </c>
      <c r="WME1" s="7" t="s">
        <v>16244</v>
      </c>
      <c r="WMF1" s="7" t="s">
        <v>16245</v>
      </c>
      <c r="WMG1" s="7" t="s">
        <v>16246</v>
      </c>
      <c r="WMH1" s="7" t="s">
        <v>16247</v>
      </c>
      <c r="WMI1" s="7" t="s">
        <v>16248</v>
      </c>
      <c r="WMJ1" s="7" t="s">
        <v>16249</v>
      </c>
      <c r="WMK1" s="7" t="s">
        <v>16250</v>
      </c>
      <c r="WML1" s="7" t="s">
        <v>16251</v>
      </c>
      <c r="WMM1" s="7" t="s">
        <v>16252</v>
      </c>
      <c r="WMN1" s="7" t="s">
        <v>16253</v>
      </c>
      <c r="WMO1" s="7" t="s">
        <v>16254</v>
      </c>
      <c r="WMP1" s="7" t="s">
        <v>16255</v>
      </c>
      <c r="WMQ1" s="7" t="s">
        <v>16256</v>
      </c>
      <c r="WMR1" s="7" t="s">
        <v>16257</v>
      </c>
      <c r="WMS1" s="7" t="s">
        <v>16258</v>
      </c>
      <c r="WMT1" s="7" t="s">
        <v>16259</v>
      </c>
      <c r="WMU1" s="7" t="s">
        <v>16260</v>
      </c>
      <c r="WMV1" s="7" t="s">
        <v>16261</v>
      </c>
      <c r="WMW1" s="7" t="s">
        <v>16262</v>
      </c>
      <c r="WMX1" s="7" t="s">
        <v>16263</v>
      </c>
      <c r="WMY1" s="7" t="s">
        <v>16264</v>
      </c>
      <c r="WMZ1" s="7" t="s">
        <v>16265</v>
      </c>
      <c r="WNA1" s="7" t="s">
        <v>16266</v>
      </c>
      <c r="WNB1" s="7" t="s">
        <v>16267</v>
      </c>
      <c r="WNC1" s="7" t="s">
        <v>16268</v>
      </c>
      <c r="WND1" s="7" t="s">
        <v>16269</v>
      </c>
      <c r="WNE1" s="7" t="s">
        <v>16270</v>
      </c>
      <c r="WNF1" s="7" t="s">
        <v>16271</v>
      </c>
      <c r="WNG1" s="7" t="s">
        <v>16272</v>
      </c>
      <c r="WNH1" s="7" t="s">
        <v>16273</v>
      </c>
      <c r="WNI1" s="7" t="s">
        <v>16274</v>
      </c>
      <c r="WNJ1" s="7" t="s">
        <v>16275</v>
      </c>
      <c r="WNK1" s="7" t="s">
        <v>16276</v>
      </c>
      <c r="WNL1" s="7" t="s">
        <v>16277</v>
      </c>
      <c r="WNM1" s="7" t="s">
        <v>16278</v>
      </c>
      <c r="WNN1" s="7" t="s">
        <v>16279</v>
      </c>
      <c r="WNO1" s="7" t="s">
        <v>16280</v>
      </c>
      <c r="WNP1" s="7" t="s">
        <v>16281</v>
      </c>
      <c r="WNQ1" s="7" t="s">
        <v>16282</v>
      </c>
      <c r="WNR1" s="7" t="s">
        <v>16283</v>
      </c>
      <c r="WNS1" s="7" t="s">
        <v>16284</v>
      </c>
      <c r="WNT1" s="7" t="s">
        <v>16285</v>
      </c>
      <c r="WNU1" s="7" t="s">
        <v>16286</v>
      </c>
      <c r="WNV1" s="7" t="s">
        <v>16287</v>
      </c>
      <c r="WNW1" s="7" t="s">
        <v>16288</v>
      </c>
      <c r="WNX1" s="7" t="s">
        <v>16289</v>
      </c>
      <c r="WNY1" s="7" t="s">
        <v>16290</v>
      </c>
      <c r="WNZ1" s="7" t="s">
        <v>16291</v>
      </c>
      <c r="WOA1" s="7" t="s">
        <v>16292</v>
      </c>
      <c r="WOB1" s="7" t="s">
        <v>16293</v>
      </c>
      <c r="WOC1" s="7" t="s">
        <v>16294</v>
      </c>
      <c r="WOD1" s="7" t="s">
        <v>16295</v>
      </c>
      <c r="WOE1" s="7" t="s">
        <v>16296</v>
      </c>
      <c r="WOF1" s="7" t="s">
        <v>16297</v>
      </c>
      <c r="WOG1" s="7" t="s">
        <v>16298</v>
      </c>
      <c r="WOH1" s="7" t="s">
        <v>16299</v>
      </c>
      <c r="WOI1" s="7" t="s">
        <v>16300</v>
      </c>
      <c r="WOJ1" s="7" t="s">
        <v>16301</v>
      </c>
      <c r="WOK1" s="7" t="s">
        <v>16302</v>
      </c>
      <c r="WOL1" s="7" t="s">
        <v>16303</v>
      </c>
      <c r="WOM1" s="7" t="s">
        <v>16304</v>
      </c>
      <c r="WON1" s="7" t="s">
        <v>16305</v>
      </c>
      <c r="WOO1" s="7" t="s">
        <v>16306</v>
      </c>
      <c r="WOP1" s="7" t="s">
        <v>16307</v>
      </c>
      <c r="WOQ1" s="7" t="s">
        <v>16308</v>
      </c>
      <c r="WOR1" s="7" t="s">
        <v>16309</v>
      </c>
      <c r="WOS1" s="7" t="s">
        <v>16310</v>
      </c>
      <c r="WOT1" s="7" t="s">
        <v>16311</v>
      </c>
      <c r="WOU1" s="7" t="s">
        <v>16312</v>
      </c>
      <c r="WOV1" s="7" t="s">
        <v>16313</v>
      </c>
      <c r="WOW1" s="7" t="s">
        <v>16314</v>
      </c>
      <c r="WOX1" s="7" t="s">
        <v>16315</v>
      </c>
      <c r="WOY1" s="7" t="s">
        <v>16316</v>
      </c>
      <c r="WOZ1" s="7" t="s">
        <v>16317</v>
      </c>
      <c r="WPA1" s="7" t="s">
        <v>16318</v>
      </c>
      <c r="WPB1" s="7" t="s">
        <v>16319</v>
      </c>
      <c r="WPC1" s="7" t="s">
        <v>16320</v>
      </c>
      <c r="WPD1" s="7" t="s">
        <v>16321</v>
      </c>
      <c r="WPE1" s="7" t="s">
        <v>16322</v>
      </c>
      <c r="WPF1" s="7" t="s">
        <v>16323</v>
      </c>
      <c r="WPG1" s="7" t="s">
        <v>16324</v>
      </c>
      <c r="WPH1" s="7" t="s">
        <v>16325</v>
      </c>
      <c r="WPI1" s="7" t="s">
        <v>16326</v>
      </c>
      <c r="WPJ1" s="7" t="s">
        <v>16327</v>
      </c>
      <c r="WPK1" s="7" t="s">
        <v>16328</v>
      </c>
      <c r="WPL1" s="7" t="s">
        <v>16329</v>
      </c>
      <c r="WPM1" s="7" t="s">
        <v>16330</v>
      </c>
      <c r="WPN1" s="7" t="s">
        <v>16331</v>
      </c>
      <c r="WPO1" s="7" t="s">
        <v>16332</v>
      </c>
      <c r="WPP1" s="7" t="s">
        <v>16333</v>
      </c>
      <c r="WPQ1" s="7" t="s">
        <v>16334</v>
      </c>
      <c r="WPR1" s="7" t="s">
        <v>16335</v>
      </c>
      <c r="WPS1" s="7" t="s">
        <v>16336</v>
      </c>
      <c r="WPT1" s="7" t="s">
        <v>16337</v>
      </c>
      <c r="WPU1" s="7" t="s">
        <v>16338</v>
      </c>
      <c r="WPV1" s="7" t="s">
        <v>16339</v>
      </c>
      <c r="WPW1" s="7" t="s">
        <v>16340</v>
      </c>
      <c r="WPX1" s="7" t="s">
        <v>16341</v>
      </c>
      <c r="WPY1" s="7" t="s">
        <v>16342</v>
      </c>
      <c r="WPZ1" s="7" t="s">
        <v>16343</v>
      </c>
      <c r="WQA1" s="7" t="s">
        <v>16344</v>
      </c>
      <c r="WQB1" s="7" t="s">
        <v>16345</v>
      </c>
      <c r="WQC1" s="7" t="s">
        <v>16346</v>
      </c>
      <c r="WQD1" s="7" t="s">
        <v>16347</v>
      </c>
      <c r="WQE1" s="7" t="s">
        <v>16348</v>
      </c>
      <c r="WQF1" s="7" t="s">
        <v>16349</v>
      </c>
      <c r="WQG1" s="7" t="s">
        <v>16350</v>
      </c>
      <c r="WQH1" s="7" t="s">
        <v>16351</v>
      </c>
      <c r="WQI1" s="7" t="s">
        <v>16352</v>
      </c>
      <c r="WQJ1" s="7" t="s">
        <v>16353</v>
      </c>
      <c r="WQK1" s="7" t="s">
        <v>16354</v>
      </c>
      <c r="WQL1" s="7" t="s">
        <v>16355</v>
      </c>
      <c r="WQM1" s="7" t="s">
        <v>16356</v>
      </c>
      <c r="WQN1" s="7" t="s">
        <v>16357</v>
      </c>
      <c r="WQO1" s="7" t="s">
        <v>16358</v>
      </c>
      <c r="WQP1" s="7" t="s">
        <v>16359</v>
      </c>
      <c r="WQQ1" s="7" t="s">
        <v>16360</v>
      </c>
      <c r="WQR1" s="7" t="s">
        <v>16361</v>
      </c>
      <c r="WQS1" s="7" t="s">
        <v>16362</v>
      </c>
      <c r="WQT1" s="7" t="s">
        <v>16363</v>
      </c>
      <c r="WQU1" s="7" t="s">
        <v>16364</v>
      </c>
      <c r="WQV1" s="7" t="s">
        <v>16365</v>
      </c>
      <c r="WQW1" s="7" t="s">
        <v>16366</v>
      </c>
      <c r="WQX1" s="7" t="s">
        <v>16367</v>
      </c>
      <c r="WQY1" s="7" t="s">
        <v>16368</v>
      </c>
      <c r="WQZ1" s="7" t="s">
        <v>16369</v>
      </c>
      <c r="WRA1" s="7" t="s">
        <v>16370</v>
      </c>
      <c r="WRB1" s="7" t="s">
        <v>16371</v>
      </c>
      <c r="WRC1" s="7" t="s">
        <v>16372</v>
      </c>
      <c r="WRD1" s="7" t="s">
        <v>16373</v>
      </c>
      <c r="WRE1" s="7" t="s">
        <v>16374</v>
      </c>
      <c r="WRF1" s="7" t="s">
        <v>16375</v>
      </c>
      <c r="WRG1" s="7" t="s">
        <v>16376</v>
      </c>
      <c r="WRH1" s="7" t="s">
        <v>16377</v>
      </c>
      <c r="WRI1" s="7" t="s">
        <v>16378</v>
      </c>
      <c r="WRJ1" s="7" t="s">
        <v>16379</v>
      </c>
      <c r="WRK1" s="7" t="s">
        <v>16380</v>
      </c>
      <c r="WRL1" s="7" t="s">
        <v>16381</v>
      </c>
      <c r="WRM1" s="7" t="s">
        <v>16382</v>
      </c>
      <c r="WRN1" s="7" t="s">
        <v>16383</v>
      </c>
      <c r="WRO1" s="7" t="s">
        <v>16384</v>
      </c>
      <c r="WRP1" s="7" t="s">
        <v>16385</v>
      </c>
      <c r="WRQ1" s="7" t="s">
        <v>16386</v>
      </c>
      <c r="WRR1" s="7" t="s">
        <v>16387</v>
      </c>
      <c r="WRS1" s="7" t="s">
        <v>16388</v>
      </c>
      <c r="WRT1" s="7" t="s">
        <v>16389</v>
      </c>
      <c r="WRU1" s="7" t="s">
        <v>16390</v>
      </c>
      <c r="WRV1" s="7" t="s">
        <v>16391</v>
      </c>
      <c r="WRW1" s="7" t="s">
        <v>16392</v>
      </c>
      <c r="WRX1" s="7" t="s">
        <v>16393</v>
      </c>
      <c r="WRY1" s="7" t="s">
        <v>16394</v>
      </c>
      <c r="WRZ1" s="7" t="s">
        <v>16395</v>
      </c>
      <c r="WSA1" s="7" t="s">
        <v>16396</v>
      </c>
      <c r="WSB1" s="7" t="s">
        <v>16397</v>
      </c>
      <c r="WSC1" s="7" t="s">
        <v>16398</v>
      </c>
      <c r="WSD1" s="7" t="s">
        <v>16399</v>
      </c>
      <c r="WSE1" s="7" t="s">
        <v>16400</v>
      </c>
      <c r="WSF1" s="7" t="s">
        <v>16401</v>
      </c>
      <c r="WSG1" s="7" t="s">
        <v>16402</v>
      </c>
      <c r="WSH1" s="7" t="s">
        <v>16403</v>
      </c>
      <c r="WSI1" s="7" t="s">
        <v>16404</v>
      </c>
      <c r="WSJ1" s="7" t="s">
        <v>16405</v>
      </c>
      <c r="WSK1" s="7" t="s">
        <v>16406</v>
      </c>
      <c r="WSL1" s="7" t="s">
        <v>16407</v>
      </c>
      <c r="WSM1" s="7" t="s">
        <v>16408</v>
      </c>
      <c r="WSN1" s="7" t="s">
        <v>16409</v>
      </c>
      <c r="WSO1" s="7" t="s">
        <v>16410</v>
      </c>
      <c r="WSP1" s="7" t="s">
        <v>16411</v>
      </c>
      <c r="WSQ1" s="7" t="s">
        <v>16412</v>
      </c>
      <c r="WSR1" s="7" t="s">
        <v>16413</v>
      </c>
      <c r="WSS1" s="7" t="s">
        <v>16414</v>
      </c>
      <c r="WST1" s="7" t="s">
        <v>16415</v>
      </c>
      <c r="WSU1" s="7" t="s">
        <v>16416</v>
      </c>
      <c r="WSV1" s="7" t="s">
        <v>16417</v>
      </c>
      <c r="WSW1" s="7" t="s">
        <v>16418</v>
      </c>
      <c r="WSX1" s="7" t="s">
        <v>16419</v>
      </c>
      <c r="WSY1" s="7" t="s">
        <v>16420</v>
      </c>
      <c r="WSZ1" s="7" t="s">
        <v>16421</v>
      </c>
      <c r="WTA1" s="7" t="s">
        <v>16422</v>
      </c>
      <c r="WTB1" s="7" t="s">
        <v>16423</v>
      </c>
      <c r="WTC1" s="7" t="s">
        <v>16424</v>
      </c>
      <c r="WTD1" s="7" t="s">
        <v>16425</v>
      </c>
      <c r="WTE1" s="7" t="s">
        <v>16426</v>
      </c>
      <c r="WTF1" s="7" t="s">
        <v>16427</v>
      </c>
      <c r="WTG1" s="7" t="s">
        <v>16428</v>
      </c>
      <c r="WTH1" s="7" t="s">
        <v>16429</v>
      </c>
      <c r="WTI1" s="7" t="s">
        <v>16430</v>
      </c>
      <c r="WTJ1" s="7" t="s">
        <v>16431</v>
      </c>
      <c r="WTK1" s="7" t="s">
        <v>16432</v>
      </c>
      <c r="WTL1" s="7" t="s">
        <v>16433</v>
      </c>
      <c r="WTM1" s="7" t="s">
        <v>16434</v>
      </c>
      <c r="WTN1" s="7" t="s">
        <v>16435</v>
      </c>
      <c r="WTO1" s="7" t="s">
        <v>16436</v>
      </c>
      <c r="WTP1" s="7" t="s">
        <v>16437</v>
      </c>
      <c r="WTQ1" s="7" t="s">
        <v>16438</v>
      </c>
      <c r="WTR1" s="7" t="s">
        <v>16439</v>
      </c>
      <c r="WTS1" s="7" t="s">
        <v>16440</v>
      </c>
      <c r="WTT1" s="7" t="s">
        <v>16441</v>
      </c>
      <c r="WTU1" s="7" t="s">
        <v>16442</v>
      </c>
      <c r="WTV1" s="7" t="s">
        <v>16443</v>
      </c>
      <c r="WTW1" s="7" t="s">
        <v>16444</v>
      </c>
      <c r="WTX1" s="7" t="s">
        <v>16445</v>
      </c>
      <c r="WTY1" s="7" t="s">
        <v>16446</v>
      </c>
      <c r="WTZ1" s="7" t="s">
        <v>16447</v>
      </c>
      <c r="WUA1" s="7" t="s">
        <v>16448</v>
      </c>
      <c r="WUB1" s="7" t="s">
        <v>16449</v>
      </c>
      <c r="WUC1" s="7" t="s">
        <v>16450</v>
      </c>
      <c r="WUD1" s="7" t="s">
        <v>16451</v>
      </c>
      <c r="WUE1" s="7" t="s">
        <v>16452</v>
      </c>
      <c r="WUF1" s="7" t="s">
        <v>16453</v>
      </c>
      <c r="WUG1" s="7" t="s">
        <v>16454</v>
      </c>
      <c r="WUH1" s="7" t="s">
        <v>16455</v>
      </c>
      <c r="WUI1" s="7" t="s">
        <v>16456</v>
      </c>
      <c r="WUJ1" s="7" t="s">
        <v>16457</v>
      </c>
      <c r="WUK1" s="7" t="s">
        <v>16458</v>
      </c>
      <c r="WUL1" s="7" t="s">
        <v>16459</v>
      </c>
      <c r="WUM1" s="7" t="s">
        <v>16460</v>
      </c>
      <c r="WUN1" s="7" t="s">
        <v>16461</v>
      </c>
      <c r="WUO1" s="7" t="s">
        <v>16462</v>
      </c>
      <c r="WUP1" s="7" t="s">
        <v>16463</v>
      </c>
      <c r="WUQ1" s="7" t="s">
        <v>16464</v>
      </c>
      <c r="WUR1" s="7" t="s">
        <v>16465</v>
      </c>
      <c r="WUS1" s="7" t="s">
        <v>16466</v>
      </c>
      <c r="WUT1" s="7" t="s">
        <v>16467</v>
      </c>
      <c r="WUU1" s="7" t="s">
        <v>16468</v>
      </c>
      <c r="WUV1" s="7" t="s">
        <v>16469</v>
      </c>
      <c r="WUW1" s="7" t="s">
        <v>16470</v>
      </c>
      <c r="WUX1" s="7" t="s">
        <v>16471</v>
      </c>
      <c r="WUY1" s="7" t="s">
        <v>16472</v>
      </c>
      <c r="WUZ1" s="7" t="s">
        <v>16473</v>
      </c>
      <c r="WVA1" s="7" t="s">
        <v>16474</v>
      </c>
      <c r="WVB1" s="7" t="s">
        <v>16475</v>
      </c>
      <c r="WVC1" s="7" t="s">
        <v>16476</v>
      </c>
      <c r="WVD1" s="7" t="s">
        <v>16477</v>
      </c>
      <c r="WVE1" s="7" t="s">
        <v>16478</v>
      </c>
      <c r="WVF1" s="7" t="s">
        <v>16479</v>
      </c>
      <c r="WVG1" s="7" t="s">
        <v>16480</v>
      </c>
      <c r="WVH1" s="7" t="s">
        <v>16481</v>
      </c>
      <c r="WVI1" s="7" t="s">
        <v>16482</v>
      </c>
      <c r="WVJ1" s="7" t="s">
        <v>16483</v>
      </c>
      <c r="WVK1" s="7" t="s">
        <v>16484</v>
      </c>
      <c r="WVL1" s="7" t="s">
        <v>16485</v>
      </c>
      <c r="WVM1" s="7" t="s">
        <v>16486</v>
      </c>
      <c r="WVN1" s="7" t="s">
        <v>16487</v>
      </c>
      <c r="WVO1" s="7" t="s">
        <v>16488</v>
      </c>
      <c r="WVP1" s="7" t="s">
        <v>16489</v>
      </c>
      <c r="WVQ1" s="7" t="s">
        <v>16490</v>
      </c>
      <c r="WVR1" s="7" t="s">
        <v>16491</v>
      </c>
      <c r="WVS1" s="7" t="s">
        <v>16492</v>
      </c>
      <c r="WVT1" s="7" t="s">
        <v>16493</v>
      </c>
      <c r="WVU1" s="7" t="s">
        <v>16494</v>
      </c>
      <c r="WVV1" s="7" t="s">
        <v>16495</v>
      </c>
      <c r="WVW1" s="7" t="s">
        <v>16496</v>
      </c>
      <c r="WVX1" s="7" t="s">
        <v>16497</v>
      </c>
      <c r="WVY1" s="7" t="s">
        <v>16498</v>
      </c>
      <c r="WVZ1" s="7" t="s">
        <v>16499</v>
      </c>
      <c r="WWA1" s="7" t="s">
        <v>16500</v>
      </c>
      <c r="WWB1" s="7" t="s">
        <v>16501</v>
      </c>
      <c r="WWC1" s="7" t="s">
        <v>16502</v>
      </c>
      <c r="WWD1" s="7" t="s">
        <v>16503</v>
      </c>
      <c r="WWE1" s="7" t="s">
        <v>16504</v>
      </c>
      <c r="WWF1" s="7" t="s">
        <v>16505</v>
      </c>
      <c r="WWG1" s="7" t="s">
        <v>16506</v>
      </c>
      <c r="WWH1" s="7" t="s">
        <v>16507</v>
      </c>
      <c r="WWI1" s="7" t="s">
        <v>16508</v>
      </c>
      <c r="WWJ1" s="7" t="s">
        <v>16509</v>
      </c>
      <c r="WWK1" s="7" t="s">
        <v>16510</v>
      </c>
      <c r="WWL1" s="7" t="s">
        <v>16511</v>
      </c>
      <c r="WWM1" s="7" t="s">
        <v>16512</v>
      </c>
      <c r="WWN1" s="7" t="s">
        <v>16513</v>
      </c>
      <c r="WWO1" s="7" t="s">
        <v>16514</v>
      </c>
      <c r="WWP1" s="7" t="s">
        <v>16515</v>
      </c>
      <c r="WWQ1" s="7" t="s">
        <v>16516</v>
      </c>
      <c r="WWR1" s="7" t="s">
        <v>16517</v>
      </c>
      <c r="WWS1" s="7" t="s">
        <v>16518</v>
      </c>
      <c r="WWT1" s="7" t="s">
        <v>16519</v>
      </c>
      <c r="WWU1" s="7" t="s">
        <v>16520</v>
      </c>
      <c r="WWV1" s="7" t="s">
        <v>16521</v>
      </c>
      <c r="WWW1" s="7" t="s">
        <v>16522</v>
      </c>
      <c r="WWX1" s="7" t="s">
        <v>16523</v>
      </c>
      <c r="WWY1" s="7" t="s">
        <v>16524</v>
      </c>
      <c r="WWZ1" s="7" t="s">
        <v>16525</v>
      </c>
      <c r="WXA1" s="7" t="s">
        <v>16526</v>
      </c>
      <c r="WXB1" s="7" t="s">
        <v>16527</v>
      </c>
      <c r="WXC1" s="7" t="s">
        <v>16528</v>
      </c>
      <c r="WXD1" s="7" t="s">
        <v>16529</v>
      </c>
      <c r="WXE1" s="7" t="s">
        <v>16530</v>
      </c>
      <c r="WXF1" s="7" t="s">
        <v>16531</v>
      </c>
      <c r="WXG1" s="7" t="s">
        <v>16532</v>
      </c>
      <c r="WXH1" s="7" t="s">
        <v>16533</v>
      </c>
      <c r="WXI1" s="7" t="s">
        <v>16534</v>
      </c>
      <c r="WXJ1" s="7" t="s">
        <v>16535</v>
      </c>
      <c r="WXK1" s="7" t="s">
        <v>16536</v>
      </c>
      <c r="WXL1" s="7" t="s">
        <v>16537</v>
      </c>
      <c r="WXM1" s="7" t="s">
        <v>16538</v>
      </c>
      <c r="WXN1" s="7" t="s">
        <v>16539</v>
      </c>
      <c r="WXO1" s="7" t="s">
        <v>16540</v>
      </c>
      <c r="WXP1" s="7" t="s">
        <v>16541</v>
      </c>
      <c r="WXQ1" s="7" t="s">
        <v>16542</v>
      </c>
      <c r="WXR1" s="7" t="s">
        <v>16543</v>
      </c>
      <c r="WXS1" s="7" t="s">
        <v>16544</v>
      </c>
      <c r="WXT1" s="7" t="s">
        <v>16545</v>
      </c>
      <c r="WXU1" s="7" t="s">
        <v>16546</v>
      </c>
      <c r="WXV1" s="7" t="s">
        <v>16547</v>
      </c>
      <c r="WXW1" s="7" t="s">
        <v>16548</v>
      </c>
      <c r="WXX1" s="7" t="s">
        <v>16549</v>
      </c>
      <c r="WXY1" s="7" t="s">
        <v>16550</v>
      </c>
      <c r="WXZ1" s="7" t="s">
        <v>16551</v>
      </c>
      <c r="WYA1" s="7" t="s">
        <v>16552</v>
      </c>
      <c r="WYB1" s="7" t="s">
        <v>16553</v>
      </c>
      <c r="WYC1" s="7" t="s">
        <v>16554</v>
      </c>
      <c r="WYD1" s="7" t="s">
        <v>16555</v>
      </c>
      <c r="WYE1" s="7" t="s">
        <v>16556</v>
      </c>
      <c r="WYF1" s="7" t="s">
        <v>16557</v>
      </c>
      <c r="WYG1" s="7" t="s">
        <v>16558</v>
      </c>
      <c r="WYH1" s="7" t="s">
        <v>16559</v>
      </c>
      <c r="WYI1" s="7" t="s">
        <v>16560</v>
      </c>
      <c r="WYJ1" s="7" t="s">
        <v>16561</v>
      </c>
      <c r="WYK1" s="7" t="s">
        <v>16562</v>
      </c>
      <c r="WYL1" s="7" t="s">
        <v>16563</v>
      </c>
      <c r="WYM1" s="7" t="s">
        <v>16564</v>
      </c>
      <c r="WYN1" s="7" t="s">
        <v>16565</v>
      </c>
      <c r="WYO1" s="7" t="s">
        <v>16566</v>
      </c>
      <c r="WYP1" s="7" t="s">
        <v>16567</v>
      </c>
      <c r="WYQ1" s="7" t="s">
        <v>16568</v>
      </c>
      <c r="WYR1" s="7" t="s">
        <v>16569</v>
      </c>
      <c r="WYS1" s="7" t="s">
        <v>16570</v>
      </c>
      <c r="WYT1" s="7" t="s">
        <v>16571</v>
      </c>
      <c r="WYU1" s="7" t="s">
        <v>16572</v>
      </c>
      <c r="WYV1" s="7" t="s">
        <v>16573</v>
      </c>
      <c r="WYW1" s="7" t="s">
        <v>16574</v>
      </c>
      <c r="WYX1" s="7" t="s">
        <v>16575</v>
      </c>
      <c r="WYY1" s="7" t="s">
        <v>16576</v>
      </c>
      <c r="WYZ1" s="7" t="s">
        <v>16577</v>
      </c>
      <c r="WZA1" s="7" t="s">
        <v>16578</v>
      </c>
      <c r="WZB1" s="7" t="s">
        <v>16579</v>
      </c>
      <c r="WZC1" s="7" t="s">
        <v>16580</v>
      </c>
      <c r="WZD1" s="7" t="s">
        <v>16581</v>
      </c>
      <c r="WZE1" s="7" t="s">
        <v>16582</v>
      </c>
      <c r="WZF1" s="7" t="s">
        <v>16583</v>
      </c>
      <c r="WZG1" s="7" t="s">
        <v>16584</v>
      </c>
      <c r="WZH1" s="7" t="s">
        <v>16585</v>
      </c>
      <c r="WZI1" s="7" t="s">
        <v>16586</v>
      </c>
      <c r="WZJ1" s="7" t="s">
        <v>16587</v>
      </c>
      <c r="WZK1" s="7" t="s">
        <v>16588</v>
      </c>
      <c r="WZL1" s="7" t="s">
        <v>16589</v>
      </c>
      <c r="WZM1" s="7" t="s">
        <v>16590</v>
      </c>
      <c r="WZN1" s="7" t="s">
        <v>16591</v>
      </c>
      <c r="WZO1" s="7" t="s">
        <v>16592</v>
      </c>
      <c r="WZP1" s="7" t="s">
        <v>16593</v>
      </c>
      <c r="WZQ1" s="7" t="s">
        <v>16594</v>
      </c>
      <c r="WZR1" s="7" t="s">
        <v>16595</v>
      </c>
      <c r="WZS1" s="7" t="s">
        <v>16596</v>
      </c>
      <c r="WZT1" s="7" t="s">
        <v>16597</v>
      </c>
      <c r="WZU1" s="7" t="s">
        <v>16598</v>
      </c>
      <c r="WZV1" s="7" t="s">
        <v>16599</v>
      </c>
      <c r="WZW1" s="7" t="s">
        <v>16600</v>
      </c>
      <c r="WZX1" s="7" t="s">
        <v>16601</v>
      </c>
      <c r="WZY1" s="7" t="s">
        <v>16602</v>
      </c>
      <c r="WZZ1" s="7" t="s">
        <v>16603</v>
      </c>
      <c r="XAA1" s="7" t="s">
        <v>16604</v>
      </c>
      <c r="XAB1" s="7" t="s">
        <v>16605</v>
      </c>
      <c r="XAC1" s="7" t="s">
        <v>16606</v>
      </c>
      <c r="XAD1" s="7" t="s">
        <v>16607</v>
      </c>
      <c r="XAE1" s="7" t="s">
        <v>16608</v>
      </c>
      <c r="XAF1" s="7" t="s">
        <v>16609</v>
      </c>
      <c r="XAG1" s="7" t="s">
        <v>16610</v>
      </c>
      <c r="XAH1" s="7" t="s">
        <v>16611</v>
      </c>
      <c r="XAI1" s="7" t="s">
        <v>16612</v>
      </c>
      <c r="XAJ1" s="7" t="s">
        <v>16613</v>
      </c>
      <c r="XAK1" s="7" t="s">
        <v>16614</v>
      </c>
      <c r="XAL1" s="7" t="s">
        <v>16615</v>
      </c>
      <c r="XAM1" s="7" t="s">
        <v>16616</v>
      </c>
      <c r="XAN1" s="7" t="s">
        <v>16617</v>
      </c>
      <c r="XAO1" s="7" t="s">
        <v>16618</v>
      </c>
      <c r="XAP1" s="7" t="s">
        <v>16619</v>
      </c>
      <c r="XAQ1" s="7" t="s">
        <v>16620</v>
      </c>
      <c r="XAR1" s="7" t="s">
        <v>16621</v>
      </c>
      <c r="XAS1" s="7" t="s">
        <v>16622</v>
      </c>
      <c r="XAT1" s="7" t="s">
        <v>16623</v>
      </c>
      <c r="XAU1" s="7" t="s">
        <v>16624</v>
      </c>
      <c r="XAV1" s="7" t="s">
        <v>16625</v>
      </c>
      <c r="XAW1" s="7" t="s">
        <v>16626</v>
      </c>
      <c r="XAX1" s="7" t="s">
        <v>16627</v>
      </c>
      <c r="XAY1" s="7" t="s">
        <v>16628</v>
      </c>
      <c r="XAZ1" s="7" t="s">
        <v>16629</v>
      </c>
      <c r="XBA1" s="7" t="s">
        <v>16630</v>
      </c>
      <c r="XBB1" s="7" t="s">
        <v>16631</v>
      </c>
      <c r="XBC1" s="7" t="s">
        <v>16632</v>
      </c>
      <c r="XBD1" s="7" t="s">
        <v>16633</v>
      </c>
      <c r="XBE1" s="7" t="s">
        <v>16634</v>
      </c>
      <c r="XBF1" s="7" t="s">
        <v>16635</v>
      </c>
      <c r="XBG1" s="7" t="s">
        <v>16636</v>
      </c>
      <c r="XBH1" s="7" t="s">
        <v>16637</v>
      </c>
      <c r="XBI1" s="7" t="s">
        <v>16638</v>
      </c>
      <c r="XBJ1" s="7" t="s">
        <v>16639</v>
      </c>
      <c r="XBK1" s="7" t="s">
        <v>16640</v>
      </c>
      <c r="XBL1" s="7" t="s">
        <v>16641</v>
      </c>
      <c r="XBM1" s="7" t="s">
        <v>16642</v>
      </c>
      <c r="XBN1" s="7" t="s">
        <v>16643</v>
      </c>
      <c r="XBO1" s="7" t="s">
        <v>16644</v>
      </c>
      <c r="XBP1" s="7" t="s">
        <v>16645</v>
      </c>
      <c r="XBQ1" s="7" t="s">
        <v>16646</v>
      </c>
      <c r="XBR1" s="7" t="s">
        <v>16647</v>
      </c>
      <c r="XBS1" s="7" t="s">
        <v>16648</v>
      </c>
      <c r="XBT1" s="7" t="s">
        <v>16649</v>
      </c>
      <c r="XBU1" s="7" t="s">
        <v>16650</v>
      </c>
      <c r="XBV1" s="7" t="s">
        <v>16651</v>
      </c>
      <c r="XBW1" s="7" t="s">
        <v>16652</v>
      </c>
      <c r="XBX1" s="7" t="s">
        <v>16653</v>
      </c>
      <c r="XBY1" s="7" t="s">
        <v>16654</v>
      </c>
      <c r="XBZ1" s="7" t="s">
        <v>16655</v>
      </c>
      <c r="XCA1" s="7" t="s">
        <v>16656</v>
      </c>
      <c r="XCB1" s="7" t="s">
        <v>16657</v>
      </c>
      <c r="XCC1" s="7" t="s">
        <v>16658</v>
      </c>
      <c r="XCD1" s="7" t="s">
        <v>16659</v>
      </c>
      <c r="XCE1" s="7" t="s">
        <v>16660</v>
      </c>
      <c r="XCF1" s="7" t="s">
        <v>16661</v>
      </c>
      <c r="XCG1" s="7" t="s">
        <v>16662</v>
      </c>
      <c r="XCH1" s="7" t="s">
        <v>16663</v>
      </c>
      <c r="XCI1" s="7" t="s">
        <v>16664</v>
      </c>
      <c r="XCJ1" s="7" t="s">
        <v>16665</v>
      </c>
      <c r="XCK1" s="7" t="s">
        <v>16666</v>
      </c>
      <c r="XCL1" s="7" t="s">
        <v>16667</v>
      </c>
      <c r="XCM1" s="7" t="s">
        <v>16668</v>
      </c>
      <c r="XCN1" s="7" t="s">
        <v>16669</v>
      </c>
      <c r="XCO1" s="7" t="s">
        <v>16670</v>
      </c>
      <c r="XCP1" s="7" t="s">
        <v>16671</v>
      </c>
      <c r="XCQ1" s="7" t="s">
        <v>16672</v>
      </c>
      <c r="XCR1" s="7" t="s">
        <v>16673</v>
      </c>
      <c r="XCS1" s="7" t="s">
        <v>16674</v>
      </c>
      <c r="XCT1" s="7" t="s">
        <v>16675</v>
      </c>
      <c r="XCU1" s="7" t="s">
        <v>16676</v>
      </c>
      <c r="XCV1" s="7" t="s">
        <v>16677</v>
      </c>
      <c r="XCW1" s="7" t="s">
        <v>16678</v>
      </c>
      <c r="XCX1" s="7" t="s">
        <v>16679</v>
      </c>
      <c r="XCY1" s="7" t="s">
        <v>16680</v>
      </c>
      <c r="XCZ1" s="7" t="s">
        <v>16681</v>
      </c>
      <c r="XDA1" s="7" t="s">
        <v>16682</v>
      </c>
      <c r="XDB1" s="7" t="s">
        <v>16683</v>
      </c>
      <c r="XDC1" s="7" t="s">
        <v>16684</v>
      </c>
      <c r="XDD1" s="7" t="s">
        <v>16685</v>
      </c>
      <c r="XDE1" s="7" t="s">
        <v>16686</v>
      </c>
      <c r="XDF1" s="7" t="s">
        <v>16687</v>
      </c>
      <c r="XDG1" s="7" t="s">
        <v>16688</v>
      </c>
      <c r="XDH1" s="7" t="s">
        <v>16689</v>
      </c>
      <c r="XDI1" s="7" t="s">
        <v>16690</v>
      </c>
      <c r="XDJ1" s="7" t="s">
        <v>16691</v>
      </c>
      <c r="XDK1" s="7" t="s">
        <v>16692</v>
      </c>
      <c r="XDL1" s="7" t="s">
        <v>16693</v>
      </c>
      <c r="XDM1" s="7" t="s">
        <v>16694</v>
      </c>
      <c r="XDN1" s="7" t="s">
        <v>16695</v>
      </c>
      <c r="XDO1" s="7" t="s">
        <v>16696</v>
      </c>
      <c r="XDP1" s="7" t="s">
        <v>16697</v>
      </c>
      <c r="XDQ1" s="7" t="s">
        <v>16698</v>
      </c>
      <c r="XDR1" s="7" t="s">
        <v>16699</v>
      </c>
      <c r="XDS1" s="7" t="s">
        <v>16700</v>
      </c>
      <c r="XDT1" s="7" t="s">
        <v>16701</v>
      </c>
      <c r="XDU1" s="7" t="s">
        <v>16702</v>
      </c>
      <c r="XDV1" s="7" t="s">
        <v>16703</v>
      </c>
      <c r="XDW1" s="7" t="s">
        <v>16704</v>
      </c>
      <c r="XDX1" s="7" t="s">
        <v>16705</v>
      </c>
      <c r="XDY1" s="7" t="s">
        <v>16706</v>
      </c>
      <c r="XDZ1" s="7" t="s">
        <v>16707</v>
      </c>
      <c r="XEA1" s="7" t="s">
        <v>16708</v>
      </c>
      <c r="XEB1" s="7" t="s">
        <v>16709</v>
      </c>
      <c r="XEC1" s="7" t="s">
        <v>16710</v>
      </c>
      <c r="XED1" s="7" t="s">
        <v>16711</v>
      </c>
      <c r="XEE1" s="7" t="s">
        <v>16712</v>
      </c>
      <c r="XEF1" s="7" t="s">
        <v>16713</v>
      </c>
      <c r="XEG1" s="7" t="s">
        <v>16714</v>
      </c>
      <c r="XEH1" s="7" t="s">
        <v>16715</v>
      </c>
      <c r="XEI1" s="7" t="s">
        <v>16716</v>
      </c>
      <c r="XEJ1" s="7" t="s">
        <v>16717</v>
      </c>
      <c r="XEK1" s="7" t="s">
        <v>16718</v>
      </c>
      <c r="XEL1" s="7" t="s">
        <v>16719</v>
      </c>
      <c r="XEM1" s="7" t="s">
        <v>16720</v>
      </c>
      <c r="XEN1" s="7" t="s">
        <v>16721</v>
      </c>
      <c r="XEO1" s="7" t="s">
        <v>16722</v>
      </c>
      <c r="XEP1" s="7" t="s">
        <v>16723</v>
      </c>
      <c r="XEQ1" s="7" t="s">
        <v>16724</v>
      </c>
      <c r="XER1" s="7" t="s">
        <v>16725</v>
      </c>
      <c r="XES1" s="7" t="s">
        <v>16726</v>
      </c>
      <c r="XET1" s="7" t="s">
        <v>16727</v>
      </c>
      <c r="XEU1" s="7" t="s">
        <v>16728</v>
      </c>
      <c r="XEV1" s="7" t="s">
        <v>16729</v>
      </c>
      <c r="XEW1" s="7" t="s">
        <v>16730</v>
      </c>
      <c r="XEX1" s="7" t="s">
        <v>16731</v>
      </c>
      <c r="XEY1" s="7" t="s">
        <v>16732</v>
      </c>
      <c r="XEZ1" s="7" t="s">
        <v>16733</v>
      </c>
      <c r="XFA1" s="7" t="s">
        <v>16734</v>
      </c>
      <c r="XFB1" s="7" t="s">
        <v>16735</v>
      </c>
      <c r="XFC1" s="7" t="s">
        <v>16736</v>
      </c>
      <c r="XFD1" s="7" t="s">
        <v>16737</v>
      </c>
    </row>
    <row r="2" spans="1:16384">
      <c r="A2" t="s">
        <v>16738</v>
      </c>
      <c r="B2">
        <v>115</v>
      </c>
      <c r="C2" t="s">
        <v>16739</v>
      </c>
      <c r="D2">
        <v>57</v>
      </c>
      <c r="E2" t="s">
        <v>16740</v>
      </c>
      <c r="F2" t="s">
        <v>16741</v>
      </c>
    </row>
    <row r="3" spans="1:16384">
      <c r="A3" t="s">
        <v>16742</v>
      </c>
      <c r="B3">
        <v>6</v>
      </c>
      <c r="C3" t="s">
        <v>16743</v>
      </c>
      <c r="D3">
        <v>58</v>
      </c>
      <c r="E3" t="s">
        <v>16744</v>
      </c>
      <c r="F3" t="s">
        <v>16745</v>
      </c>
    </row>
    <row r="4" spans="1:16384">
      <c r="A4" t="s">
        <v>16746</v>
      </c>
      <c r="B4">
        <v>0</v>
      </c>
      <c r="C4" t="s">
        <v>16747</v>
      </c>
      <c r="D4">
        <v>58</v>
      </c>
      <c r="E4" t="s">
        <v>16744</v>
      </c>
      <c r="F4" t="s">
        <v>16748</v>
      </c>
    </row>
    <row r="5" spans="1:16384">
      <c r="A5" t="s">
        <v>16749</v>
      </c>
      <c r="B5">
        <v>0</v>
      </c>
      <c r="C5" t="s">
        <v>16750</v>
      </c>
      <c r="D5">
        <v>3</v>
      </c>
      <c r="E5" t="s">
        <v>16751</v>
      </c>
      <c r="F5" t="s">
        <v>16752</v>
      </c>
    </row>
    <row r="6" spans="1:16384">
      <c r="A6" t="s">
        <v>16753</v>
      </c>
      <c r="B6">
        <v>0</v>
      </c>
      <c r="C6" t="s">
        <v>16754</v>
      </c>
      <c r="D6">
        <v>1</v>
      </c>
      <c r="E6" t="s">
        <v>16755</v>
      </c>
      <c r="F6" t="s">
        <v>16756</v>
      </c>
    </row>
    <row r="7" spans="1:16384">
      <c r="A7" t="s">
        <v>16757</v>
      </c>
      <c r="B7">
        <v>0</v>
      </c>
    </row>
    <row r="8" spans="1:16384">
      <c r="A8" t="s">
        <v>16743</v>
      </c>
      <c r="B8">
        <v>58</v>
      </c>
    </row>
    <row r="9" spans="1:16384">
      <c r="A9" t="s">
        <v>16758</v>
      </c>
      <c r="B9">
        <v>58</v>
      </c>
    </row>
    <row r="10" spans="1:16384">
      <c r="A10" t="s">
        <v>16759</v>
      </c>
      <c r="B10">
        <v>3</v>
      </c>
    </row>
    <row r="11" spans="1:16384">
      <c r="A11" t="s">
        <v>16760</v>
      </c>
      <c r="B11">
        <v>1</v>
      </c>
    </row>
    <row r="12" spans="1:16384">
      <c r="A12" t="s">
        <v>16761</v>
      </c>
      <c r="B12">
        <v>1</v>
      </c>
    </row>
    <row r="13" spans="1:16384">
      <c r="A13" t="s">
        <v>16762</v>
      </c>
      <c r="B13">
        <v>0</v>
      </c>
    </row>
    <row r="14" spans="1:16384">
      <c r="A14" t="s">
        <v>16763</v>
      </c>
      <c r="B14">
        <v>0</v>
      </c>
    </row>
    <row r="15" spans="1:16384">
      <c r="A15" t="s">
        <v>16764</v>
      </c>
      <c r="B15">
        <v>0</v>
      </c>
    </row>
    <row r="16" spans="1:16384">
      <c r="A16" t="s">
        <v>16765</v>
      </c>
      <c r="B16">
        <v>0</v>
      </c>
    </row>
    <row r="17" spans="1:2">
      <c r="A17" t="s">
        <v>16766</v>
      </c>
      <c r="B17">
        <v>0</v>
      </c>
    </row>
    <row r="18" spans="1:2">
      <c r="A18" t="s">
        <v>16767</v>
      </c>
      <c r="B18">
        <v>57</v>
      </c>
    </row>
    <row r="19" spans="1:2">
      <c r="A19" t="s">
        <v>16768</v>
      </c>
      <c r="B19">
        <v>0</v>
      </c>
    </row>
    <row r="20" spans="1:2">
      <c r="A20" t="s">
        <v>16769</v>
      </c>
      <c r="B20">
        <v>1</v>
      </c>
    </row>
    <row r="21" spans="1:2">
      <c r="A21" t="s">
        <v>16770</v>
      </c>
      <c r="B21">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681FD-6D01-482F-8659-229F504AF466}">
  <dimension ref="A1:M30"/>
  <sheetViews>
    <sheetView workbookViewId="0">
      <selection activeCell="G8" sqref="G8"/>
    </sheetView>
  </sheetViews>
  <sheetFormatPr defaultRowHeight="15"/>
  <cols>
    <col min="1" max="1" width="22.85546875" customWidth="1"/>
    <col min="2" max="2" width="9.140625" customWidth="1"/>
    <col min="4" max="4" width="15.140625" customWidth="1"/>
    <col min="7" max="7" width="21.28515625" customWidth="1"/>
    <col min="8" max="8" width="17.28515625" customWidth="1"/>
    <col min="9" max="9" width="80.5703125" customWidth="1"/>
    <col min="10" max="10" width="68" customWidth="1"/>
    <col min="12" max="12" width="63.42578125" customWidth="1"/>
    <col min="13" max="13" width="68.5703125" customWidth="1"/>
  </cols>
  <sheetData>
    <row r="1" spans="1:13" s="8" customFormat="1">
      <c r="A1" s="8" t="s">
        <v>16771</v>
      </c>
      <c r="B1" s="8" t="s">
        <v>16772</v>
      </c>
      <c r="C1" s="8" t="s">
        <v>16773</v>
      </c>
      <c r="D1" s="8" t="s">
        <v>16774</v>
      </c>
      <c r="I1" s="8" t="s">
        <v>16775</v>
      </c>
      <c r="J1" s="8" t="s">
        <v>16776</v>
      </c>
      <c r="L1" s="8" t="s">
        <v>16777</v>
      </c>
      <c r="M1" s="8" t="s">
        <v>16778</v>
      </c>
    </row>
    <row r="2" spans="1:13">
      <c r="A2" t="s">
        <v>16779</v>
      </c>
      <c r="B2" s="1">
        <f>ROWS(B1:B112)</f>
        <v>112</v>
      </c>
      <c r="C2" t="s">
        <v>16780</v>
      </c>
      <c r="D2">
        <f>_xlfn.QUARTILE.INC(cleaned!B2:B117,1)</f>
        <v>487</v>
      </c>
      <c r="E2">
        <f>_xlfn.PERCENTILE.INC(cleaned!E2:E112,0.75)</f>
        <v>14.25</v>
      </c>
      <c r="I2" t="s">
        <v>195</v>
      </c>
      <c r="J2" t="s">
        <v>195</v>
      </c>
      <c r="L2" t="s">
        <v>123</v>
      </c>
      <c r="M2" t="s">
        <v>191</v>
      </c>
    </row>
    <row r="3" spans="1:13">
      <c r="A3" s="2" t="s">
        <v>16781</v>
      </c>
      <c r="B3" s="3">
        <f>AVERAGE( cleaned!B2:B112)</f>
        <v>1181.3693693693695</v>
      </c>
      <c r="C3" t="s">
        <v>16782</v>
      </c>
      <c r="D3">
        <f>_xlfn.QUARTILE.INC(cleaned!B2:B117,3)</f>
        <v>1663</v>
      </c>
      <c r="G3" t="s">
        <v>16783</v>
      </c>
      <c r="H3">
        <f>CORREL(cleaned!D2:D117,cleaned!E2:E117)</f>
        <v>-0.13861180542474855</v>
      </c>
      <c r="I3" t="s">
        <v>30</v>
      </c>
      <c r="J3" t="s">
        <v>216</v>
      </c>
      <c r="K3">
        <v>0.45</v>
      </c>
      <c r="L3" t="s">
        <v>115</v>
      </c>
      <c r="M3" t="s">
        <v>210</v>
      </c>
    </row>
    <row r="4" spans="1:13">
      <c r="A4" t="s">
        <v>16784</v>
      </c>
      <c r="B4">
        <f>AVERAGE(cleaned!C2:C112)</f>
        <v>1803.099099099099</v>
      </c>
      <c r="G4" t="s">
        <v>16785</v>
      </c>
      <c r="H4">
        <f>CORREL(cleaned!F2:F117,cleaned!E2:E117)</f>
        <v>6.639838454432094E-2</v>
      </c>
      <c r="I4" t="s">
        <v>90</v>
      </c>
      <c r="J4" t="s">
        <v>199</v>
      </c>
      <c r="K4">
        <v>0.52</v>
      </c>
      <c r="L4" t="s">
        <v>98</v>
      </c>
      <c r="M4" t="s">
        <v>230</v>
      </c>
    </row>
    <row r="5" spans="1:13">
      <c r="A5" t="s">
        <v>16786</v>
      </c>
      <c r="B5">
        <f>AVERAGE(cleaned!D2:D112)</f>
        <v>0.36765765765765773</v>
      </c>
      <c r="G5" t="s">
        <v>16787</v>
      </c>
      <c r="H5">
        <f>CORREL(cleaned!B2:B117,cleaned!F2:F117)</f>
        <v>0.10433668135547465</v>
      </c>
      <c r="I5" t="s">
        <v>68</v>
      </c>
      <c r="J5" t="s">
        <v>191</v>
      </c>
      <c r="K5">
        <v>0.55000000000000004</v>
      </c>
      <c r="L5" t="s">
        <v>26</v>
      </c>
      <c r="M5" t="s">
        <v>207</v>
      </c>
    </row>
    <row r="6" spans="1:13">
      <c r="A6" t="s">
        <v>16788</v>
      </c>
      <c r="B6">
        <f>AVERAGE(cleaned!F2:F112)</f>
        <v>3.878571428571429</v>
      </c>
      <c r="I6" t="s">
        <v>44</v>
      </c>
      <c r="J6" t="s">
        <v>210</v>
      </c>
      <c r="K6">
        <v>0.5</v>
      </c>
      <c r="M6" t="s">
        <v>222</v>
      </c>
    </row>
    <row r="7" spans="1:13">
      <c r="A7" t="s">
        <v>16789</v>
      </c>
      <c r="B7">
        <f>SUM(cleaned!E2:E112)</f>
        <v>721</v>
      </c>
      <c r="I7" t="s">
        <v>123</v>
      </c>
      <c r="J7" t="s">
        <v>230</v>
      </c>
      <c r="K7">
        <v>0.47</v>
      </c>
      <c r="M7" t="s">
        <v>228</v>
      </c>
    </row>
    <row r="8" spans="1:13">
      <c r="A8" t="s">
        <v>16790</v>
      </c>
      <c r="B8">
        <f>MAX(cleaned!B2:B112)</f>
        <v>3750</v>
      </c>
      <c r="I8" t="s">
        <v>115</v>
      </c>
      <c r="J8" t="s">
        <v>207</v>
      </c>
      <c r="K8">
        <v>0.45</v>
      </c>
      <c r="M8" t="s">
        <v>319</v>
      </c>
    </row>
    <row r="9" spans="1:13">
      <c r="A9" t="s">
        <v>16791</v>
      </c>
      <c r="B9">
        <f>MIN(cleaned!B2:B112)</f>
        <v>38</v>
      </c>
      <c r="I9" t="s">
        <v>14</v>
      </c>
      <c r="J9" t="s">
        <v>222</v>
      </c>
      <c r="K9">
        <v>0.43</v>
      </c>
    </row>
    <row r="10" spans="1:13">
      <c r="I10" t="s">
        <v>98</v>
      </c>
      <c r="J10" t="s">
        <v>228</v>
      </c>
      <c r="K10">
        <v>0.47</v>
      </c>
    </row>
    <row r="11" spans="1:13">
      <c r="I11" t="s">
        <v>112</v>
      </c>
      <c r="J11" t="s">
        <v>319</v>
      </c>
      <c r="K11">
        <v>0.5</v>
      </c>
    </row>
    <row r="12" spans="1:13">
      <c r="I12" t="s">
        <v>216</v>
      </c>
    </row>
    <row r="13" spans="1:13">
      <c r="I13" t="s">
        <v>203</v>
      </c>
    </row>
    <row r="14" spans="1:13">
      <c r="I14" t="s">
        <v>26</v>
      </c>
    </row>
    <row r="15" spans="1:13">
      <c r="I15" t="s">
        <v>199</v>
      </c>
    </row>
    <row r="18" spans="6:11">
      <c r="F18" t="e" cm="1">
        <f t="array" ref="F18">_xlfn._xlws.FILTER(cleaned!#REF!,cleaned!B2:B117=MAX(cleaned!B2:B117))</f>
        <v>#REF!</v>
      </c>
      <c r="K18">
        <f>1+1</f>
        <v>2</v>
      </c>
    </row>
    <row r="22" spans="6:11" ht="13.5" customHeight="1"/>
    <row r="24" spans="6:11">
      <c r="H24" t="str" cm="1">
        <f t="array" ref="H24:H30">_xlfn._xlws.FILTER(cleaned!A2:A117,(cleaned!R2:R117="Yes")*(cleaned!E2:E117&lt;14.5))</f>
        <v>5-PCS Stainless Steel Cooking Pot Set With Steamed Slices</v>
      </c>
    </row>
    <row r="25" spans="6:11">
      <c r="H25" t="str">
        <v>380ML USB Rechargeable Portable Small Blenders And Juicers</v>
      </c>
    </row>
    <row r="26" spans="6:11">
      <c r="H26" t="str">
        <v>Electric LED UV Mosquito Killer Lamp, Outdoor/Indoor Fly Killer Trap Light -USB</v>
      </c>
    </row>
    <row r="27" spans="6:11">
      <c r="H27" t="str">
        <v>Artificial Potted Flowers Room Decorative Flowers (2 Pieces)</v>
      </c>
    </row>
    <row r="28" spans="6:11">
      <c r="H28" t="str">
        <v>Watercolour Gold Foil Textured Print Pillow Cover</v>
      </c>
    </row>
    <row r="29" spans="6:11">
      <c r="H29" t="str">
        <v>7-piece Set Of Storage Bags, Travel Storage Bags, Shoe Bags</v>
      </c>
    </row>
    <row r="30" spans="6:11">
      <c r="H30" t="str">
        <v>Wall-mounted Sticker Punch-free Plug Fixer</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6B546-2C99-4E2E-9AC7-3D615EE7BECA}">
  <dimension ref="A1"/>
  <sheetViews>
    <sheetView topLeftCell="B3" workbookViewId="0">
      <selection activeCell="R16" sqref="R16"/>
    </sheetView>
  </sheetViews>
  <sheetFormatPr defaultRowHeight="1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89FA2-2BA7-411E-A92A-735245F45E99}">
  <dimension ref="A3:H48"/>
  <sheetViews>
    <sheetView topLeftCell="A6" zoomScale="50" zoomScaleNormal="50" workbookViewId="0">
      <selection activeCell="C10" sqref="C10"/>
    </sheetView>
  </sheetViews>
  <sheetFormatPr defaultRowHeight="15"/>
  <cols>
    <col min="1" max="1" width="71.85546875" bestFit="1" customWidth="1"/>
    <col min="2" max="2" width="15.85546875" bestFit="1" customWidth="1"/>
    <col min="4" max="4" width="20.85546875" bestFit="1" customWidth="1"/>
    <col min="5" max="6" width="16.28515625" bestFit="1" customWidth="1"/>
    <col min="7" max="7" width="18.140625" bestFit="1" customWidth="1"/>
    <col min="8" max="8" width="16.28515625" bestFit="1" customWidth="1"/>
  </cols>
  <sheetData>
    <row r="3" spans="1:8">
      <c r="A3" s="4" t="s">
        <v>0</v>
      </c>
      <c r="B3" t="s">
        <v>16792</v>
      </c>
      <c r="D3" s="4" t="s">
        <v>16793</v>
      </c>
      <c r="E3" t="s">
        <v>16794</v>
      </c>
      <c r="F3" s="4" t="s">
        <v>16793</v>
      </c>
      <c r="G3" t="s">
        <v>16792</v>
      </c>
    </row>
    <row r="4" spans="1:8">
      <c r="A4" t="s">
        <v>44</v>
      </c>
      <c r="B4">
        <v>39</v>
      </c>
      <c r="D4" s="5" t="s">
        <v>348</v>
      </c>
      <c r="E4">
        <v>4.0611111111111109</v>
      </c>
      <c r="F4" s="5" t="s">
        <v>342</v>
      </c>
      <c r="G4">
        <v>334</v>
      </c>
    </row>
    <row r="5" spans="1:8">
      <c r="A5" t="s">
        <v>195</v>
      </c>
      <c r="B5">
        <v>69</v>
      </c>
      <c r="D5" s="5" t="s">
        <v>343</v>
      </c>
      <c r="E5">
        <v>3.6357142857142861</v>
      </c>
      <c r="F5" s="5" t="s">
        <v>351</v>
      </c>
      <c r="G5">
        <v>38</v>
      </c>
    </row>
    <row r="6" spans="1:8">
      <c r="A6" t="s">
        <v>30</v>
      </c>
      <c r="B6">
        <v>55</v>
      </c>
      <c r="D6" s="5" t="s">
        <v>349</v>
      </c>
      <c r="E6">
        <v>3.8833333333333333</v>
      </c>
      <c r="F6" s="5" t="s">
        <v>347</v>
      </c>
      <c r="G6">
        <v>349</v>
      </c>
    </row>
    <row r="7" spans="1:8">
      <c r="A7" t="s">
        <v>68</v>
      </c>
      <c r="B7">
        <v>44</v>
      </c>
      <c r="D7" s="5" t="s">
        <v>16795</v>
      </c>
      <c r="E7">
        <v>3.8785714285714277</v>
      </c>
      <c r="F7" s="5" t="s">
        <v>16795</v>
      </c>
      <c r="G7">
        <v>721</v>
      </c>
    </row>
    <row r="8" spans="1:8">
      <c r="A8" t="s">
        <v>98</v>
      </c>
      <c r="B8">
        <v>20</v>
      </c>
    </row>
    <row r="9" spans="1:8">
      <c r="A9" t="s">
        <v>115</v>
      </c>
      <c r="B9">
        <v>32</v>
      </c>
      <c r="D9" s="4" t="s">
        <v>333</v>
      </c>
      <c r="E9" t="s">
        <v>16796</v>
      </c>
      <c r="G9" s="4" t="s">
        <v>332</v>
      </c>
      <c r="H9" t="s">
        <v>16796</v>
      </c>
    </row>
    <row r="10" spans="1:8">
      <c r="A10" t="s">
        <v>112</v>
      </c>
      <c r="B10">
        <v>20</v>
      </c>
      <c r="D10" t="s">
        <v>342</v>
      </c>
      <c r="E10">
        <v>62</v>
      </c>
      <c r="G10" t="s">
        <v>350</v>
      </c>
      <c r="H10">
        <v>25</v>
      </c>
    </row>
    <row r="11" spans="1:8">
      <c r="A11" t="s">
        <v>90</v>
      </c>
      <c r="B11">
        <v>49</v>
      </c>
      <c r="D11" t="s">
        <v>351</v>
      </c>
      <c r="E11">
        <v>18</v>
      </c>
      <c r="G11" t="s">
        <v>346</v>
      </c>
      <c r="H11">
        <v>19</v>
      </c>
    </row>
    <row r="12" spans="1:8">
      <c r="A12" t="s">
        <v>14</v>
      </c>
      <c r="B12">
        <v>24</v>
      </c>
      <c r="D12" t="s">
        <v>347</v>
      </c>
      <c r="E12">
        <v>31</v>
      </c>
      <c r="G12" t="s">
        <v>353</v>
      </c>
      <c r="H12">
        <v>55</v>
      </c>
    </row>
    <row r="13" spans="1:8">
      <c r="A13" t="s">
        <v>123</v>
      </c>
      <c r="B13">
        <v>36</v>
      </c>
      <c r="D13" t="s">
        <v>16795</v>
      </c>
      <c r="E13">
        <v>111</v>
      </c>
      <c r="G13" t="s">
        <v>341</v>
      </c>
      <c r="H13">
        <v>12</v>
      </c>
    </row>
    <row r="14" spans="1:8">
      <c r="A14" t="s">
        <v>16795</v>
      </c>
      <c r="B14">
        <v>388</v>
      </c>
      <c r="G14" t="s">
        <v>16795</v>
      </c>
      <c r="H14">
        <v>111</v>
      </c>
    </row>
    <row r="20" spans="1:2">
      <c r="A20" s="4" t="s">
        <v>0</v>
      </c>
      <c r="B20" t="s">
        <v>16794</v>
      </c>
    </row>
    <row r="21" spans="1:2">
      <c r="A21" t="s">
        <v>47</v>
      </c>
      <c r="B21">
        <v>4.8</v>
      </c>
    </row>
    <row r="22" spans="1:2">
      <c r="A22" t="s">
        <v>56</v>
      </c>
      <c r="B22">
        <v>5</v>
      </c>
    </row>
    <row r="23" spans="1:2">
      <c r="A23" t="s">
        <v>246</v>
      </c>
      <c r="B23">
        <v>5</v>
      </c>
    </row>
    <row r="24" spans="1:2">
      <c r="A24" t="s">
        <v>121</v>
      </c>
      <c r="B24">
        <v>5</v>
      </c>
    </row>
    <row r="25" spans="1:2">
      <c r="A25" t="s">
        <v>118</v>
      </c>
      <c r="B25">
        <v>5</v>
      </c>
    </row>
    <row r="26" spans="1:2">
      <c r="A26" t="s">
        <v>296</v>
      </c>
      <c r="B26">
        <v>5</v>
      </c>
    </row>
    <row r="27" spans="1:2">
      <c r="A27" t="s">
        <v>63</v>
      </c>
      <c r="B27">
        <v>5</v>
      </c>
    </row>
    <row r="28" spans="1:2">
      <c r="A28" t="s">
        <v>35</v>
      </c>
      <c r="B28">
        <v>4.8</v>
      </c>
    </row>
    <row r="29" spans="1:2">
      <c r="A29" t="s">
        <v>60</v>
      </c>
      <c r="B29">
        <v>5</v>
      </c>
    </row>
    <row r="30" spans="1:2">
      <c r="A30" t="s">
        <v>22</v>
      </c>
      <c r="B30">
        <v>4.8</v>
      </c>
    </row>
    <row r="31" spans="1:2">
      <c r="A31" t="s">
        <v>16795</v>
      </c>
      <c r="B31">
        <v>4.9399999999999995</v>
      </c>
    </row>
    <row r="37" spans="1:2">
      <c r="A37" s="4" t="s">
        <v>0</v>
      </c>
      <c r="B37" t="s">
        <v>16797</v>
      </c>
    </row>
    <row r="38" spans="1:2">
      <c r="A38" t="s">
        <v>71</v>
      </c>
      <c r="B38">
        <v>0.53</v>
      </c>
    </row>
    <row r="39" spans="1:2">
      <c r="A39" t="s">
        <v>191</v>
      </c>
      <c r="B39">
        <v>0.55000000000000004</v>
      </c>
    </row>
    <row r="40" spans="1:2">
      <c r="A40" t="s">
        <v>317</v>
      </c>
      <c r="B40">
        <v>0.64</v>
      </c>
    </row>
    <row r="41" spans="1:2">
      <c r="A41" t="s">
        <v>176</v>
      </c>
      <c r="B41">
        <v>0.98</v>
      </c>
    </row>
    <row r="42" spans="1:2">
      <c r="A42" t="s">
        <v>121</v>
      </c>
      <c r="B42">
        <v>0.53</v>
      </c>
    </row>
    <row r="43" spans="1:2">
      <c r="A43" t="s">
        <v>155</v>
      </c>
      <c r="B43">
        <v>1.1000000000000001</v>
      </c>
    </row>
    <row r="44" spans="1:2">
      <c r="A44" t="s">
        <v>86</v>
      </c>
      <c r="B44">
        <v>0.54</v>
      </c>
    </row>
    <row r="45" spans="1:2">
      <c r="A45" t="s">
        <v>35</v>
      </c>
      <c r="B45">
        <v>0.55000000000000004</v>
      </c>
    </row>
    <row r="46" spans="1:2">
      <c r="A46" t="s">
        <v>187</v>
      </c>
      <c r="B46">
        <v>0.54</v>
      </c>
    </row>
    <row r="47" spans="1:2">
      <c r="A47" t="s">
        <v>171</v>
      </c>
      <c r="B47">
        <v>1</v>
      </c>
    </row>
    <row r="48" spans="1:2">
      <c r="A48" t="s">
        <v>16795</v>
      </c>
      <c r="B48">
        <v>6.96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B524E22-FD48-465C-BF9A-D7566B38081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Victoria Ndei</dc:creator>
  <cp:keywords/>
  <dc:description/>
  <cp:lastModifiedBy/>
  <cp:revision/>
  <dcterms:created xsi:type="dcterms:W3CDTF">2026-09-02T15:50:51Z</dcterms:created>
  <dcterms:modified xsi:type="dcterms:W3CDTF">2026-09-06T18:32:54Z</dcterms:modified>
  <cp:category/>
  <cp:contentStatus/>
</cp:coreProperties>
</file>